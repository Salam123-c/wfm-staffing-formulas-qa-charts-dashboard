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mc:AlternateContent xmlns:mc="http://schemas.openxmlformats.org/markup-compatibility/2006">
    <mc:Choice Requires="x15">
      <x15ac:absPath xmlns:x15ac="http://schemas.microsoft.com/office/spreadsheetml/2010/11/ac" url="C:\Users\hp\Downloads\"/>
    </mc:Choice>
  </mc:AlternateContent>
  <xr:revisionPtr revIDLastSave="0" documentId="13_ncr:1_{2A078454-78A0-498B-8CB0-17DD07923EE3}" xr6:coauthVersionLast="36" xr6:coauthVersionMax="36" xr10:uidLastSave="{00000000-0000-0000-0000-000000000000}"/>
  <bookViews>
    <workbookView xWindow="0" yWindow="0" windowWidth="20490" windowHeight="7125" tabRatio="500" activeTab="8" xr2:uid="{00000000-000D-0000-FFFF-FFFF00000000}"/>
  </bookViews>
  <sheets>
    <sheet name="Main" sheetId="1" r:id="rId1"/>
    <sheet name="Formula Sheet" sheetId="2" r:id="rId2"/>
    <sheet name="Raw" sheetId="3" r:id="rId3"/>
    <sheet name="Pareto" sheetId="4" state="hidden" r:id="rId4"/>
    <sheet name="Pareto Chart" sheetId="5" r:id="rId5"/>
    <sheet name="Run Chart" sheetId="6" r:id="rId6"/>
    <sheet name="Histogram" sheetId="7" r:id="rId7"/>
    <sheet name="Graphical Presentation" sheetId="8" r:id="rId8"/>
    <sheet name="VBA Macro" sheetId="9" r:id="rId9"/>
  </sheets>
  <calcPr calcId="191029" iterateDelta="1E-4"/>
  <extLst>
    <ext xmlns:loext="http://schemas.libreoffice.org/" uri="{7626C862-2A13-11E5-B345-FEFF819CDC9F}">
      <loext:extCalcPr stringRefSyntax="ExcelA1"/>
    </ext>
  </extLst>
</workbook>
</file>

<file path=xl/calcChain.xml><?xml version="1.0" encoding="utf-8"?>
<calcChain xmlns="http://schemas.openxmlformats.org/spreadsheetml/2006/main">
  <c r="A39" i="8" l="1"/>
  <c r="C39" i="8" s="1"/>
  <c r="A38" i="8"/>
  <c r="B38" i="8" s="1"/>
  <c r="A37" i="8"/>
  <c r="C37" i="8" s="1"/>
  <c r="C36" i="8"/>
  <c r="B36" i="8"/>
  <c r="A36" i="8"/>
  <c r="B35" i="8"/>
  <c r="A35" i="8"/>
  <c r="C35" i="8" s="1"/>
  <c r="A34" i="8"/>
  <c r="B34" i="8" s="1"/>
  <c r="C33" i="8"/>
  <c r="A33" i="8"/>
  <c r="B33" i="8" s="1"/>
  <c r="C32" i="8"/>
  <c r="B32" i="8"/>
  <c r="A32" i="8"/>
  <c r="F31" i="8"/>
  <c r="C31" i="8"/>
  <c r="B31" i="8"/>
  <c r="A31" i="8"/>
  <c r="F30" i="8"/>
  <c r="C30" i="8"/>
  <c r="B30" i="8"/>
  <c r="A30" i="8"/>
  <c r="F29" i="8"/>
  <c r="C29" i="8"/>
  <c r="B29" i="8"/>
  <c r="A29" i="8"/>
  <c r="F8" i="4"/>
  <c r="F7" i="4"/>
  <c r="F6" i="4"/>
  <c r="F5" i="4"/>
  <c r="F4" i="4"/>
  <c r="F3" i="4"/>
  <c r="C2746" i="2"/>
  <c r="C2745" i="2"/>
  <c r="C2744" i="2"/>
  <c r="C2743" i="2"/>
  <c r="C2742" i="2"/>
  <c r="C2741" i="2"/>
  <c r="C2740" i="2"/>
  <c r="C2739" i="2"/>
  <c r="C2738" i="2"/>
  <c r="C2737" i="2"/>
  <c r="C2736" i="2"/>
  <c r="C2735" i="2"/>
  <c r="C2734" i="2"/>
  <c r="C2733" i="2"/>
  <c r="C2732" i="2"/>
  <c r="C2731" i="2"/>
  <c r="C2730" i="2"/>
  <c r="C2729" i="2"/>
  <c r="C2728" i="2"/>
  <c r="C2727" i="2"/>
  <c r="C2726" i="2"/>
  <c r="C2725" i="2"/>
  <c r="C2724" i="2"/>
  <c r="C2723" i="2"/>
  <c r="C2722" i="2"/>
  <c r="C2721" i="2"/>
  <c r="C2720" i="2"/>
  <c r="C2719" i="2"/>
  <c r="C2718" i="2"/>
  <c r="C2717" i="2"/>
  <c r="C2716" i="2"/>
  <c r="C2715" i="2"/>
  <c r="C2714" i="2"/>
  <c r="C2713" i="2"/>
  <c r="C2712" i="2"/>
  <c r="C2711" i="2"/>
  <c r="C2710" i="2"/>
  <c r="C2709" i="2"/>
  <c r="C2708" i="2"/>
  <c r="C2707" i="2"/>
  <c r="C2706" i="2"/>
  <c r="C2705" i="2"/>
  <c r="C2704" i="2"/>
  <c r="C2703" i="2"/>
  <c r="C2702" i="2"/>
  <c r="C2701" i="2"/>
  <c r="C2700" i="2"/>
  <c r="C2699" i="2"/>
  <c r="C2698" i="2"/>
  <c r="C2697" i="2"/>
  <c r="C2696" i="2"/>
  <c r="C2695" i="2"/>
  <c r="C2694" i="2"/>
  <c r="C2693" i="2"/>
  <c r="C2692" i="2"/>
  <c r="C2691" i="2"/>
  <c r="C2690" i="2"/>
  <c r="C2689" i="2"/>
  <c r="C2688" i="2"/>
  <c r="C2687" i="2"/>
  <c r="C2686" i="2"/>
  <c r="C2685" i="2"/>
  <c r="C2684" i="2"/>
  <c r="C2683" i="2"/>
  <c r="C2682" i="2"/>
  <c r="C2681" i="2"/>
  <c r="C2680" i="2"/>
  <c r="C2679" i="2"/>
  <c r="C2678" i="2"/>
  <c r="C2677" i="2"/>
  <c r="C2676" i="2"/>
  <c r="C2675" i="2"/>
  <c r="C2674" i="2"/>
  <c r="C2673" i="2"/>
  <c r="C2672" i="2"/>
  <c r="C2671" i="2"/>
  <c r="C2670" i="2"/>
  <c r="C2669" i="2"/>
  <c r="C2668" i="2"/>
  <c r="C2667" i="2"/>
  <c r="C2666" i="2"/>
  <c r="C2665" i="2"/>
  <c r="C2664" i="2"/>
  <c r="C2663" i="2"/>
  <c r="C2662" i="2"/>
  <c r="C2661" i="2"/>
  <c r="C2660" i="2"/>
  <c r="C2659" i="2"/>
  <c r="C2658" i="2"/>
  <c r="C2657" i="2"/>
  <c r="C2656" i="2"/>
  <c r="C2655" i="2"/>
  <c r="C2654" i="2"/>
  <c r="C2653" i="2"/>
  <c r="C2652" i="2"/>
  <c r="C2651" i="2"/>
  <c r="C2650" i="2"/>
  <c r="C2649" i="2"/>
  <c r="C2648" i="2"/>
  <c r="C2647" i="2"/>
  <c r="C2646" i="2"/>
  <c r="C2645" i="2"/>
  <c r="C2644" i="2"/>
  <c r="C2643" i="2"/>
  <c r="C2642" i="2"/>
  <c r="C2641" i="2"/>
  <c r="C2640" i="2"/>
  <c r="C2639" i="2"/>
  <c r="C2638" i="2"/>
  <c r="C2637" i="2"/>
  <c r="C2636" i="2"/>
  <c r="C2635" i="2"/>
  <c r="C2634" i="2"/>
  <c r="C2633" i="2"/>
  <c r="C2632" i="2"/>
  <c r="C2631" i="2"/>
  <c r="C2630" i="2"/>
  <c r="C2629" i="2"/>
  <c r="C2628" i="2"/>
  <c r="C2627" i="2"/>
  <c r="C2626" i="2"/>
  <c r="C2625" i="2"/>
  <c r="C2624" i="2"/>
  <c r="C2623" i="2"/>
  <c r="C2622" i="2"/>
  <c r="C2621" i="2"/>
  <c r="C2620" i="2"/>
  <c r="C2619" i="2"/>
  <c r="C2618" i="2"/>
  <c r="C2617" i="2"/>
  <c r="C2616" i="2"/>
  <c r="C2615" i="2"/>
  <c r="C2614" i="2"/>
  <c r="C2613" i="2"/>
  <c r="C2612" i="2"/>
  <c r="C2611" i="2"/>
  <c r="C2610" i="2"/>
  <c r="C2609" i="2"/>
  <c r="C2608" i="2"/>
  <c r="C2607" i="2"/>
  <c r="C2606" i="2"/>
  <c r="C2605" i="2"/>
  <c r="C2604" i="2"/>
  <c r="C2603" i="2"/>
  <c r="C2602" i="2"/>
  <c r="C2601" i="2"/>
  <c r="C2600" i="2"/>
  <c r="C2599" i="2"/>
  <c r="C2598" i="2"/>
  <c r="C2597" i="2"/>
  <c r="C2596" i="2"/>
  <c r="C2595" i="2"/>
  <c r="C2594" i="2"/>
  <c r="C2593" i="2"/>
  <c r="C2592" i="2"/>
  <c r="C2591" i="2"/>
  <c r="C2590" i="2"/>
  <c r="C2589" i="2"/>
  <c r="C2588" i="2"/>
  <c r="C2587" i="2"/>
  <c r="C2586" i="2"/>
  <c r="C2585" i="2"/>
  <c r="C2584" i="2"/>
  <c r="C2583" i="2"/>
  <c r="C2582" i="2"/>
  <c r="C2581" i="2"/>
  <c r="C2580" i="2"/>
  <c r="C2579" i="2"/>
  <c r="C2578" i="2"/>
  <c r="C2577" i="2"/>
  <c r="C2576" i="2"/>
  <c r="C2575" i="2"/>
  <c r="C2574" i="2"/>
  <c r="C2573" i="2"/>
  <c r="C2572" i="2"/>
  <c r="C2571" i="2"/>
  <c r="C2570" i="2"/>
  <c r="C2569" i="2"/>
  <c r="C2568" i="2"/>
  <c r="C2567" i="2"/>
  <c r="C2566" i="2"/>
  <c r="C2565" i="2"/>
  <c r="C2564" i="2"/>
  <c r="C2563" i="2"/>
  <c r="C2562" i="2"/>
  <c r="C2561" i="2"/>
  <c r="C2560" i="2"/>
  <c r="C2559" i="2"/>
  <c r="C2558" i="2"/>
  <c r="C2557" i="2"/>
  <c r="C2556" i="2"/>
  <c r="C2555" i="2"/>
  <c r="C2554" i="2"/>
  <c r="C2553" i="2"/>
  <c r="C2552" i="2"/>
  <c r="C2551" i="2"/>
  <c r="C2550" i="2"/>
  <c r="C2549" i="2"/>
  <c r="C2548" i="2"/>
  <c r="C2547" i="2"/>
  <c r="C2546" i="2"/>
  <c r="C2545" i="2"/>
  <c r="C2544" i="2"/>
  <c r="C2543" i="2"/>
  <c r="C2542" i="2"/>
  <c r="C2541" i="2"/>
  <c r="C2540" i="2"/>
  <c r="C2539" i="2"/>
  <c r="C2538" i="2"/>
  <c r="C2537" i="2"/>
  <c r="C2536" i="2"/>
  <c r="C2535" i="2"/>
  <c r="C2534" i="2"/>
  <c r="C2533" i="2"/>
  <c r="C2532" i="2"/>
  <c r="C2531" i="2"/>
  <c r="C2530" i="2"/>
  <c r="C2529" i="2"/>
  <c r="C2528" i="2"/>
  <c r="C2527" i="2"/>
  <c r="C2526" i="2"/>
  <c r="C2525" i="2"/>
  <c r="C2524" i="2"/>
  <c r="C2523" i="2"/>
  <c r="C2522" i="2"/>
  <c r="C2521" i="2"/>
  <c r="C2520" i="2"/>
  <c r="C2519" i="2"/>
  <c r="C2518" i="2"/>
  <c r="C2517" i="2"/>
  <c r="C2516" i="2"/>
  <c r="C2515" i="2"/>
  <c r="C2514" i="2"/>
  <c r="C2513" i="2"/>
  <c r="C2512" i="2"/>
  <c r="C2511" i="2"/>
  <c r="C2510" i="2"/>
  <c r="C2509" i="2"/>
  <c r="C2508" i="2"/>
  <c r="C2507" i="2"/>
  <c r="C2506" i="2"/>
  <c r="C2505" i="2"/>
  <c r="C2504" i="2"/>
  <c r="C2503" i="2"/>
  <c r="C2502" i="2"/>
  <c r="C2501" i="2"/>
  <c r="C2500" i="2"/>
  <c r="C2499" i="2"/>
  <c r="C2498" i="2"/>
  <c r="C2497" i="2"/>
  <c r="C2496" i="2"/>
  <c r="C2495" i="2"/>
  <c r="C2494" i="2"/>
  <c r="C2493" i="2"/>
  <c r="C2492" i="2"/>
  <c r="C2491" i="2"/>
  <c r="C2490" i="2"/>
  <c r="C2489" i="2"/>
  <c r="C2488" i="2"/>
  <c r="C2487" i="2"/>
  <c r="C2486" i="2"/>
  <c r="C2485" i="2"/>
  <c r="C2484" i="2"/>
  <c r="C2483" i="2"/>
  <c r="C2482" i="2"/>
  <c r="C2481" i="2"/>
  <c r="C2480" i="2"/>
  <c r="C2479" i="2"/>
  <c r="C2478" i="2"/>
  <c r="C2477" i="2"/>
  <c r="C2476" i="2"/>
  <c r="C2475" i="2"/>
  <c r="C2474" i="2"/>
  <c r="C2473" i="2"/>
  <c r="C2472" i="2"/>
  <c r="C2471" i="2"/>
  <c r="C2470" i="2"/>
  <c r="C2469" i="2"/>
  <c r="C2468" i="2"/>
  <c r="C2467" i="2"/>
  <c r="C2466" i="2"/>
  <c r="C2465" i="2"/>
  <c r="C2464" i="2"/>
  <c r="C2463" i="2"/>
  <c r="C2462" i="2"/>
  <c r="C2461" i="2"/>
  <c r="C2460" i="2"/>
  <c r="C2459" i="2"/>
  <c r="C2458" i="2"/>
  <c r="C2457" i="2"/>
  <c r="C2456" i="2"/>
  <c r="C2455" i="2"/>
  <c r="C2454" i="2"/>
  <c r="C2453" i="2"/>
  <c r="C2452" i="2"/>
  <c r="C2451" i="2"/>
  <c r="C2450" i="2"/>
  <c r="C2449" i="2"/>
  <c r="C2448" i="2"/>
  <c r="C2447" i="2"/>
  <c r="C2446" i="2"/>
  <c r="C2445" i="2"/>
  <c r="C2444" i="2"/>
  <c r="C2443" i="2"/>
  <c r="C2442" i="2"/>
  <c r="C2441" i="2"/>
  <c r="C2440" i="2"/>
  <c r="C2439" i="2"/>
  <c r="C2438" i="2"/>
  <c r="C2437" i="2"/>
  <c r="C2436" i="2"/>
  <c r="C2435" i="2"/>
  <c r="C2434" i="2"/>
  <c r="C2433" i="2"/>
  <c r="C2432" i="2"/>
  <c r="C2431" i="2"/>
  <c r="C2430" i="2"/>
  <c r="C2429" i="2"/>
  <c r="C2428" i="2"/>
  <c r="C2427" i="2"/>
  <c r="C2426" i="2"/>
  <c r="C2425" i="2"/>
  <c r="C2424" i="2"/>
  <c r="C2423" i="2"/>
  <c r="C2422" i="2"/>
  <c r="C2421" i="2"/>
  <c r="C2420" i="2"/>
  <c r="C2419" i="2"/>
  <c r="C2418" i="2"/>
  <c r="C2417" i="2"/>
  <c r="C2416" i="2"/>
  <c r="C2415" i="2"/>
  <c r="C2414" i="2"/>
  <c r="C2413" i="2"/>
  <c r="C2412" i="2"/>
  <c r="C2411" i="2"/>
  <c r="C2410" i="2"/>
  <c r="C2409" i="2"/>
  <c r="C2408" i="2"/>
  <c r="C2407" i="2"/>
  <c r="C2406" i="2"/>
  <c r="C2405" i="2"/>
  <c r="C2404" i="2"/>
  <c r="C2403" i="2"/>
  <c r="C2402" i="2"/>
  <c r="C2401" i="2"/>
  <c r="C2400" i="2"/>
  <c r="C2399" i="2"/>
  <c r="C2398" i="2"/>
  <c r="C2397" i="2"/>
  <c r="C2396" i="2"/>
  <c r="C2395" i="2"/>
  <c r="C2394" i="2"/>
  <c r="C2393" i="2"/>
  <c r="C2392" i="2"/>
  <c r="C2391" i="2"/>
  <c r="C2390" i="2"/>
  <c r="C2389" i="2"/>
  <c r="C2388" i="2"/>
  <c r="C2387" i="2"/>
  <c r="C2386" i="2"/>
  <c r="C2385" i="2"/>
  <c r="C2384" i="2"/>
  <c r="C2383" i="2"/>
  <c r="C2382" i="2"/>
  <c r="C2381" i="2"/>
  <c r="C2380" i="2"/>
  <c r="C2379" i="2"/>
  <c r="C2378" i="2"/>
  <c r="C2377" i="2"/>
  <c r="C2376" i="2"/>
  <c r="C2375" i="2"/>
  <c r="C2374" i="2"/>
  <c r="C2373" i="2"/>
  <c r="C2372" i="2"/>
  <c r="C2371" i="2"/>
  <c r="C2370" i="2"/>
  <c r="C2369" i="2"/>
  <c r="C2368" i="2"/>
  <c r="C2367" i="2"/>
  <c r="C2366" i="2"/>
  <c r="C2365" i="2"/>
  <c r="C2364" i="2"/>
  <c r="C2363" i="2"/>
  <c r="C2362" i="2"/>
  <c r="C2361" i="2"/>
  <c r="C2360" i="2"/>
  <c r="C2359" i="2"/>
  <c r="C2358" i="2"/>
  <c r="C2357" i="2"/>
  <c r="C2356" i="2"/>
  <c r="C2355" i="2"/>
  <c r="C2354" i="2"/>
  <c r="C2353" i="2"/>
  <c r="C2352" i="2"/>
  <c r="C2351" i="2"/>
  <c r="C2350" i="2"/>
  <c r="C2349" i="2"/>
  <c r="C2348" i="2"/>
  <c r="C2347" i="2"/>
  <c r="C2346" i="2"/>
  <c r="C2345" i="2"/>
  <c r="C2344" i="2"/>
  <c r="C2343" i="2"/>
  <c r="C2342" i="2"/>
  <c r="C2341" i="2"/>
  <c r="C2340" i="2"/>
  <c r="C2339" i="2"/>
  <c r="C2338" i="2"/>
  <c r="C2337" i="2"/>
  <c r="C2336" i="2"/>
  <c r="C2335" i="2"/>
  <c r="C2334" i="2"/>
  <c r="C2333" i="2"/>
  <c r="C2332" i="2"/>
  <c r="C2331" i="2"/>
  <c r="C2330" i="2"/>
  <c r="C2329" i="2"/>
  <c r="C2328" i="2"/>
  <c r="C2327" i="2"/>
  <c r="C2326" i="2"/>
  <c r="C2325" i="2"/>
  <c r="C2324" i="2"/>
  <c r="C2323" i="2"/>
  <c r="C2322" i="2"/>
  <c r="C2321" i="2"/>
  <c r="C2320" i="2"/>
  <c r="C2319" i="2"/>
  <c r="C2318" i="2"/>
  <c r="C2317" i="2"/>
  <c r="C2316" i="2"/>
  <c r="C2315" i="2"/>
  <c r="C2314" i="2"/>
  <c r="C2313" i="2"/>
  <c r="C2312" i="2"/>
  <c r="C2311" i="2"/>
  <c r="C2310" i="2"/>
  <c r="C2309" i="2"/>
  <c r="C2308" i="2"/>
  <c r="C2307" i="2"/>
  <c r="C2306" i="2"/>
  <c r="C2305" i="2"/>
  <c r="C2304" i="2"/>
  <c r="C2303" i="2"/>
  <c r="C2302" i="2"/>
  <c r="C2301" i="2"/>
  <c r="C2300" i="2"/>
  <c r="C2299" i="2"/>
  <c r="C2298" i="2"/>
  <c r="C2297" i="2"/>
  <c r="C2296" i="2"/>
  <c r="C2295" i="2"/>
  <c r="C2294" i="2"/>
  <c r="C2293" i="2"/>
  <c r="C2292" i="2"/>
  <c r="C2291" i="2"/>
  <c r="C2290" i="2"/>
  <c r="C2289" i="2"/>
  <c r="C2288" i="2"/>
  <c r="C2287" i="2"/>
  <c r="C2286" i="2"/>
  <c r="C2285" i="2"/>
  <c r="C2284" i="2"/>
  <c r="C2283" i="2"/>
  <c r="C2282" i="2"/>
  <c r="C2281" i="2"/>
  <c r="C2280" i="2"/>
  <c r="C2279" i="2"/>
  <c r="C2278" i="2"/>
  <c r="C2277" i="2"/>
  <c r="C2276" i="2"/>
  <c r="C2275" i="2"/>
  <c r="C2274" i="2"/>
  <c r="C2273" i="2"/>
  <c r="C2272" i="2"/>
  <c r="C2271" i="2"/>
  <c r="C2270" i="2"/>
  <c r="C2269" i="2"/>
  <c r="C2268" i="2"/>
  <c r="C2267" i="2"/>
  <c r="C2266" i="2"/>
  <c r="C2265" i="2"/>
  <c r="C2264" i="2"/>
  <c r="C2263" i="2"/>
  <c r="C2262" i="2"/>
  <c r="C2261" i="2"/>
  <c r="C2260" i="2"/>
  <c r="C2259" i="2"/>
  <c r="C2258" i="2"/>
  <c r="C2257" i="2"/>
  <c r="C2256" i="2"/>
  <c r="C2255" i="2"/>
  <c r="C2254" i="2"/>
  <c r="C2253" i="2"/>
  <c r="C2252" i="2"/>
  <c r="C2251" i="2"/>
  <c r="C2250" i="2"/>
  <c r="C2249" i="2"/>
  <c r="C2248" i="2"/>
  <c r="C2247" i="2"/>
  <c r="C2246" i="2"/>
  <c r="C2245" i="2"/>
  <c r="C2244" i="2"/>
  <c r="C2243" i="2"/>
  <c r="C2242" i="2"/>
  <c r="C2241" i="2"/>
  <c r="C2240" i="2"/>
  <c r="C2239" i="2"/>
  <c r="C2238" i="2"/>
  <c r="C2237" i="2"/>
  <c r="C2236" i="2"/>
  <c r="C2235" i="2"/>
  <c r="C2234" i="2"/>
  <c r="C2233" i="2"/>
  <c r="C2232" i="2"/>
  <c r="C2231" i="2"/>
  <c r="C2230" i="2"/>
  <c r="C2229" i="2"/>
  <c r="C2228" i="2"/>
  <c r="C2227" i="2"/>
  <c r="C2226" i="2"/>
  <c r="C2225" i="2"/>
  <c r="C2224" i="2"/>
  <c r="C2223" i="2"/>
  <c r="C2222" i="2"/>
  <c r="C2221" i="2"/>
  <c r="C2220" i="2"/>
  <c r="C2219" i="2"/>
  <c r="C2218" i="2"/>
  <c r="C2217" i="2"/>
  <c r="C2216" i="2"/>
  <c r="C2215" i="2"/>
  <c r="C2214" i="2"/>
  <c r="C2213" i="2"/>
  <c r="C2212" i="2"/>
  <c r="C2211" i="2"/>
  <c r="C2210" i="2"/>
  <c r="C2209" i="2"/>
  <c r="C2208" i="2"/>
  <c r="C2207" i="2"/>
  <c r="C2206" i="2"/>
  <c r="C2205" i="2"/>
  <c r="C2204" i="2"/>
  <c r="C2203" i="2"/>
  <c r="C2202" i="2"/>
  <c r="C2201" i="2"/>
  <c r="C2200" i="2"/>
  <c r="C2199" i="2"/>
  <c r="C2198" i="2"/>
  <c r="C2197" i="2"/>
  <c r="C2196" i="2"/>
  <c r="C2195" i="2"/>
  <c r="C2194" i="2"/>
  <c r="C2193" i="2"/>
  <c r="C2192" i="2"/>
  <c r="C2191" i="2"/>
  <c r="C2190" i="2"/>
  <c r="C2189" i="2"/>
  <c r="C2188" i="2"/>
  <c r="C2187" i="2"/>
  <c r="C2186" i="2"/>
  <c r="C2185" i="2"/>
  <c r="C2184" i="2"/>
  <c r="C2183" i="2"/>
  <c r="C2182" i="2"/>
  <c r="C2181" i="2"/>
  <c r="C2180" i="2"/>
  <c r="C2179" i="2"/>
  <c r="C2178" i="2"/>
  <c r="C2177" i="2"/>
  <c r="C2176" i="2"/>
  <c r="C2175" i="2"/>
  <c r="C2174" i="2"/>
  <c r="C2173" i="2"/>
  <c r="C2172" i="2"/>
  <c r="C2171" i="2"/>
  <c r="C2170" i="2"/>
  <c r="C2169" i="2"/>
  <c r="C2168" i="2"/>
  <c r="C2167" i="2"/>
  <c r="C2166" i="2"/>
  <c r="C2165" i="2"/>
  <c r="C2164" i="2"/>
  <c r="C2163" i="2"/>
  <c r="C2162" i="2"/>
  <c r="C2161" i="2"/>
  <c r="C2160" i="2"/>
  <c r="C2159" i="2"/>
  <c r="C2158" i="2"/>
  <c r="C2157" i="2"/>
  <c r="C2156" i="2"/>
  <c r="C2155" i="2"/>
  <c r="C2154" i="2"/>
  <c r="C2153" i="2"/>
  <c r="C2152" i="2"/>
  <c r="C2151" i="2"/>
  <c r="C2150" i="2"/>
  <c r="C2149" i="2"/>
  <c r="C2148" i="2"/>
  <c r="C2147" i="2"/>
  <c r="C2146" i="2"/>
  <c r="C2145" i="2"/>
  <c r="C2144" i="2"/>
  <c r="C2143" i="2"/>
  <c r="C2142" i="2"/>
  <c r="C2141" i="2"/>
  <c r="C2140" i="2"/>
  <c r="C2139" i="2"/>
  <c r="C2138" i="2"/>
  <c r="C2137" i="2"/>
  <c r="C2136" i="2"/>
  <c r="C2135" i="2"/>
  <c r="C2134" i="2"/>
  <c r="C2133" i="2"/>
  <c r="C2132" i="2"/>
  <c r="C2131" i="2"/>
  <c r="C2130" i="2"/>
  <c r="C2129" i="2"/>
  <c r="C2128" i="2"/>
  <c r="C2127" i="2"/>
  <c r="C2126" i="2"/>
  <c r="C2125" i="2"/>
  <c r="C2124" i="2"/>
  <c r="C2123" i="2"/>
  <c r="C2122" i="2"/>
  <c r="C2121" i="2"/>
  <c r="C2120" i="2"/>
  <c r="C2119" i="2"/>
  <c r="C2118" i="2"/>
  <c r="C2117" i="2"/>
  <c r="C2116" i="2"/>
  <c r="C2115" i="2"/>
  <c r="C2114" i="2"/>
  <c r="C2113" i="2"/>
  <c r="C2112" i="2"/>
  <c r="C2111" i="2"/>
  <c r="C2110" i="2"/>
  <c r="C2109" i="2"/>
  <c r="C2108" i="2"/>
  <c r="C2107" i="2"/>
  <c r="C2106" i="2"/>
  <c r="C2105" i="2"/>
  <c r="C2104" i="2"/>
  <c r="C2103" i="2"/>
  <c r="C2102" i="2"/>
  <c r="C2101" i="2"/>
  <c r="C2100" i="2"/>
  <c r="C2099" i="2"/>
  <c r="C2098" i="2"/>
  <c r="C2097" i="2"/>
  <c r="C2096" i="2"/>
  <c r="C2095" i="2"/>
  <c r="C2094" i="2"/>
  <c r="C2093" i="2"/>
  <c r="C2092" i="2"/>
  <c r="C2091" i="2"/>
  <c r="C2090" i="2"/>
  <c r="C2089" i="2"/>
  <c r="C2088" i="2"/>
  <c r="C2087" i="2"/>
  <c r="C2086" i="2"/>
  <c r="C2085" i="2"/>
  <c r="C2084" i="2"/>
  <c r="C2083" i="2"/>
  <c r="C2082" i="2"/>
  <c r="C2081" i="2"/>
  <c r="C2080" i="2"/>
  <c r="C2079" i="2"/>
  <c r="C2078" i="2"/>
  <c r="C2077" i="2"/>
  <c r="C2076" i="2"/>
  <c r="C2075" i="2"/>
  <c r="C2074" i="2"/>
  <c r="C2073" i="2"/>
  <c r="C2072" i="2"/>
  <c r="C2071" i="2"/>
  <c r="C2070" i="2"/>
  <c r="C2069" i="2"/>
  <c r="C2068" i="2"/>
  <c r="C2067" i="2"/>
  <c r="C2066" i="2"/>
  <c r="C2065" i="2"/>
  <c r="C2064" i="2"/>
  <c r="C2063" i="2"/>
  <c r="C2062" i="2"/>
  <c r="C2061" i="2"/>
  <c r="C2060" i="2"/>
  <c r="C2059" i="2"/>
  <c r="C2058" i="2"/>
  <c r="C2057" i="2"/>
  <c r="C2056" i="2"/>
  <c r="C2055" i="2"/>
  <c r="C2054" i="2"/>
  <c r="C2053" i="2"/>
  <c r="C2052" i="2"/>
  <c r="C2051" i="2"/>
  <c r="C2050" i="2"/>
  <c r="C2049" i="2"/>
  <c r="C2048" i="2"/>
  <c r="C2047" i="2"/>
  <c r="C2046" i="2"/>
  <c r="C2045" i="2"/>
  <c r="C2044" i="2"/>
  <c r="C2043" i="2"/>
  <c r="C2042" i="2"/>
  <c r="C2041" i="2"/>
  <c r="C2040" i="2"/>
  <c r="C2039" i="2"/>
  <c r="C2038" i="2"/>
  <c r="C2037" i="2"/>
  <c r="C2036" i="2"/>
  <c r="C2035" i="2"/>
  <c r="C2034" i="2"/>
  <c r="C2033" i="2"/>
  <c r="C2032" i="2"/>
  <c r="C2031" i="2"/>
  <c r="C2030" i="2"/>
  <c r="C2029" i="2"/>
  <c r="C2028" i="2"/>
  <c r="C2027" i="2"/>
  <c r="C2026" i="2"/>
  <c r="C2025" i="2"/>
  <c r="C2024" i="2"/>
  <c r="C2023" i="2"/>
  <c r="C2022" i="2"/>
  <c r="C2021" i="2"/>
  <c r="C2020" i="2"/>
  <c r="C2019" i="2"/>
  <c r="C2018" i="2"/>
  <c r="C2017" i="2"/>
  <c r="C2016" i="2"/>
  <c r="C2015" i="2"/>
  <c r="C2014" i="2"/>
  <c r="C2013" i="2"/>
  <c r="C2012" i="2"/>
  <c r="C2011" i="2"/>
  <c r="C2010" i="2"/>
  <c r="C2009" i="2"/>
  <c r="C2008" i="2"/>
  <c r="C2007" i="2"/>
  <c r="C2006" i="2"/>
  <c r="C2005" i="2"/>
  <c r="C2004" i="2"/>
  <c r="C2003" i="2"/>
  <c r="C2002" i="2"/>
  <c r="C2001" i="2"/>
  <c r="C2000" i="2"/>
  <c r="C1999" i="2"/>
  <c r="C1998" i="2"/>
  <c r="C1997" i="2"/>
  <c r="C1996" i="2"/>
  <c r="C1995" i="2"/>
  <c r="C1994" i="2"/>
  <c r="C1993" i="2"/>
  <c r="C1992" i="2"/>
  <c r="C1991" i="2"/>
  <c r="C1990" i="2"/>
  <c r="C1989" i="2"/>
  <c r="C1988" i="2"/>
  <c r="C1987" i="2"/>
  <c r="C1986" i="2"/>
  <c r="C1985" i="2"/>
  <c r="C1984" i="2"/>
  <c r="C1983" i="2"/>
  <c r="C1982" i="2"/>
  <c r="C1981" i="2"/>
  <c r="C1980" i="2"/>
  <c r="C1979" i="2"/>
  <c r="C1978" i="2"/>
  <c r="C1977" i="2"/>
  <c r="C1976" i="2"/>
  <c r="C1975" i="2"/>
  <c r="C1974" i="2"/>
  <c r="C1973" i="2"/>
  <c r="C1972" i="2"/>
  <c r="C1971" i="2"/>
  <c r="C1970" i="2"/>
  <c r="C1969" i="2"/>
  <c r="C1968" i="2"/>
  <c r="C1967" i="2"/>
  <c r="C1966" i="2"/>
  <c r="C1965" i="2"/>
  <c r="C1964" i="2"/>
  <c r="C1963" i="2"/>
  <c r="C1962" i="2"/>
  <c r="C1961" i="2"/>
  <c r="C1960" i="2"/>
  <c r="C1959" i="2"/>
  <c r="C1958" i="2"/>
  <c r="C1957" i="2"/>
  <c r="C1956" i="2"/>
  <c r="C1955" i="2"/>
  <c r="C1954" i="2"/>
  <c r="C1953" i="2"/>
  <c r="C1952" i="2"/>
  <c r="C1951" i="2"/>
  <c r="C1950" i="2"/>
  <c r="C1949" i="2"/>
  <c r="C1948" i="2"/>
  <c r="C1947" i="2"/>
  <c r="C1946" i="2"/>
  <c r="C1945" i="2"/>
  <c r="C1944" i="2"/>
  <c r="C1943" i="2"/>
  <c r="C1942" i="2"/>
  <c r="C1941" i="2"/>
  <c r="C1940" i="2"/>
  <c r="C1939" i="2"/>
  <c r="C1938" i="2"/>
  <c r="C1937" i="2"/>
  <c r="C1936" i="2"/>
  <c r="C1935" i="2"/>
  <c r="C1934" i="2"/>
  <c r="C1933" i="2"/>
  <c r="C1932" i="2"/>
  <c r="C1931" i="2"/>
  <c r="C1930" i="2"/>
  <c r="C1929" i="2"/>
  <c r="C1928" i="2"/>
  <c r="C1927" i="2"/>
  <c r="C1926" i="2"/>
  <c r="C1925" i="2"/>
  <c r="C1924" i="2"/>
  <c r="C1923" i="2"/>
  <c r="C1922" i="2"/>
  <c r="C1921" i="2"/>
  <c r="C1920" i="2"/>
  <c r="C1919" i="2"/>
  <c r="C1918" i="2"/>
  <c r="C1917" i="2"/>
  <c r="C1916" i="2"/>
  <c r="C1915" i="2"/>
  <c r="C1914" i="2"/>
  <c r="C1913" i="2"/>
  <c r="C1912" i="2"/>
  <c r="C1911" i="2"/>
  <c r="C1910" i="2"/>
  <c r="C1909" i="2"/>
  <c r="C1908" i="2"/>
  <c r="C1907" i="2"/>
  <c r="C1906" i="2"/>
  <c r="C1905" i="2"/>
  <c r="C1904" i="2"/>
  <c r="C1903" i="2"/>
  <c r="C1902" i="2"/>
  <c r="C1901" i="2"/>
  <c r="C1900" i="2"/>
  <c r="C1899" i="2"/>
  <c r="C1898" i="2"/>
  <c r="C1897" i="2"/>
  <c r="C1896" i="2"/>
  <c r="C1895" i="2"/>
  <c r="C1894" i="2"/>
  <c r="C1893" i="2"/>
  <c r="C1892" i="2"/>
  <c r="C1891" i="2"/>
  <c r="C1890" i="2"/>
  <c r="C1889" i="2"/>
  <c r="C1888" i="2"/>
  <c r="C1887" i="2"/>
  <c r="C1886" i="2"/>
  <c r="C1885" i="2"/>
  <c r="C1884" i="2"/>
  <c r="C1883" i="2"/>
  <c r="C1882" i="2"/>
  <c r="C1881" i="2"/>
  <c r="C1880" i="2"/>
  <c r="C1879" i="2"/>
  <c r="C1878" i="2"/>
  <c r="C1877" i="2"/>
  <c r="C1876" i="2"/>
  <c r="C1875" i="2"/>
  <c r="C1874" i="2"/>
  <c r="C1873" i="2"/>
  <c r="C1872" i="2"/>
  <c r="C1871" i="2"/>
  <c r="C1870" i="2"/>
  <c r="C1869" i="2"/>
  <c r="C1868" i="2"/>
  <c r="C1867" i="2"/>
  <c r="C1866" i="2"/>
  <c r="C1865" i="2"/>
  <c r="C1864" i="2"/>
  <c r="C1863" i="2"/>
  <c r="C1862" i="2"/>
  <c r="C1861" i="2"/>
  <c r="C1860" i="2"/>
  <c r="C1859" i="2"/>
  <c r="C1858" i="2"/>
  <c r="C1857" i="2"/>
  <c r="C1856" i="2"/>
  <c r="C1855" i="2"/>
  <c r="C1854" i="2"/>
  <c r="C1853" i="2"/>
  <c r="C1852" i="2"/>
  <c r="C1851" i="2"/>
  <c r="C1850" i="2"/>
  <c r="C1849" i="2"/>
  <c r="C1848" i="2"/>
  <c r="C1847" i="2"/>
  <c r="C1846" i="2"/>
  <c r="C1845" i="2"/>
  <c r="C1844" i="2"/>
  <c r="C1843" i="2"/>
  <c r="C1842" i="2"/>
  <c r="C1841" i="2"/>
  <c r="C1840" i="2"/>
  <c r="C1839" i="2"/>
  <c r="C1838" i="2"/>
  <c r="C1837" i="2"/>
  <c r="C1836" i="2"/>
  <c r="C1835" i="2"/>
  <c r="C1834" i="2"/>
  <c r="C1833" i="2"/>
  <c r="C1832" i="2"/>
  <c r="C1831" i="2"/>
  <c r="C1830" i="2"/>
  <c r="C1829" i="2"/>
  <c r="C1828" i="2"/>
  <c r="C1827" i="2"/>
  <c r="C1826" i="2"/>
  <c r="C1825" i="2"/>
  <c r="C1824" i="2"/>
  <c r="C1823" i="2"/>
  <c r="C1822" i="2"/>
  <c r="C1821" i="2"/>
  <c r="C1820" i="2"/>
  <c r="C1819" i="2"/>
  <c r="C1818" i="2"/>
  <c r="C1817" i="2"/>
  <c r="C1816" i="2"/>
  <c r="C1815" i="2"/>
  <c r="C1814" i="2"/>
  <c r="C1813" i="2"/>
  <c r="C1812" i="2"/>
  <c r="C1811" i="2"/>
  <c r="C1810" i="2"/>
  <c r="C1809" i="2"/>
  <c r="C1808" i="2"/>
  <c r="C1807" i="2"/>
  <c r="C1806" i="2"/>
  <c r="C1805" i="2"/>
  <c r="C1804" i="2"/>
  <c r="C1803" i="2"/>
  <c r="C1802" i="2"/>
  <c r="C1801" i="2"/>
  <c r="C1800" i="2"/>
  <c r="C1799" i="2"/>
  <c r="C1798" i="2"/>
  <c r="C1797" i="2"/>
  <c r="C1796" i="2"/>
  <c r="C1795" i="2"/>
  <c r="C1794" i="2"/>
  <c r="C1793" i="2"/>
  <c r="C1792" i="2"/>
  <c r="C1791" i="2"/>
  <c r="C1790" i="2"/>
  <c r="C1789" i="2"/>
  <c r="C1788" i="2"/>
  <c r="C1787" i="2"/>
  <c r="C1786" i="2"/>
  <c r="C1785" i="2"/>
  <c r="C1784" i="2"/>
  <c r="C1783" i="2"/>
  <c r="C1782" i="2"/>
  <c r="C1781" i="2"/>
  <c r="C1780" i="2"/>
  <c r="C1779" i="2"/>
  <c r="C1778" i="2"/>
  <c r="C1777" i="2"/>
  <c r="C1776" i="2"/>
  <c r="C1775" i="2"/>
  <c r="C1774" i="2"/>
  <c r="C1773" i="2"/>
  <c r="C1772" i="2"/>
  <c r="C1771" i="2"/>
  <c r="C1770" i="2"/>
  <c r="C1769" i="2"/>
  <c r="C1768" i="2"/>
  <c r="C1767" i="2"/>
  <c r="C1766" i="2"/>
  <c r="C1765" i="2"/>
  <c r="C1764" i="2"/>
  <c r="C1763" i="2"/>
  <c r="C1762" i="2"/>
  <c r="C1761" i="2"/>
  <c r="C1760" i="2"/>
  <c r="C1759" i="2"/>
  <c r="C1758" i="2"/>
  <c r="C1757" i="2"/>
  <c r="C1756" i="2"/>
  <c r="C1755" i="2"/>
  <c r="C1754" i="2"/>
  <c r="C1753" i="2"/>
  <c r="C1752" i="2"/>
  <c r="C1751" i="2"/>
  <c r="C1750" i="2"/>
  <c r="C1749" i="2"/>
  <c r="C1748" i="2"/>
  <c r="C1747" i="2"/>
  <c r="C1746" i="2"/>
  <c r="C1745" i="2"/>
  <c r="C1744" i="2"/>
  <c r="C1743" i="2"/>
  <c r="C1742" i="2"/>
  <c r="C1741" i="2"/>
  <c r="C1740" i="2"/>
  <c r="C1739" i="2"/>
  <c r="C1738" i="2"/>
  <c r="C1737" i="2"/>
  <c r="C1736" i="2"/>
  <c r="C1735" i="2"/>
  <c r="C1734" i="2"/>
  <c r="C1733" i="2"/>
  <c r="C1732" i="2"/>
  <c r="C1731" i="2"/>
  <c r="C1730" i="2"/>
  <c r="C1729" i="2"/>
  <c r="C1728" i="2"/>
  <c r="C1727" i="2"/>
  <c r="C1726" i="2"/>
  <c r="C1725" i="2"/>
  <c r="C1724" i="2"/>
  <c r="C1723" i="2"/>
  <c r="C1722" i="2"/>
  <c r="C1721" i="2"/>
  <c r="C1720" i="2"/>
  <c r="C1719" i="2"/>
  <c r="C1718" i="2"/>
  <c r="C1717" i="2"/>
  <c r="C1716" i="2"/>
  <c r="C1715" i="2"/>
  <c r="C1714" i="2"/>
  <c r="C1713" i="2"/>
  <c r="C1712" i="2"/>
  <c r="C1711" i="2"/>
  <c r="C1710" i="2"/>
  <c r="C1709" i="2"/>
  <c r="C1708" i="2"/>
  <c r="C1707" i="2"/>
  <c r="C1706" i="2"/>
  <c r="C1705" i="2"/>
  <c r="C1704" i="2"/>
  <c r="C1703" i="2"/>
  <c r="C1702" i="2"/>
  <c r="C1701" i="2"/>
  <c r="C1700" i="2"/>
  <c r="C1699" i="2"/>
  <c r="C1698" i="2"/>
  <c r="C1697" i="2"/>
  <c r="C1696" i="2"/>
  <c r="C1695" i="2"/>
  <c r="C1694" i="2"/>
  <c r="C1693" i="2"/>
  <c r="C1692" i="2"/>
  <c r="C1691" i="2"/>
  <c r="C1690" i="2"/>
  <c r="C1689" i="2"/>
  <c r="C1688" i="2"/>
  <c r="C1687" i="2"/>
  <c r="C1686" i="2"/>
  <c r="C1685" i="2"/>
  <c r="C1684" i="2"/>
  <c r="C1683" i="2"/>
  <c r="C1682" i="2"/>
  <c r="C1681" i="2"/>
  <c r="C1680" i="2"/>
  <c r="C1679" i="2"/>
  <c r="C1678" i="2"/>
  <c r="C1677" i="2"/>
  <c r="C1676" i="2"/>
  <c r="C1675" i="2"/>
  <c r="C1674" i="2"/>
  <c r="C1673" i="2"/>
  <c r="C1672" i="2"/>
  <c r="C1671" i="2"/>
  <c r="C1670" i="2"/>
  <c r="C1669" i="2"/>
  <c r="C1668" i="2"/>
  <c r="C1667" i="2"/>
  <c r="C1666" i="2"/>
  <c r="C1665" i="2"/>
  <c r="C1664" i="2"/>
  <c r="C1663" i="2"/>
  <c r="C1662" i="2"/>
  <c r="C1661" i="2"/>
  <c r="C1660" i="2"/>
  <c r="C1659" i="2"/>
  <c r="C1658" i="2"/>
  <c r="C1657" i="2"/>
  <c r="C1656" i="2"/>
  <c r="C1655" i="2"/>
  <c r="C1654" i="2"/>
  <c r="C1653" i="2"/>
  <c r="C1652" i="2"/>
  <c r="C1651" i="2"/>
  <c r="C1650" i="2"/>
  <c r="C1649" i="2"/>
  <c r="C1648" i="2"/>
  <c r="C1647" i="2"/>
  <c r="C1646" i="2"/>
  <c r="C1645" i="2"/>
  <c r="C1644" i="2"/>
  <c r="C1643" i="2"/>
  <c r="C1642" i="2"/>
  <c r="C1641" i="2"/>
  <c r="C1640" i="2"/>
  <c r="C1639" i="2"/>
  <c r="C1638" i="2"/>
  <c r="C1637" i="2"/>
  <c r="C1636" i="2"/>
  <c r="C1635" i="2"/>
  <c r="C1634" i="2"/>
  <c r="C1633" i="2"/>
  <c r="C1632" i="2"/>
  <c r="C1631" i="2"/>
  <c r="C1630" i="2"/>
  <c r="C1629" i="2"/>
  <c r="C1628" i="2"/>
  <c r="C1627" i="2"/>
  <c r="C1626" i="2"/>
  <c r="C1625" i="2"/>
  <c r="C1624" i="2"/>
  <c r="C1623" i="2"/>
  <c r="C1622" i="2"/>
  <c r="C1621" i="2"/>
  <c r="C1620" i="2"/>
  <c r="C1619" i="2"/>
  <c r="C1618" i="2"/>
  <c r="C1617" i="2"/>
  <c r="C1616" i="2"/>
  <c r="C1615" i="2"/>
  <c r="C1614" i="2"/>
  <c r="C1613" i="2"/>
  <c r="C1612" i="2"/>
  <c r="C1611" i="2"/>
  <c r="C1610" i="2"/>
  <c r="C1609" i="2"/>
  <c r="C1608" i="2"/>
  <c r="C1607" i="2"/>
  <c r="C1606" i="2"/>
  <c r="C1605" i="2"/>
  <c r="C1604" i="2"/>
  <c r="C1603" i="2"/>
  <c r="C1602" i="2"/>
  <c r="C1601" i="2"/>
  <c r="C1600" i="2"/>
  <c r="C1599" i="2"/>
  <c r="C1598" i="2"/>
  <c r="C1597" i="2"/>
  <c r="C1596" i="2"/>
  <c r="C1595" i="2"/>
  <c r="C1594" i="2"/>
  <c r="C1593" i="2"/>
  <c r="C1592" i="2"/>
  <c r="C1591" i="2"/>
  <c r="C1590" i="2"/>
  <c r="C1589" i="2"/>
  <c r="C1588" i="2"/>
  <c r="C1587" i="2"/>
  <c r="C1586" i="2"/>
  <c r="C1585" i="2"/>
  <c r="C1584" i="2"/>
  <c r="C1583" i="2"/>
  <c r="C1582" i="2"/>
  <c r="C1581" i="2"/>
  <c r="C1580" i="2"/>
  <c r="C1579" i="2"/>
  <c r="C1578" i="2"/>
  <c r="C1577" i="2"/>
  <c r="C1576" i="2"/>
  <c r="C1575" i="2"/>
  <c r="C1574" i="2"/>
  <c r="C1573" i="2"/>
  <c r="C1572" i="2"/>
  <c r="C1571" i="2"/>
  <c r="C1570" i="2"/>
  <c r="C1569" i="2"/>
  <c r="C1568" i="2"/>
  <c r="C1567" i="2"/>
  <c r="C1566" i="2"/>
  <c r="C1565" i="2"/>
  <c r="C1564" i="2"/>
  <c r="C1563" i="2"/>
  <c r="C1562" i="2"/>
  <c r="C1561" i="2"/>
  <c r="C1560" i="2"/>
  <c r="C1559" i="2"/>
  <c r="C1558" i="2"/>
  <c r="C1557" i="2"/>
  <c r="C1556" i="2"/>
  <c r="C1555" i="2"/>
  <c r="C1554" i="2"/>
  <c r="C1553" i="2"/>
  <c r="C1552" i="2"/>
  <c r="C1551" i="2"/>
  <c r="C1550" i="2"/>
  <c r="C1549" i="2"/>
  <c r="C1548" i="2"/>
  <c r="C1547" i="2"/>
  <c r="C1546" i="2"/>
  <c r="C1545" i="2"/>
  <c r="C1544" i="2"/>
  <c r="C1543" i="2"/>
  <c r="C1542" i="2"/>
  <c r="C1541" i="2"/>
  <c r="C1540" i="2"/>
  <c r="C1539" i="2"/>
  <c r="C1538" i="2"/>
  <c r="C1537" i="2"/>
  <c r="C1536" i="2"/>
  <c r="C1535" i="2"/>
  <c r="C1534" i="2"/>
  <c r="C1533" i="2"/>
  <c r="C1532" i="2"/>
  <c r="C1531" i="2"/>
  <c r="C1530" i="2"/>
  <c r="C1529" i="2"/>
  <c r="C1528" i="2"/>
  <c r="C1527" i="2"/>
  <c r="C1526" i="2"/>
  <c r="C1525" i="2"/>
  <c r="C1524" i="2"/>
  <c r="C1523" i="2"/>
  <c r="C1522" i="2"/>
  <c r="C1521" i="2"/>
  <c r="C1520" i="2"/>
  <c r="C1519" i="2"/>
  <c r="C1518" i="2"/>
  <c r="C1517" i="2"/>
  <c r="C1516" i="2"/>
  <c r="C1515" i="2"/>
  <c r="C1514" i="2"/>
  <c r="C1513" i="2"/>
  <c r="C1512" i="2"/>
  <c r="C1511" i="2"/>
  <c r="C1510" i="2"/>
  <c r="C1509" i="2"/>
  <c r="C1508" i="2"/>
  <c r="C1507" i="2"/>
  <c r="C1506" i="2"/>
  <c r="C1505" i="2"/>
  <c r="C1504" i="2"/>
  <c r="C1503" i="2"/>
  <c r="C1502" i="2"/>
  <c r="C1501" i="2"/>
  <c r="C1500" i="2"/>
  <c r="C1499" i="2"/>
  <c r="C1498" i="2"/>
  <c r="C1497" i="2"/>
  <c r="C1496" i="2"/>
  <c r="C1495" i="2"/>
  <c r="C1494" i="2"/>
  <c r="C1493" i="2"/>
  <c r="C1492" i="2"/>
  <c r="C1491" i="2"/>
  <c r="C1490" i="2"/>
  <c r="C1489" i="2"/>
  <c r="C1488" i="2"/>
  <c r="C1487" i="2"/>
  <c r="C1486" i="2"/>
  <c r="C1485" i="2"/>
  <c r="C1484" i="2"/>
  <c r="C1483" i="2"/>
  <c r="C1482" i="2"/>
  <c r="C1481" i="2"/>
  <c r="C1480" i="2"/>
  <c r="C1479" i="2"/>
  <c r="C1478" i="2"/>
  <c r="C1477" i="2"/>
  <c r="C1476" i="2"/>
  <c r="C1475" i="2"/>
  <c r="C1474" i="2"/>
  <c r="C1473" i="2"/>
  <c r="C1472" i="2"/>
  <c r="C1471" i="2"/>
  <c r="C1470" i="2"/>
  <c r="C1469" i="2"/>
  <c r="C1468" i="2"/>
  <c r="C1467" i="2"/>
  <c r="C1466" i="2"/>
  <c r="C1465" i="2"/>
  <c r="C1464" i="2"/>
  <c r="C1463" i="2"/>
  <c r="C1462" i="2"/>
  <c r="C1461" i="2"/>
  <c r="C1460" i="2"/>
  <c r="C1459" i="2"/>
  <c r="C1458" i="2"/>
  <c r="C1457" i="2"/>
  <c r="C1456" i="2"/>
  <c r="C1455" i="2"/>
  <c r="C1454" i="2"/>
  <c r="C1453" i="2"/>
  <c r="C1452" i="2"/>
  <c r="C1451" i="2"/>
  <c r="C1450" i="2"/>
  <c r="C1449" i="2"/>
  <c r="C1448" i="2"/>
  <c r="C1447" i="2"/>
  <c r="C1446" i="2"/>
  <c r="C1445" i="2"/>
  <c r="C1444" i="2"/>
  <c r="C1443" i="2"/>
  <c r="C1442" i="2"/>
  <c r="C1441" i="2"/>
  <c r="C1440" i="2"/>
  <c r="C1439" i="2"/>
  <c r="C1438" i="2"/>
  <c r="C1437" i="2"/>
  <c r="C1436" i="2"/>
  <c r="C1435" i="2"/>
  <c r="C1434" i="2"/>
  <c r="C1433" i="2"/>
  <c r="C1432" i="2"/>
  <c r="C1431" i="2"/>
  <c r="C1430" i="2"/>
  <c r="C1429" i="2"/>
  <c r="C1428" i="2"/>
  <c r="C1427" i="2"/>
  <c r="C1426" i="2"/>
  <c r="C1425" i="2"/>
  <c r="C1424" i="2"/>
  <c r="C1423" i="2"/>
  <c r="C1422" i="2"/>
  <c r="C1421" i="2"/>
  <c r="C1420" i="2"/>
  <c r="C1419" i="2"/>
  <c r="C1418" i="2"/>
  <c r="C1417" i="2"/>
  <c r="C1416" i="2"/>
  <c r="C1415" i="2"/>
  <c r="C1414" i="2"/>
  <c r="C1413" i="2"/>
  <c r="C1412" i="2"/>
  <c r="C1411" i="2"/>
  <c r="C1410" i="2"/>
  <c r="C1409" i="2"/>
  <c r="C1408" i="2"/>
  <c r="C1407" i="2"/>
  <c r="C1406" i="2"/>
  <c r="C1405" i="2"/>
  <c r="C1404" i="2"/>
  <c r="C1403" i="2"/>
  <c r="C1402" i="2"/>
  <c r="C1401" i="2"/>
  <c r="C1400" i="2"/>
  <c r="C1399" i="2"/>
  <c r="C1398" i="2"/>
  <c r="C1397" i="2"/>
  <c r="C1396" i="2"/>
  <c r="C1395" i="2"/>
  <c r="C1394" i="2"/>
  <c r="C1393" i="2"/>
  <c r="C1392" i="2"/>
  <c r="C1391" i="2"/>
  <c r="C1390" i="2"/>
  <c r="C1389" i="2"/>
  <c r="C1388" i="2"/>
  <c r="C1387" i="2"/>
  <c r="C1386" i="2"/>
  <c r="C1385" i="2"/>
  <c r="C1384" i="2"/>
  <c r="C1383" i="2"/>
  <c r="C1382" i="2"/>
  <c r="C1381" i="2"/>
  <c r="C1380" i="2"/>
  <c r="C1379" i="2"/>
  <c r="C1378" i="2"/>
  <c r="C1377" i="2"/>
  <c r="C1376" i="2"/>
  <c r="C1375" i="2"/>
  <c r="C1374" i="2"/>
  <c r="C1373" i="2"/>
  <c r="C1372" i="2"/>
  <c r="C1371" i="2"/>
  <c r="C1370" i="2"/>
  <c r="C1369" i="2"/>
  <c r="C1368" i="2"/>
  <c r="C1367" i="2"/>
  <c r="C1366" i="2"/>
  <c r="C1365" i="2"/>
  <c r="C1364" i="2"/>
  <c r="C1363" i="2"/>
  <c r="C1362" i="2"/>
  <c r="C1361" i="2"/>
  <c r="C1360" i="2"/>
  <c r="C1359" i="2"/>
  <c r="C1358" i="2"/>
  <c r="C1357" i="2"/>
  <c r="C1356" i="2"/>
  <c r="C1355" i="2"/>
  <c r="C1354" i="2"/>
  <c r="C1353" i="2"/>
  <c r="C1352" i="2"/>
  <c r="C1351" i="2"/>
  <c r="C1350" i="2"/>
  <c r="C1349" i="2"/>
  <c r="C1348" i="2"/>
  <c r="C1347" i="2"/>
  <c r="C1346" i="2"/>
  <c r="C1345" i="2"/>
  <c r="C1344" i="2"/>
  <c r="C1343" i="2"/>
  <c r="C1342" i="2"/>
  <c r="C1341" i="2"/>
  <c r="C1340" i="2"/>
  <c r="C1339" i="2"/>
  <c r="C1338" i="2"/>
  <c r="C1337" i="2"/>
  <c r="C1336" i="2"/>
  <c r="C1335" i="2"/>
  <c r="C1334" i="2"/>
  <c r="C1333" i="2"/>
  <c r="C1332" i="2"/>
  <c r="C1331" i="2"/>
  <c r="C1330" i="2"/>
  <c r="C1329" i="2"/>
  <c r="C1328" i="2"/>
  <c r="C1327" i="2"/>
  <c r="C1326" i="2"/>
  <c r="C1325" i="2"/>
  <c r="C1324" i="2"/>
  <c r="C1323" i="2"/>
  <c r="C1322" i="2"/>
  <c r="C1321" i="2"/>
  <c r="C1320" i="2"/>
  <c r="C1319" i="2"/>
  <c r="C1318" i="2"/>
  <c r="C1317" i="2"/>
  <c r="C1316" i="2"/>
  <c r="C1315" i="2"/>
  <c r="C1314" i="2"/>
  <c r="C1313" i="2"/>
  <c r="C1312" i="2"/>
  <c r="C1311" i="2"/>
  <c r="C1310" i="2"/>
  <c r="C1309" i="2"/>
  <c r="C1308" i="2"/>
  <c r="C1307" i="2"/>
  <c r="C1306" i="2"/>
  <c r="C1305" i="2"/>
  <c r="C1304" i="2"/>
  <c r="C1303" i="2"/>
  <c r="C1302" i="2"/>
  <c r="C1301" i="2"/>
  <c r="C1300" i="2"/>
  <c r="C1299" i="2"/>
  <c r="C1298" i="2"/>
  <c r="C1297" i="2"/>
  <c r="C1296" i="2"/>
  <c r="C1295" i="2"/>
  <c r="C1294" i="2"/>
  <c r="C1293" i="2"/>
  <c r="C1292" i="2"/>
  <c r="C1291" i="2"/>
  <c r="C1290" i="2"/>
  <c r="C1289" i="2"/>
  <c r="C1288" i="2"/>
  <c r="C1287" i="2"/>
  <c r="C1286" i="2"/>
  <c r="C1285" i="2"/>
  <c r="C1284" i="2"/>
  <c r="C1283" i="2"/>
  <c r="C1282" i="2"/>
  <c r="C1281" i="2"/>
  <c r="C1280" i="2"/>
  <c r="C1279" i="2"/>
  <c r="C1278" i="2"/>
  <c r="C1277" i="2"/>
  <c r="C1276" i="2"/>
  <c r="C1275" i="2"/>
  <c r="C1274" i="2"/>
  <c r="C1273" i="2"/>
  <c r="C1272" i="2"/>
  <c r="C1271" i="2"/>
  <c r="C1270" i="2"/>
  <c r="C1269" i="2"/>
  <c r="C1268" i="2"/>
  <c r="C1267" i="2"/>
  <c r="C1266" i="2"/>
  <c r="C1265" i="2"/>
  <c r="C1264" i="2"/>
  <c r="C1263" i="2"/>
  <c r="C1262" i="2"/>
  <c r="C1261" i="2"/>
  <c r="C1260" i="2"/>
  <c r="C1259" i="2"/>
  <c r="C1258" i="2"/>
  <c r="C1257" i="2"/>
  <c r="C1256" i="2"/>
  <c r="C1255" i="2"/>
  <c r="C1254" i="2"/>
  <c r="C1253" i="2"/>
  <c r="C1252" i="2"/>
  <c r="C1251" i="2"/>
  <c r="C1250" i="2"/>
  <c r="C1249" i="2"/>
  <c r="C1248" i="2"/>
  <c r="C1247" i="2"/>
  <c r="C1246" i="2"/>
  <c r="C1245" i="2"/>
  <c r="C1244" i="2"/>
  <c r="C1243" i="2"/>
  <c r="C1242" i="2"/>
  <c r="C1241" i="2"/>
  <c r="C1240" i="2"/>
  <c r="C1239" i="2"/>
  <c r="C1238" i="2"/>
  <c r="C1237" i="2"/>
  <c r="C1236" i="2"/>
  <c r="C1235" i="2"/>
  <c r="C1234" i="2"/>
  <c r="C1233" i="2"/>
  <c r="C1232" i="2"/>
  <c r="C1231" i="2"/>
  <c r="C1230" i="2"/>
  <c r="C1229" i="2"/>
  <c r="C1228" i="2"/>
  <c r="C1227" i="2"/>
  <c r="C1226" i="2"/>
  <c r="C1225" i="2"/>
  <c r="C1224" i="2"/>
  <c r="C1223" i="2"/>
  <c r="C1222" i="2"/>
  <c r="C1221" i="2"/>
  <c r="C1220" i="2"/>
  <c r="C1219" i="2"/>
  <c r="C1218" i="2"/>
  <c r="C1217" i="2"/>
  <c r="C1216" i="2"/>
  <c r="C1215" i="2"/>
  <c r="C1214" i="2"/>
  <c r="C1213" i="2"/>
  <c r="C1212" i="2"/>
  <c r="C1211" i="2"/>
  <c r="C1210" i="2"/>
  <c r="C1209" i="2"/>
  <c r="C1208" i="2"/>
  <c r="C1207" i="2"/>
  <c r="C1206" i="2"/>
  <c r="C1205" i="2"/>
  <c r="C1204" i="2"/>
  <c r="C1203" i="2"/>
  <c r="C1202" i="2"/>
  <c r="C1201" i="2"/>
  <c r="C1200" i="2"/>
  <c r="C1199" i="2"/>
  <c r="C1198" i="2"/>
  <c r="C1197" i="2"/>
  <c r="C1196" i="2"/>
  <c r="C1195" i="2"/>
  <c r="C1194" i="2"/>
  <c r="C1193" i="2"/>
  <c r="C1192" i="2"/>
  <c r="C1191" i="2"/>
  <c r="C1190" i="2"/>
  <c r="C1189" i="2"/>
  <c r="C1188" i="2"/>
  <c r="C1187" i="2"/>
  <c r="C1186" i="2"/>
  <c r="C1185" i="2"/>
  <c r="C1184" i="2"/>
  <c r="C1183" i="2"/>
  <c r="C1182" i="2"/>
  <c r="C1181" i="2"/>
  <c r="C1180" i="2"/>
  <c r="C1179" i="2"/>
  <c r="C1178" i="2"/>
  <c r="C1177" i="2"/>
  <c r="C1176" i="2"/>
  <c r="C1175" i="2"/>
  <c r="C1174" i="2"/>
  <c r="C1173" i="2"/>
  <c r="C1172" i="2"/>
  <c r="C1171" i="2"/>
  <c r="C1170" i="2"/>
  <c r="C1169" i="2"/>
  <c r="C1168" i="2"/>
  <c r="C1167" i="2"/>
  <c r="C1166" i="2"/>
  <c r="C1165" i="2"/>
  <c r="C1164" i="2"/>
  <c r="C1163" i="2"/>
  <c r="C1162" i="2"/>
  <c r="C1161" i="2"/>
  <c r="C1160" i="2"/>
  <c r="C1159" i="2"/>
  <c r="C1158" i="2"/>
  <c r="C1157" i="2"/>
  <c r="C1156" i="2"/>
  <c r="C1155" i="2"/>
  <c r="C1154" i="2"/>
  <c r="C1153" i="2"/>
  <c r="C1152" i="2"/>
  <c r="C1151" i="2"/>
  <c r="C1150" i="2"/>
  <c r="C1149" i="2"/>
  <c r="C1148" i="2"/>
  <c r="C1147" i="2"/>
  <c r="C1146" i="2"/>
  <c r="C1145" i="2"/>
  <c r="C1144" i="2"/>
  <c r="C1143" i="2"/>
  <c r="C1142" i="2"/>
  <c r="C1141" i="2"/>
  <c r="C1140" i="2"/>
  <c r="C1139" i="2"/>
  <c r="C1138" i="2"/>
  <c r="C1137" i="2"/>
  <c r="C1136" i="2"/>
  <c r="C1135" i="2"/>
  <c r="C1134" i="2"/>
  <c r="C1133" i="2"/>
  <c r="C1132" i="2"/>
  <c r="C1131" i="2"/>
  <c r="C1130" i="2"/>
  <c r="C1129" i="2"/>
  <c r="C1128" i="2"/>
  <c r="C1127" i="2"/>
  <c r="C1126" i="2"/>
  <c r="C1125" i="2"/>
  <c r="C1124" i="2"/>
  <c r="C1123" i="2"/>
  <c r="C1122" i="2"/>
  <c r="C1121" i="2"/>
  <c r="C1120" i="2"/>
  <c r="C1119" i="2"/>
  <c r="C1118" i="2"/>
  <c r="C1117" i="2"/>
  <c r="C1116" i="2"/>
  <c r="C1115" i="2"/>
  <c r="C1114" i="2"/>
  <c r="C1113" i="2"/>
  <c r="C1112" i="2"/>
  <c r="C1111" i="2"/>
  <c r="C1110" i="2"/>
  <c r="C1109" i="2"/>
  <c r="C1108" i="2"/>
  <c r="C1107" i="2"/>
  <c r="C1106" i="2"/>
  <c r="C1105" i="2"/>
  <c r="C1104" i="2"/>
  <c r="C1103" i="2"/>
  <c r="C1102" i="2"/>
  <c r="C1101" i="2"/>
  <c r="C1100" i="2"/>
  <c r="C1099" i="2"/>
  <c r="C1098" i="2"/>
  <c r="C1097" i="2"/>
  <c r="C1096" i="2"/>
  <c r="C1095" i="2"/>
  <c r="C1094" i="2"/>
  <c r="C1093" i="2"/>
  <c r="C1092" i="2"/>
  <c r="C1091" i="2"/>
  <c r="C1090" i="2"/>
  <c r="C1089" i="2"/>
  <c r="C1088" i="2"/>
  <c r="C1087" i="2"/>
  <c r="C1086" i="2"/>
  <c r="C1085" i="2"/>
  <c r="C1084" i="2"/>
  <c r="C1083" i="2"/>
  <c r="C1082" i="2"/>
  <c r="C1081" i="2"/>
  <c r="C1080" i="2"/>
  <c r="C1079" i="2"/>
  <c r="C1078" i="2"/>
  <c r="C1077" i="2"/>
  <c r="C1076" i="2"/>
  <c r="C1075" i="2"/>
  <c r="C1074" i="2"/>
  <c r="C1073" i="2"/>
  <c r="C1072" i="2"/>
  <c r="C1071" i="2"/>
  <c r="C1070" i="2"/>
  <c r="C1069" i="2"/>
  <c r="C1068" i="2"/>
  <c r="C1067" i="2"/>
  <c r="C1066" i="2"/>
  <c r="C1065" i="2"/>
  <c r="C1064" i="2"/>
  <c r="C1063" i="2"/>
  <c r="C1062" i="2"/>
  <c r="C1061" i="2"/>
  <c r="C1060" i="2"/>
  <c r="C1059" i="2"/>
  <c r="C1058" i="2"/>
  <c r="C1057" i="2"/>
  <c r="C1056" i="2"/>
  <c r="C1055" i="2"/>
  <c r="C1054" i="2"/>
  <c r="C1053" i="2"/>
  <c r="C1052" i="2"/>
  <c r="C1051" i="2"/>
  <c r="C1050" i="2"/>
  <c r="C1049" i="2"/>
  <c r="C1048" i="2"/>
  <c r="C1047" i="2"/>
  <c r="C1046" i="2"/>
  <c r="C1045" i="2"/>
  <c r="C1044" i="2"/>
  <c r="C1043" i="2"/>
  <c r="C1042" i="2"/>
  <c r="C1041" i="2"/>
  <c r="C1040" i="2"/>
  <c r="C1039" i="2"/>
  <c r="C1038" i="2"/>
  <c r="C1037" i="2"/>
  <c r="C1036" i="2"/>
  <c r="C1035" i="2"/>
  <c r="C1034" i="2"/>
  <c r="C1033" i="2"/>
  <c r="C1032" i="2"/>
  <c r="C1031" i="2"/>
  <c r="C1030" i="2"/>
  <c r="C1029" i="2"/>
  <c r="C1028" i="2"/>
  <c r="C1027" i="2"/>
  <c r="C1026" i="2"/>
  <c r="C1025" i="2"/>
  <c r="C1024" i="2"/>
  <c r="C1023" i="2"/>
  <c r="C1022" i="2"/>
  <c r="C1021" i="2"/>
  <c r="C1020" i="2"/>
  <c r="C1019" i="2"/>
  <c r="C1018" i="2"/>
  <c r="C1017" i="2"/>
  <c r="C1016" i="2"/>
  <c r="C1015" i="2"/>
  <c r="C1014" i="2"/>
  <c r="C1013" i="2"/>
  <c r="C1012" i="2"/>
  <c r="C1011" i="2"/>
  <c r="C1010" i="2"/>
  <c r="C1009" i="2"/>
  <c r="C1008" i="2"/>
  <c r="C1007" i="2"/>
  <c r="C1006" i="2"/>
  <c r="C1005" i="2"/>
  <c r="C1004" i="2"/>
  <c r="C1003" i="2"/>
  <c r="C1002" i="2"/>
  <c r="C1001" i="2"/>
  <c r="C1000" i="2"/>
  <c r="C999" i="2"/>
  <c r="C998" i="2"/>
  <c r="C997" i="2"/>
  <c r="C996" i="2"/>
  <c r="C995" i="2"/>
  <c r="C994" i="2"/>
  <c r="C993" i="2"/>
  <c r="C992" i="2"/>
  <c r="C991" i="2"/>
  <c r="C990" i="2"/>
  <c r="C989" i="2"/>
  <c r="C988" i="2"/>
  <c r="C987" i="2"/>
  <c r="C986" i="2"/>
  <c r="C985" i="2"/>
  <c r="C984" i="2"/>
  <c r="C983" i="2"/>
  <c r="C982" i="2"/>
  <c r="C981" i="2"/>
  <c r="C980" i="2"/>
  <c r="C979" i="2"/>
  <c r="C978" i="2"/>
  <c r="C977" i="2"/>
  <c r="C976" i="2"/>
  <c r="C975" i="2"/>
  <c r="C974" i="2"/>
  <c r="C973" i="2"/>
  <c r="C972" i="2"/>
  <c r="C971" i="2"/>
  <c r="C970" i="2"/>
  <c r="C969" i="2"/>
  <c r="C968" i="2"/>
  <c r="C967" i="2"/>
  <c r="C966" i="2"/>
  <c r="C965" i="2"/>
  <c r="C964" i="2"/>
  <c r="C963" i="2"/>
  <c r="C962" i="2"/>
  <c r="C961" i="2"/>
  <c r="C960" i="2"/>
  <c r="C959" i="2"/>
  <c r="C958" i="2"/>
  <c r="C957" i="2"/>
  <c r="C956" i="2"/>
  <c r="C955" i="2"/>
  <c r="C954" i="2"/>
  <c r="C953" i="2"/>
  <c r="C952" i="2"/>
  <c r="C951" i="2"/>
  <c r="C950" i="2"/>
  <c r="C949" i="2"/>
  <c r="C948" i="2"/>
  <c r="C947" i="2"/>
  <c r="C946" i="2"/>
  <c r="C945" i="2"/>
  <c r="C944" i="2"/>
  <c r="C943" i="2"/>
  <c r="C942" i="2"/>
  <c r="C941" i="2"/>
  <c r="C940" i="2"/>
  <c r="C939" i="2"/>
  <c r="C938" i="2"/>
  <c r="C937" i="2"/>
  <c r="C936" i="2"/>
  <c r="C935" i="2"/>
  <c r="C934" i="2"/>
  <c r="C933" i="2"/>
  <c r="C932" i="2"/>
  <c r="C931" i="2"/>
  <c r="C930" i="2"/>
  <c r="C929" i="2"/>
  <c r="C928" i="2"/>
  <c r="C927" i="2"/>
  <c r="C926" i="2"/>
  <c r="C925" i="2"/>
  <c r="C924" i="2"/>
  <c r="C923" i="2"/>
  <c r="C922" i="2"/>
  <c r="C921" i="2"/>
  <c r="C920" i="2"/>
  <c r="C919" i="2"/>
  <c r="C918" i="2"/>
  <c r="C917" i="2"/>
  <c r="C916" i="2"/>
  <c r="C915" i="2"/>
  <c r="C914" i="2"/>
  <c r="C913" i="2"/>
  <c r="C912" i="2"/>
  <c r="C911" i="2"/>
  <c r="C910" i="2"/>
  <c r="C909" i="2"/>
  <c r="C908" i="2"/>
  <c r="C907" i="2"/>
  <c r="C906" i="2"/>
  <c r="C905" i="2"/>
  <c r="C904" i="2"/>
  <c r="C903" i="2"/>
  <c r="C902" i="2"/>
  <c r="C901" i="2"/>
  <c r="C900" i="2"/>
  <c r="C899" i="2"/>
  <c r="C898" i="2"/>
  <c r="C897" i="2"/>
  <c r="C896" i="2"/>
  <c r="C895" i="2"/>
  <c r="C894" i="2"/>
  <c r="C893" i="2"/>
  <c r="C892" i="2"/>
  <c r="C891" i="2"/>
  <c r="C890" i="2"/>
  <c r="C889" i="2"/>
  <c r="C888" i="2"/>
  <c r="C887" i="2"/>
  <c r="C886" i="2"/>
  <c r="C885" i="2"/>
  <c r="C884" i="2"/>
  <c r="C883" i="2"/>
  <c r="C882" i="2"/>
  <c r="C881" i="2"/>
  <c r="C880" i="2"/>
  <c r="C879" i="2"/>
  <c r="C878" i="2"/>
  <c r="C877" i="2"/>
  <c r="C876" i="2"/>
  <c r="C875" i="2"/>
  <c r="C874" i="2"/>
  <c r="C873" i="2"/>
  <c r="C872" i="2"/>
  <c r="C871" i="2"/>
  <c r="C870" i="2"/>
  <c r="C869" i="2"/>
  <c r="C868" i="2"/>
  <c r="C867" i="2"/>
  <c r="C866" i="2"/>
  <c r="C865" i="2"/>
  <c r="C864" i="2"/>
  <c r="C863" i="2"/>
  <c r="C862" i="2"/>
  <c r="C861" i="2"/>
  <c r="C860" i="2"/>
  <c r="C859" i="2"/>
  <c r="C858" i="2"/>
  <c r="C857" i="2"/>
  <c r="C856" i="2"/>
  <c r="C855" i="2"/>
  <c r="C854" i="2"/>
  <c r="C853" i="2"/>
  <c r="C852" i="2"/>
  <c r="C851" i="2"/>
  <c r="C850" i="2"/>
  <c r="C849" i="2"/>
  <c r="C848" i="2"/>
  <c r="C847" i="2"/>
  <c r="C846" i="2"/>
  <c r="C845" i="2"/>
  <c r="C844" i="2"/>
  <c r="C843" i="2"/>
  <c r="C842" i="2"/>
  <c r="C841" i="2"/>
  <c r="C840" i="2"/>
  <c r="C839" i="2"/>
  <c r="C838" i="2"/>
  <c r="C837" i="2"/>
  <c r="C836" i="2"/>
  <c r="C835" i="2"/>
  <c r="C834" i="2"/>
  <c r="C833" i="2"/>
  <c r="C832" i="2"/>
  <c r="C831" i="2"/>
  <c r="C830" i="2"/>
  <c r="C829" i="2"/>
  <c r="C828" i="2"/>
  <c r="C827" i="2"/>
  <c r="C826" i="2"/>
  <c r="C825" i="2"/>
  <c r="C824" i="2"/>
  <c r="C823" i="2"/>
  <c r="C822" i="2"/>
  <c r="C821" i="2"/>
  <c r="C820" i="2"/>
  <c r="C819" i="2"/>
  <c r="C818" i="2"/>
  <c r="C817" i="2"/>
  <c r="C816" i="2"/>
  <c r="C815" i="2"/>
  <c r="C814" i="2"/>
  <c r="C813" i="2"/>
  <c r="C812" i="2"/>
  <c r="C811" i="2"/>
  <c r="C810" i="2"/>
  <c r="C809" i="2"/>
  <c r="C808" i="2"/>
  <c r="C807" i="2"/>
  <c r="C806" i="2"/>
  <c r="C805" i="2"/>
  <c r="C804" i="2"/>
  <c r="C803" i="2"/>
  <c r="C802" i="2"/>
  <c r="C801" i="2"/>
  <c r="C800" i="2"/>
  <c r="C799" i="2"/>
  <c r="C798" i="2"/>
  <c r="C797" i="2"/>
  <c r="C796" i="2"/>
  <c r="C795" i="2"/>
  <c r="C794" i="2"/>
  <c r="C793" i="2"/>
  <c r="C792" i="2"/>
  <c r="C791" i="2"/>
  <c r="C790" i="2"/>
  <c r="C789" i="2"/>
  <c r="C788" i="2"/>
  <c r="C787" i="2"/>
  <c r="C786" i="2"/>
  <c r="C785" i="2"/>
  <c r="C784" i="2"/>
  <c r="C783" i="2"/>
  <c r="C782" i="2"/>
  <c r="C781" i="2"/>
  <c r="C780" i="2"/>
  <c r="C779" i="2"/>
  <c r="C778" i="2"/>
  <c r="C777" i="2"/>
  <c r="C776" i="2"/>
  <c r="C775" i="2"/>
  <c r="C774" i="2"/>
  <c r="C773" i="2"/>
  <c r="C772" i="2"/>
  <c r="C771" i="2"/>
  <c r="C770" i="2"/>
  <c r="C769" i="2"/>
  <c r="C768" i="2"/>
  <c r="C767" i="2"/>
  <c r="C766" i="2"/>
  <c r="C765" i="2"/>
  <c r="C764" i="2"/>
  <c r="C763" i="2"/>
  <c r="C762" i="2"/>
  <c r="C761" i="2"/>
  <c r="C760" i="2"/>
  <c r="C759" i="2"/>
  <c r="C758" i="2"/>
  <c r="C757" i="2"/>
  <c r="C756" i="2"/>
  <c r="C755" i="2"/>
  <c r="C754" i="2"/>
  <c r="C753" i="2"/>
  <c r="C752" i="2"/>
  <c r="C751" i="2"/>
  <c r="C750" i="2"/>
  <c r="C749" i="2"/>
  <c r="C748" i="2"/>
  <c r="C747" i="2"/>
  <c r="C746" i="2"/>
  <c r="C745" i="2"/>
  <c r="C744" i="2"/>
  <c r="C743" i="2"/>
  <c r="C742" i="2"/>
  <c r="C741" i="2"/>
  <c r="C740" i="2"/>
  <c r="C739" i="2"/>
  <c r="C738" i="2"/>
  <c r="C737" i="2"/>
  <c r="C736" i="2"/>
  <c r="C735" i="2"/>
  <c r="C734" i="2"/>
  <c r="C733" i="2"/>
  <c r="C732" i="2"/>
  <c r="C731" i="2"/>
  <c r="C730" i="2"/>
  <c r="C729" i="2"/>
  <c r="C728" i="2"/>
  <c r="C727" i="2"/>
  <c r="C726" i="2"/>
  <c r="C725" i="2"/>
  <c r="C724" i="2"/>
  <c r="C723" i="2"/>
  <c r="C722" i="2"/>
  <c r="C721" i="2"/>
  <c r="C720" i="2"/>
  <c r="C719" i="2"/>
  <c r="C718" i="2"/>
  <c r="C717" i="2"/>
  <c r="C716" i="2"/>
  <c r="C715" i="2"/>
  <c r="C714" i="2"/>
  <c r="C713" i="2"/>
  <c r="C712" i="2"/>
  <c r="C711" i="2"/>
  <c r="C710" i="2"/>
  <c r="C709" i="2"/>
  <c r="C708" i="2"/>
  <c r="C707" i="2"/>
  <c r="C706" i="2"/>
  <c r="C705" i="2"/>
  <c r="C704" i="2"/>
  <c r="C703" i="2"/>
  <c r="C702" i="2"/>
  <c r="C701" i="2"/>
  <c r="C700" i="2"/>
  <c r="C699" i="2"/>
  <c r="C698" i="2"/>
  <c r="C697" i="2"/>
  <c r="C696" i="2"/>
  <c r="C695" i="2"/>
  <c r="C694" i="2"/>
  <c r="C693" i="2"/>
  <c r="C692" i="2"/>
  <c r="C691" i="2"/>
  <c r="C690" i="2"/>
  <c r="C689" i="2"/>
  <c r="C688" i="2"/>
  <c r="C687" i="2"/>
  <c r="C686" i="2"/>
  <c r="C685" i="2"/>
  <c r="C684" i="2"/>
  <c r="C683" i="2"/>
  <c r="C682" i="2"/>
  <c r="C681" i="2"/>
  <c r="C680" i="2"/>
  <c r="C679" i="2"/>
  <c r="C678" i="2"/>
  <c r="C677" i="2"/>
  <c r="C676" i="2"/>
  <c r="C675" i="2"/>
  <c r="C674" i="2"/>
  <c r="C673" i="2"/>
  <c r="C672" i="2"/>
  <c r="C671" i="2"/>
  <c r="C670" i="2"/>
  <c r="C669" i="2"/>
  <c r="C668" i="2"/>
  <c r="C667" i="2"/>
  <c r="C666" i="2"/>
  <c r="C665" i="2"/>
  <c r="C664" i="2"/>
  <c r="C663" i="2"/>
  <c r="C662" i="2"/>
  <c r="C661" i="2"/>
  <c r="C660" i="2"/>
  <c r="C659" i="2"/>
  <c r="C658" i="2"/>
  <c r="C657" i="2"/>
  <c r="C656" i="2"/>
  <c r="C655" i="2"/>
  <c r="C654" i="2"/>
  <c r="C653" i="2"/>
  <c r="C652" i="2"/>
  <c r="C651" i="2"/>
  <c r="C650" i="2"/>
  <c r="C649" i="2"/>
  <c r="C648" i="2"/>
  <c r="C647" i="2"/>
  <c r="C646" i="2"/>
  <c r="C645" i="2"/>
  <c r="C644" i="2"/>
  <c r="C643" i="2"/>
  <c r="C642" i="2"/>
  <c r="C641" i="2"/>
  <c r="C640" i="2"/>
  <c r="C639" i="2"/>
  <c r="C638" i="2"/>
  <c r="C637" i="2"/>
  <c r="C636" i="2"/>
  <c r="C635" i="2"/>
  <c r="C634" i="2"/>
  <c r="C633" i="2"/>
  <c r="C632" i="2"/>
  <c r="C631" i="2"/>
  <c r="C630" i="2"/>
  <c r="C629" i="2"/>
  <c r="C628" i="2"/>
  <c r="C627" i="2"/>
  <c r="C626" i="2"/>
  <c r="C625" i="2"/>
  <c r="C624" i="2"/>
  <c r="C623" i="2"/>
  <c r="C622" i="2"/>
  <c r="C621" i="2"/>
  <c r="C620" i="2"/>
  <c r="C619" i="2"/>
  <c r="C618" i="2"/>
  <c r="C617" i="2"/>
  <c r="C616" i="2"/>
  <c r="C615" i="2"/>
  <c r="C614" i="2"/>
  <c r="C613" i="2"/>
  <c r="C612" i="2"/>
  <c r="C611" i="2"/>
  <c r="C610" i="2"/>
  <c r="C609" i="2"/>
  <c r="C608" i="2"/>
  <c r="C607" i="2"/>
  <c r="C606" i="2"/>
  <c r="C605" i="2"/>
  <c r="C604" i="2"/>
  <c r="C603" i="2"/>
  <c r="C602" i="2"/>
  <c r="C601" i="2"/>
  <c r="C600" i="2"/>
  <c r="C599" i="2"/>
  <c r="C598" i="2"/>
  <c r="C597" i="2"/>
  <c r="C596" i="2"/>
  <c r="C595" i="2"/>
  <c r="C594" i="2"/>
  <c r="C593" i="2"/>
  <c r="C592" i="2"/>
  <c r="C591" i="2"/>
  <c r="C590" i="2"/>
  <c r="C589" i="2"/>
  <c r="C588" i="2"/>
  <c r="C587" i="2"/>
  <c r="C586" i="2"/>
  <c r="C585" i="2"/>
  <c r="C584" i="2"/>
  <c r="C583" i="2"/>
  <c r="C582" i="2"/>
  <c r="C581" i="2"/>
  <c r="C580" i="2"/>
  <c r="C579" i="2"/>
  <c r="C578" i="2"/>
  <c r="C577" i="2"/>
  <c r="C576" i="2"/>
  <c r="C575" i="2"/>
  <c r="C574" i="2"/>
  <c r="C573" i="2"/>
  <c r="C572" i="2"/>
  <c r="C571" i="2"/>
  <c r="C570" i="2"/>
  <c r="C569" i="2"/>
  <c r="C568" i="2"/>
  <c r="C567" i="2"/>
  <c r="C566" i="2"/>
  <c r="C565" i="2"/>
  <c r="C564" i="2"/>
  <c r="C563" i="2"/>
  <c r="C562" i="2"/>
  <c r="C561" i="2"/>
  <c r="C560" i="2"/>
  <c r="C559" i="2"/>
  <c r="C558" i="2"/>
  <c r="C557" i="2"/>
  <c r="C556" i="2"/>
  <c r="C555" i="2"/>
  <c r="C554" i="2"/>
  <c r="C553" i="2"/>
  <c r="C552" i="2"/>
  <c r="C551" i="2"/>
  <c r="C550" i="2"/>
  <c r="C549" i="2"/>
  <c r="C548" i="2"/>
  <c r="C547" i="2"/>
  <c r="C546" i="2"/>
  <c r="C545" i="2"/>
  <c r="C544" i="2"/>
  <c r="C543" i="2"/>
  <c r="C542" i="2"/>
  <c r="C541" i="2"/>
  <c r="C540" i="2"/>
  <c r="C539" i="2"/>
  <c r="C538" i="2"/>
  <c r="C537" i="2"/>
  <c r="C536" i="2"/>
  <c r="C535" i="2"/>
  <c r="C534" i="2"/>
  <c r="C533" i="2"/>
  <c r="C532" i="2"/>
  <c r="C531" i="2"/>
  <c r="C530" i="2"/>
  <c r="C529" i="2"/>
  <c r="C528" i="2"/>
  <c r="C527" i="2"/>
  <c r="C526" i="2"/>
  <c r="C525" i="2"/>
  <c r="C524" i="2"/>
  <c r="C523" i="2"/>
  <c r="C522" i="2"/>
  <c r="C521" i="2"/>
  <c r="C520" i="2"/>
  <c r="C519" i="2"/>
  <c r="C518" i="2"/>
  <c r="C517" i="2"/>
  <c r="C516" i="2"/>
  <c r="C515" i="2"/>
  <c r="C514" i="2"/>
  <c r="C513" i="2"/>
  <c r="C512" i="2"/>
  <c r="C511" i="2"/>
  <c r="C510" i="2"/>
  <c r="C509" i="2"/>
  <c r="C508" i="2"/>
  <c r="C507" i="2"/>
  <c r="C506" i="2"/>
  <c r="C505" i="2"/>
  <c r="C504" i="2"/>
  <c r="C503" i="2"/>
  <c r="C502" i="2"/>
  <c r="C501" i="2"/>
  <c r="C500" i="2"/>
  <c r="C499" i="2"/>
  <c r="C498" i="2"/>
  <c r="C497" i="2"/>
  <c r="C496" i="2"/>
  <c r="C495" i="2"/>
  <c r="C494" i="2"/>
  <c r="C493" i="2"/>
  <c r="C492" i="2"/>
  <c r="C491" i="2"/>
  <c r="C490" i="2"/>
  <c r="C489" i="2"/>
  <c r="C488" i="2"/>
  <c r="C487" i="2"/>
  <c r="C486" i="2"/>
  <c r="C485" i="2"/>
  <c r="C484" i="2"/>
  <c r="C483" i="2"/>
  <c r="C482" i="2"/>
  <c r="C481" i="2"/>
  <c r="C480" i="2"/>
  <c r="C479" i="2"/>
  <c r="C478" i="2"/>
  <c r="C477" i="2"/>
  <c r="C476" i="2"/>
  <c r="C475" i="2"/>
  <c r="C474" i="2"/>
  <c r="C473" i="2"/>
  <c r="C472" i="2"/>
  <c r="C471" i="2"/>
  <c r="C470" i="2"/>
  <c r="C469" i="2"/>
  <c r="C468" i="2"/>
  <c r="C467" i="2"/>
  <c r="C466" i="2"/>
  <c r="C465" i="2"/>
  <c r="C464" i="2"/>
  <c r="C463" i="2"/>
  <c r="C462" i="2"/>
  <c r="C461" i="2"/>
  <c r="C460" i="2"/>
  <c r="C459" i="2"/>
  <c r="C458" i="2"/>
  <c r="C457" i="2"/>
  <c r="C456" i="2"/>
  <c r="C455" i="2"/>
  <c r="C454" i="2"/>
  <c r="C453" i="2"/>
  <c r="C452" i="2"/>
  <c r="C451" i="2"/>
  <c r="C450" i="2"/>
  <c r="C449" i="2"/>
  <c r="C448" i="2"/>
  <c r="C447" i="2"/>
  <c r="C446" i="2"/>
  <c r="C445" i="2"/>
  <c r="C444" i="2"/>
  <c r="C443" i="2"/>
  <c r="C442" i="2"/>
  <c r="C441" i="2"/>
  <c r="C440" i="2"/>
  <c r="C439" i="2"/>
  <c r="C438" i="2"/>
  <c r="C437" i="2"/>
  <c r="C436" i="2"/>
  <c r="C435" i="2"/>
  <c r="C434" i="2"/>
  <c r="C433" i="2"/>
  <c r="C432" i="2"/>
  <c r="C431" i="2"/>
  <c r="C430" i="2"/>
  <c r="C429" i="2"/>
  <c r="C428" i="2"/>
  <c r="C427" i="2"/>
  <c r="C426" i="2"/>
  <c r="C425" i="2"/>
  <c r="C424" i="2"/>
  <c r="C423" i="2"/>
  <c r="C422" i="2"/>
  <c r="C421" i="2"/>
  <c r="C420" i="2"/>
  <c r="C419" i="2"/>
  <c r="C418" i="2"/>
  <c r="C417" i="2"/>
  <c r="C416" i="2"/>
  <c r="C415" i="2"/>
  <c r="C414" i="2"/>
  <c r="C413" i="2"/>
  <c r="C412" i="2"/>
  <c r="C411" i="2"/>
  <c r="C410" i="2"/>
  <c r="C409" i="2"/>
  <c r="C408" i="2"/>
  <c r="C407" i="2"/>
  <c r="C406" i="2"/>
  <c r="C405" i="2"/>
  <c r="C404" i="2"/>
  <c r="C403" i="2"/>
  <c r="C402" i="2"/>
  <c r="C401" i="2"/>
  <c r="C400" i="2"/>
  <c r="C399" i="2"/>
  <c r="C398" i="2"/>
  <c r="C397" i="2"/>
  <c r="C396" i="2"/>
  <c r="C395" i="2"/>
  <c r="C394" i="2"/>
  <c r="C393" i="2"/>
  <c r="C392" i="2"/>
  <c r="C391" i="2"/>
  <c r="C390" i="2"/>
  <c r="C389" i="2"/>
  <c r="C388" i="2"/>
  <c r="C387" i="2"/>
  <c r="C386" i="2"/>
  <c r="C385" i="2"/>
  <c r="C384" i="2"/>
  <c r="C383" i="2"/>
  <c r="C382" i="2"/>
  <c r="C381" i="2"/>
  <c r="C380" i="2"/>
  <c r="C379" i="2"/>
  <c r="C378" i="2"/>
  <c r="C377" i="2"/>
  <c r="C376" i="2"/>
  <c r="C375" i="2"/>
  <c r="C374" i="2"/>
  <c r="C373" i="2"/>
  <c r="C372" i="2"/>
  <c r="C371" i="2"/>
  <c r="C370" i="2"/>
  <c r="C369" i="2"/>
  <c r="C368" i="2"/>
  <c r="C367" i="2"/>
  <c r="C366" i="2"/>
  <c r="C365" i="2"/>
  <c r="C364" i="2"/>
  <c r="C363" i="2"/>
  <c r="C362" i="2"/>
  <c r="C361" i="2"/>
  <c r="C360" i="2"/>
  <c r="C359" i="2"/>
  <c r="C358" i="2"/>
  <c r="C357" i="2"/>
  <c r="C356" i="2"/>
  <c r="C355" i="2"/>
  <c r="C354" i="2"/>
  <c r="C353" i="2"/>
  <c r="C352" i="2"/>
  <c r="C351" i="2"/>
  <c r="C350" i="2"/>
  <c r="C349" i="2"/>
  <c r="C348" i="2"/>
  <c r="C347" i="2"/>
  <c r="C346" i="2"/>
  <c r="C345" i="2"/>
  <c r="C344" i="2"/>
  <c r="C343" i="2"/>
  <c r="C342" i="2"/>
  <c r="C341" i="2"/>
  <c r="C340" i="2"/>
  <c r="C339" i="2"/>
  <c r="C338" i="2"/>
  <c r="C337" i="2"/>
  <c r="C336" i="2"/>
  <c r="C335" i="2"/>
  <c r="C334" i="2"/>
  <c r="C333" i="2"/>
  <c r="C332" i="2"/>
  <c r="C331" i="2"/>
  <c r="C330" i="2"/>
  <c r="C329" i="2"/>
  <c r="C328" i="2"/>
  <c r="C327" i="2"/>
  <c r="C326" i="2"/>
  <c r="C325" i="2"/>
  <c r="C324" i="2"/>
  <c r="C323" i="2"/>
  <c r="C322" i="2"/>
  <c r="C321" i="2"/>
  <c r="C320" i="2"/>
  <c r="C319" i="2"/>
  <c r="C318" i="2"/>
  <c r="C317" i="2"/>
  <c r="C316" i="2"/>
  <c r="C315" i="2"/>
  <c r="C314" i="2"/>
  <c r="C313" i="2"/>
  <c r="C312" i="2"/>
  <c r="C311" i="2"/>
  <c r="C310" i="2"/>
  <c r="C309" i="2"/>
  <c r="C308" i="2"/>
  <c r="C307" i="2"/>
  <c r="C306" i="2"/>
  <c r="C305" i="2"/>
  <c r="C304" i="2"/>
  <c r="C303" i="2"/>
  <c r="C302" i="2"/>
  <c r="C301" i="2"/>
  <c r="C300" i="2"/>
  <c r="C299" i="2"/>
  <c r="C298" i="2"/>
  <c r="C297" i="2"/>
  <c r="C296" i="2"/>
  <c r="C295" i="2"/>
  <c r="C294" i="2"/>
  <c r="C293" i="2"/>
  <c r="C292" i="2"/>
  <c r="C291" i="2"/>
  <c r="C290" i="2"/>
  <c r="C289" i="2"/>
  <c r="C288" i="2"/>
  <c r="C287" i="2"/>
  <c r="C286" i="2"/>
  <c r="C285" i="2"/>
  <c r="C284" i="2"/>
  <c r="C283" i="2"/>
  <c r="C282" i="2"/>
  <c r="C281" i="2"/>
  <c r="C280" i="2"/>
  <c r="C279" i="2"/>
  <c r="C278" i="2"/>
  <c r="C277" i="2"/>
  <c r="C276" i="2"/>
  <c r="C275" i="2"/>
  <c r="C274" i="2"/>
  <c r="C273" i="2"/>
  <c r="C272" i="2"/>
  <c r="C271" i="2"/>
  <c r="C270" i="2"/>
  <c r="C269" i="2"/>
  <c r="C268" i="2"/>
  <c r="C267" i="2"/>
  <c r="C266" i="2"/>
  <c r="C265" i="2"/>
  <c r="C264" i="2"/>
  <c r="C263" i="2"/>
  <c r="C262" i="2"/>
  <c r="C261" i="2"/>
  <c r="C260" i="2"/>
  <c r="C259" i="2"/>
  <c r="C258" i="2"/>
  <c r="C257" i="2"/>
  <c r="C256" i="2"/>
  <c r="C255" i="2"/>
  <c r="C254" i="2"/>
  <c r="C253" i="2"/>
  <c r="C252" i="2"/>
  <c r="C251" i="2"/>
  <c r="C250" i="2"/>
  <c r="C249" i="2"/>
  <c r="C248" i="2"/>
  <c r="C247" i="2"/>
  <c r="C246" i="2"/>
  <c r="C245" i="2"/>
  <c r="C244" i="2"/>
  <c r="C243" i="2"/>
  <c r="C242" i="2"/>
  <c r="C241" i="2"/>
  <c r="C240" i="2"/>
  <c r="C239" i="2"/>
  <c r="C238" i="2"/>
  <c r="C237" i="2"/>
  <c r="C236" i="2"/>
  <c r="C235" i="2"/>
  <c r="C234" i="2"/>
  <c r="C233" i="2"/>
  <c r="C232" i="2"/>
  <c r="C231" i="2"/>
  <c r="C230" i="2"/>
  <c r="C229" i="2"/>
  <c r="C228" i="2"/>
  <c r="C227" i="2"/>
  <c r="C226" i="2"/>
  <c r="C225" i="2"/>
  <c r="C224" i="2"/>
  <c r="C223" i="2"/>
  <c r="C222" i="2"/>
  <c r="C221" i="2"/>
  <c r="C220" i="2"/>
  <c r="C219" i="2"/>
  <c r="C218" i="2"/>
  <c r="C217" i="2"/>
  <c r="C216" i="2"/>
  <c r="C215" i="2"/>
  <c r="C214" i="2"/>
  <c r="C213" i="2"/>
  <c r="C212" i="2"/>
  <c r="C211" i="2"/>
  <c r="C210" i="2"/>
  <c r="C209" i="2"/>
  <c r="C208" i="2"/>
  <c r="C207" i="2"/>
  <c r="C206" i="2"/>
  <c r="C205" i="2"/>
  <c r="C204" i="2"/>
  <c r="C203" i="2"/>
  <c r="C202" i="2"/>
  <c r="C201" i="2"/>
  <c r="C200" i="2"/>
  <c r="C199" i="2"/>
  <c r="C198" i="2"/>
  <c r="C197" i="2"/>
  <c r="C196" i="2"/>
  <c r="C195" i="2"/>
  <c r="C194" i="2"/>
  <c r="C193" i="2"/>
  <c r="C192" i="2"/>
  <c r="C191" i="2"/>
  <c r="C190" i="2"/>
  <c r="C189" i="2"/>
  <c r="C188" i="2"/>
  <c r="C187" i="2"/>
  <c r="C186" i="2"/>
  <c r="C185" i="2"/>
  <c r="C184" i="2"/>
  <c r="C183" i="2"/>
  <c r="C182" i="2"/>
  <c r="C181" i="2"/>
  <c r="C180" i="2"/>
  <c r="C179" i="2"/>
  <c r="C178" i="2"/>
  <c r="C177" i="2"/>
  <c r="C176" i="2"/>
  <c r="C175" i="2"/>
  <c r="C174" i="2"/>
  <c r="C173" i="2"/>
  <c r="C172" i="2"/>
  <c r="C171" i="2"/>
  <c r="C170" i="2"/>
  <c r="C169" i="2"/>
  <c r="C168" i="2"/>
  <c r="C167" i="2"/>
  <c r="C166" i="2"/>
  <c r="C165" i="2"/>
  <c r="C164" i="2"/>
  <c r="C163" i="2"/>
  <c r="C162" i="2"/>
  <c r="C161" i="2"/>
  <c r="C160" i="2"/>
  <c r="C159" i="2"/>
  <c r="C158" i="2"/>
  <c r="C157" i="2"/>
  <c r="C156" i="2"/>
  <c r="C155" i="2"/>
  <c r="C154" i="2"/>
  <c r="C153" i="2"/>
  <c r="C152" i="2"/>
  <c r="C151" i="2"/>
  <c r="C150" i="2"/>
  <c r="C149" i="2"/>
  <c r="C148" i="2"/>
  <c r="C147" i="2"/>
  <c r="C146" i="2"/>
  <c r="C145" i="2"/>
  <c r="C144" i="2"/>
  <c r="C143" i="2"/>
  <c r="C142" i="2"/>
  <c r="C141" i="2"/>
  <c r="C140" i="2"/>
  <c r="C139" i="2"/>
  <c r="C138" i="2"/>
  <c r="C137" i="2"/>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1" i="2"/>
  <c r="C100" i="2"/>
  <c r="C99" i="2"/>
  <c r="C98" i="2"/>
  <c r="C97" i="2"/>
  <c r="C96" i="2"/>
  <c r="C95" i="2"/>
  <c r="C94" i="2"/>
  <c r="C93" i="2"/>
  <c r="C92" i="2"/>
  <c r="C91" i="2"/>
  <c r="C90" i="2"/>
  <c r="C89" i="2"/>
  <c r="C88" i="2"/>
  <c r="C87" i="2"/>
  <c r="C86" i="2"/>
  <c r="C85" i="2"/>
  <c r="C84" i="2"/>
  <c r="C83" i="2"/>
  <c r="C82" i="2"/>
  <c r="C81" i="2"/>
  <c r="C80" i="2"/>
  <c r="C79"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C5" i="2"/>
  <c r="C4" i="2"/>
  <c r="C3" i="2"/>
  <c r="C37" i="1"/>
  <c r="C38" i="1" s="1"/>
  <c r="H21" i="1"/>
  <c r="E15" i="1"/>
  <c r="D15" i="1"/>
  <c r="D16" i="1" s="1"/>
  <c r="K11" i="1"/>
  <c r="H10" i="1"/>
  <c r="H11" i="1" s="1"/>
  <c r="N5" i="1"/>
  <c r="H5" i="1"/>
  <c r="B2745" i="2"/>
  <c r="B2743" i="2"/>
  <c r="B2741" i="2"/>
  <c r="B2739" i="2"/>
  <c r="B2737" i="2"/>
  <c r="B2735" i="2"/>
  <c r="B2733" i="2"/>
  <c r="B2731" i="2"/>
  <c r="B2729" i="2"/>
  <c r="B2727" i="2"/>
  <c r="B2725" i="2"/>
  <c r="B2723" i="2"/>
  <c r="B2721" i="2"/>
  <c r="B2719" i="2"/>
  <c r="B2717" i="2"/>
  <c r="B2715" i="2"/>
  <c r="B2713" i="2"/>
  <c r="B2711" i="2"/>
  <c r="B2709" i="2"/>
  <c r="B2707" i="2"/>
  <c r="B2705" i="2"/>
  <c r="B2703" i="2"/>
  <c r="B2701" i="2"/>
  <c r="B2699" i="2"/>
  <c r="B2697" i="2"/>
  <c r="B2695" i="2"/>
  <c r="B2693" i="2"/>
  <c r="B2691" i="2"/>
  <c r="B2689" i="2"/>
  <c r="B2687" i="2"/>
  <c r="B2685" i="2"/>
  <c r="B2683" i="2"/>
  <c r="B2681" i="2"/>
  <c r="B2679" i="2"/>
  <c r="B2677" i="2"/>
  <c r="B2675" i="2"/>
  <c r="B2673" i="2"/>
  <c r="B2671" i="2"/>
  <c r="B2669" i="2"/>
  <c r="B2667" i="2"/>
  <c r="B2665" i="2"/>
  <c r="B2663" i="2"/>
  <c r="B2661" i="2"/>
  <c r="B2659" i="2"/>
  <c r="B2657" i="2"/>
  <c r="B2655" i="2"/>
  <c r="B2653" i="2"/>
  <c r="B2651" i="2"/>
  <c r="B2649" i="2"/>
  <c r="B2647" i="2"/>
  <c r="B2645" i="2"/>
  <c r="B2643" i="2"/>
  <c r="B2641" i="2"/>
  <c r="B2639" i="2"/>
  <c r="B2637" i="2"/>
  <c r="B2635" i="2"/>
  <c r="B2633" i="2"/>
  <c r="B2631" i="2"/>
  <c r="B2629" i="2"/>
  <c r="B2627" i="2"/>
  <c r="B2625" i="2"/>
  <c r="B2623" i="2"/>
  <c r="B2621" i="2"/>
  <c r="B2619" i="2"/>
  <c r="B2617" i="2"/>
  <c r="B2615" i="2"/>
  <c r="B2613" i="2"/>
  <c r="B2611" i="2"/>
  <c r="B2746" i="2"/>
  <c r="B2744" i="2"/>
  <c r="B2742" i="2"/>
  <c r="B2740" i="2"/>
  <c r="B2738" i="2"/>
  <c r="B2736" i="2"/>
  <c r="B2734" i="2"/>
  <c r="B2732" i="2"/>
  <c r="B2730" i="2"/>
  <c r="B2728" i="2"/>
  <c r="B2726" i="2"/>
  <c r="B2724" i="2"/>
  <c r="B2722" i="2"/>
  <c r="B2720" i="2"/>
  <c r="B2718" i="2"/>
  <c r="B2716" i="2"/>
  <c r="B2714" i="2"/>
  <c r="B2712" i="2"/>
  <c r="B2710" i="2"/>
  <c r="B2708" i="2"/>
  <c r="B2706" i="2"/>
  <c r="B2704" i="2"/>
  <c r="B2702" i="2"/>
  <c r="B2700" i="2"/>
  <c r="B2698" i="2"/>
  <c r="B2696" i="2"/>
  <c r="B2694" i="2"/>
  <c r="B2692" i="2"/>
  <c r="B2690" i="2"/>
  <c r="B2688" i="2"/>
  <c r="B2686" i="2"/>
  <c r="B2684" i="2"/>
  <c r="B2682" i="2"/>
  <c r="B2680" i="2"/>
  <c r="B2678" i="2"/>
  <c r="B2676" i="2"/>
  <c r="B2674" i="2"/>
  <c r="B2672" i="2"/>
  <c r="B2670" i="2"/>
  <c r="B2668" i="2"/>
  <c r="B2666" i="2"/>
  <c r="B2664" i="2"/>
  <c r="B2662" i="2"/>
  <c r="B2660" i="2"/>
  <c r="B2658" i="2"/>
  <c r="B2656" i="2"/>
  <c r="B2654" i="2"/>
  <c r="B2652" i="2"/>
  <c r="B2650" i="2"/>
  <c r="B2648" i="2"/>
  <c r="B2646" i="2"/>
  <c r="B2644" i="2"/>
  <c r="B2642" i="2"/>
  <c r="B2640" i="2"/>
  <c r="B2638" i="2"/>
  <c r="B2636" i="2"/>
  <c r="B2634" i="2"/>
  <c r="B2632" i="2"/>
  <c r="B2630" i="2"/>
  <c r="B2628" i="2"/>
  <c r="B2626" i="2"/>
  <c r="B2624" i="2"/>
  <c r="B2622" i="2"/>
  <c r="B2620" i="2"/>
  <c r="B2618" i="2"/>
  <c r="B2616" i="2"/>
  <c r="B2614" i="2"/>
  <c r="B2612" i="2"/>
  <c r="B2610" i="2"/>
  <c r="B2608" i="2"/>
  <c r="B2606" i="2"/>
  <c r="B2604" i="2"/>
  <c r="B2602" i="2"/>
  <c r="B2600" i="2"/>
  <c r="B2598" i="2"/>
  <c r="B2596" i="2"/>
  <c r="B2594" i="2"/>
  <c r="B2592" i="2"/>
  <c r="B2590" i="2"/>
  <c r="B2588" i="2"/>
  <c r="B2586" i="2"/>
  <c r="B2584" i="2"/>
  <c r="B2582" i="2"/>
  <c r="B2580" i="2"/>
  <c r="B2578" i="2"/>
  <c r="B2576" i="2"/>
  <c r="B2574" i="2"/>
  <c r="B2572" i="2"/>
  <c r="B2570" i="2"/>
  <c r="B2568" i="2"/>
  <c r="B2566" i="2"/>
  <c r="B2564" i="2"/>
  <c r="B2562" i="2"/>
  <c r="B2560" i="2"/>
  <c r="B2558" i="2"/>
  <c r="B2556" i="2"/>
  <c r="B2554" i="2"/>
  <c r="B2552" i="2"/>
  <c r="B2550" i="2"/>
  <c r="B2548" i="2"/>
  <c r="B2546" i="2"/>
  <c r="B2544" i="2"/>
  <c r="B2542" i="2"/>
  <c r="B2540" i="2"/>
  <c r="B2538" i="2"/>
  <c r="B2536" i="2"/>
  <c r="B2534" i="2"/>
  <c r="B2532" i="2"/>
  <c r="B2530" i="2"/>
  <c r="B2528" i="2"/>
  <c r="B2526" i="2"/>
  <c r="B2524" i="2"/>
  <c r="B2522" i="2"/>
  <c r="B2520" i="2"/>
  <c r="B2518" i="2"/>
  <c r="B2516" i="2"/>
  <c r="B2514" i="2"/>
  <c r="B2512" i="2"/>
  <c r="B2510" i="2"/>
  <c r="B2508" i="2"/>
  <c r="B2506" i="2"/>
  <c r="B2605" i="2"/>
  <c r="B2597" i="2"/>
  <c r="B2589" i="2"/>
  <c r="B2581" i="2"/>
  <c r="B2573" i="2"/>
  <c r="B2565" i="2"/>
  <c r="B2557" i="2"/>
  <c r="B2549" i="2"/>
  <c r="B2541" i="2"/>
  <c r="B2533" i="2"/>
  <c r="B2525" i="2"/>
  <c r="B2517" i="2"/>
  <c r="B2509" i="2"/>
  <c r="B2504" i="2"/>
  <c r="B2502" i="2"/>
  <c r="B2500" i="2"/>
  <c r="B2498" i="2"/>
  <c r="B2496" i="2"/>
  <c r="B2494" i="2"/>
  <c r="B2492" i="2"/>
  <c r="B2490" i="2"/>
  <c r="B2488" i="2"/>
  <c r="B2486" i="2"/>
  <c r="B2484" i="2"/>
  <c r="B2482" i="2"/>
  <c r="B2480" i="2"/>
  <c r="B2478" i="2"/>
  <c r="B2476" i="2"/>
  <c r="B2474" i="2"/>
  <c r="B2472" i="2"/>
  <c r="B2470" i="2"/>
  <c r="B2468" i="2"/>
  <c r="B2466" i="2"/>
  <c r="B2464" i="2"/>
  <c r="B2462" i="2"/>
  <c r="B2460" i="2"/>
  <c r="B2458" i="2"/>
  <c r="B2456" i="2"/>
  <c r="B2454" i="2"/>
  <c r="B2452" i="2"/>
  <c r="B2450" i="2"/>
  <c r="B2448" i="2"/>
  <c r="B2446" i="2"/>
  <c r="B2444" i="2"/>
  <c r="B2442" i="2"/>
  <c r="B2440" i="2"/>
  <c r="B2438" i="2"/>
  <c r="B2436" i="2"/>
  <c r="B2434" i="2"/>
  <c r="B2432" i="2"/>
  <c r="B2430" i="2"/>
  <c r="B2428" i="2"/>
  <c r="B2426" i="2"/>
  <c r="B2424" i="2"/>
  <c r="B2422" i="2"/>
  <c r="B2420" i="2"/>
  <c r="B2418" i="2"/>
  <c r="B2416" i="2"/>
  <c r="B2414" i="2"/>
  <c r="B2412" i="2"/>
  <c r="B2410" i="2"/>
  <c r="B2408" i="2"/>
  <c r="B2406" i="2"/>
  <c r="B2404" i="2"/>
  <c r="B2402" i="2"/>
  <c r="B2400" i="2"/>
  <c r="B2398" i="2"/>
  <c r="B2396" i="2"/>
  <c r="B2394" i="2"/>
  <c r="B2392" i="2"/>
  <c r="B2390" i="2"/>
  <c r="B2388" i="2"/>
  <c r="B2386" i="2"/>
  <c r="B2384" i="2"/>
  <c r="B2382" i="2"/>
  <c r="B2380" i="2"/>
  <c r="B2378" i="2"/>
  <c r="B2376" i="2"/>
  <c r="B2374" i="2"/>
  <c r="B2372" i="2"/>
  <c r="B2370" i="2"/>
  <c r="B2368" i="2"/>
  <c r="B2366" i="2"/>
  <c r="B2364" i="2"/>
  <c r="B2362" i="2"/>
  <c r="B2360" i="2"/>
  <c r="B2358" i="2"/>
  <c r="B2356" i="2"/>
  <c r="B2354" i="2"/>
  <c r="B2352" i="2"/>
  <c r="B2350" i="2"/>
  <c r="B2348" i="2"/>
  <c r="B2346" i="2"/>
  <c r="B2344" i="2"/>
  <c r="B2342" i="2"/>
  <c r="B2340" i="2"/>
  <c r="B2338" i="2"/>
  <c r="B2336" i="2"/>
  <c r="B2334" i="2"/>
  <c r="B2332" i="2"/>
  <c r="B2330" i="2"/>
  <c r="B2328" i="2"/>
  <c r="B2326" i="2"/>
  <c r="B2324" i="2"/>
  <c r="B2322" i="2"/>
  <c r="B2320" i="2"/>
  <c r="B2318" i="2"/>
  <c r="B2316" i="2"/>
  <c r="B2314" i="2"/>
  <c r="B2312" i="2"/>
  <c r="B2310" i="2"/>
  <c r="B2308" i="2"/>
  <c r="B2306" i="2"/>
  <c r="B2304" i="2"/>
  <c r="B2302" i="2"/>
  <c r="B2300" i="2"/>
  <c r="B2298" i="2"/>
  <c r="B2296" i="2"/>
  <c r="B2607" i="2"/>
  <c r="B2599" i="2"/>
  <c r="B2591" i="2"/>
  <c r="B2583" i="2"/>
  <c r="B2575" i="2"/>
  <c r="B2567" i="2"/>
  <c r="B2559" i="2"/>
  <c r="B2551" i="2"/>
  <c r="B2543" i="2"/>
  <c r="B2535" i="2"/>
  <c r="B2527" i="2"/>
  <c r="B2519" i="2"/>
  <c r="B2511" i="2"/>
  <c r="B2609" i="2"/>
  <c r="B2601" i="2"/>
  <c r="B2593" i="2"/>
  <c r="B2585" i="2"/>
  <c r="B2577" i="2"/>
  <c r="B2569" i="2"/>
  <c r="B2561" i="2"/>
  <c r="B2553" i="2"/>
  <c r="B2545" i="2"/>
  <c r="B2537" i="2"/>
  <c r="B2529" i="2"/>
  <c r="B2521" i="2"/>
  <c r="B2513" i="2"/>
  <c r="B2505" i="2"/>
  <c r="B2503" i="2"/>
  <c r="B2501" i="2"/>
  <c r="B2499" i="2"/>
  <c r="B2497" i="2"/>
  <c r="B2495" i="2"/>
  <c r="B2493" i="2"/>
  <c r="B2491" i="2"/>
  <c r="B2489" i="2"/>
  <c r="B2487" i="2"/>
  <c r="B2485" i="2"/>
  <c r="B2483" i="2"/>
  <c r="B2481" i="2"/>
  <c r="B2479" i="2"/>
  <c r="B2477" i="2"/>
  <c r="B2475" i="2"/>
  <c r="B2473" i="2"/>
  <c r="B2471" i="2"/>
  <c r="B2469" i="2"/>
  <c r="B2467" i="2"/>
  <c r="B2465" i="2"/>
  <c r="B2463" i="2"/>
  <c r="B2461" i="2"/>
  <c r="B2459" i="2"/>
  <c r="B2457" i="2"/>
  <c r="B2455" i="2"/>
  <c r="B2453" i="2"/>
  <c r="B2451" i="2"/>
  <c r="B2449" i="2"/>
  <c r="B2447" i="2"/>
  <c r="B2445" i="2"/>
  <c r="B2443" i="2"/>
  <c r="B2441" i="2"/>
  <c r="B2439" i="2"/>
  <c r="B2437" i="2"/>
  <c r="B2435" i="2"/>
  <c r="B2433" i="2"/>
  <c r="B2431" i="2"/>
  <c r="B2429" i="2"/>
  <c r="B2427" i="2"/>
  <c r="B2425" i="2"/>
  <c r="B2423" i="2"/>
  <c r="B2421" i="2"/>
  <c r="B2419" i="2"/>
  <c r="B2417" i="2"/>
  <c r="B2415" i="2"/>
  <c r="B2413" i="2"/>
  <c r="B2411" i="2"/>
  <c r="B2409" i="2"/>
  <c r="B2407" i="2"/>
  <c r="B2405" i="2"/>
  <c r="B2403" i="2"/>
  <c r="B2401" i="2"/>
  <c r="B2399" i="2"/>
  <c r="B2397" i="2"/>
  <c r="B2395" i="2"/>
  <c r="B2393" i="2"/>
  <c r="B2391" i="2"/>
  <c r="B2389" i="2"/>
  <c r="B2387" i="2"/>
  <c r="B2385" i="2"/>
  <c r="B2383" i="2"/>
  <c r="B2381" i="2"/>
  <c r="B2379" i="2"/>
  <c r="B2377" i="2"/>
  <c r="B2375" i="2"/>
  <c r="B2373" i="2"/>
  <c r="B2371" i="2"/>
  <c r="B2369" i="2"/>
  <c r="B2367" i="2"/>
  <c r="B2365" i="2"/>
  <c r="B2363" i="2"/>
  <c r="B2361" i="2"/>
  <c r="B2359" i="2"/>
  <c r="B2357" i="2"/>
  <c r="B2355" i="2"/>
  <c r="B2353" i="2"/>
  <c r="B2351" i="2"/>
  <c r="B2349" i="2"/>
  <c r="B2347" i="2"/>
  <c r="B2345" i="2"/>
  <c r="B2343" i="2"/>
  <c r="B2341" i="2"/>
  <c r="B2339" i="2"/>
  <c r="B2337" i="2"/>
  <c r="B2335" i="2"/>
  <c r="B2333" i="2"/>
  <c r="B2331" i="2"/>
  <c r="B2329" i="2"/>
  <c r="B2327" i="2"/>
  <c r="B2325" i="2"/>
  <c r="B2323" i="2"/>
  <c r="B2321" i="2"/>
  <c r="B2319" i="2"/>
  <c r="B2317" i="2"/>
  <c r="B2315" i="2"/>
  <c r="B2313" i="2"/>
  <c r="B2311" i="2"/>
  <c r="B2309" i="2"/>
  <c r="B2307" i="2"/>
  <c r="B2305" i="2"/>
  <c r="B2303" i="2"/>
  <c r="B2301" i="2"/>
  <c r="B2299" i="2"/>
  <c r="B2297" i="2"/>
  <c r="B2295" i="2"/>
  <c r="B2293" i="2"/>
  <c r="B2291" i="2"/>
  <c r="B2289" i="2"/>
  <c r="B2287" i="2"/>
  <c r="B2285" i="2"/>
  <c r="B2283" i="2"/>
  <c r="B2281" i="2"/>
  <c r="B2279" i="2"/>
  <c r="B2603" i="2"/>
  <c r="B2595" i="2"/>
  <c r="B2587" i="2"/>
  <c r="B2579" i="2"/>
  <c r="B2571" i="2"/>
  <c r="B2563" i="2"/>
  <c r="B2555" i="2"/>
  <c r="B2547" i="2"/>
  <c r="B2539" i="2"/>
  <c r="B2531" i="2"/>
  <c r="B2523" i="2"/>
  <c r="B2515" i="2"/>
  <c r="B2507" i="2"/>
  <c r="B2292" i="2"/>
  <c r="B2284" i="2"/>
  <c r="B2294" i="2"/>
  <c r="B2286" i="2"/>
  <c r="B2278" i="2"/>
  <c r="B2276" i="2"/>
  <c r="B2274" i="2"/>
  <c r="B2272" i="2"/>
  <c r="B2270" i="2"/>
  <c r="B2268" i="2"/>
  <c r="B2266" i="2"/>
  <c r="B2264" i="2"/>
  <c r="B2262" i="2"/>
  <c r="B2260" i="2"/>
  <c r="B2258" i="2"/>
  <c r="B2256" i="2"/>
  <c r="B2254" i="2"/>
  <c r="B2252" i="2"/>
  <c r="B2250" i="2"/>
  <c r="B2248" i="2"/>
  <c r="B2246" i="2"/>
  <c r="B2244" i="2"/>
  <c r="B2242" i="2"/>
  <c r="B2240" i="2"/>
  <c r="B2238" i="2"/>
  <c r="B2236" i="2"/>
  <c r="B2234" i="2"/>
  <c r="B2232" i="2"/>
  <c r="B2230" i="2"/>
  <c r="B2228" i="2"/>
  <c r="B2226" i="2"/>
  <c r="B2224" i="2"/>
  <c r="B2222" i="2"/>
  <c r="B2220" i="2"/>
  <c r="B2218" i="2"/>
  <c r="B2216" i="2"/>
  <c r="B2214" i="2"/>
  <c r="B2212" i="2"/>
  <c r="B2210" i="2"/>
  <c r="B2208" i="2"/>
  <c r="B2206" i="2"/>
  <c r="B2204" i="2"/>
  <c r="B2202" i="2"/>
  <c r="B2200" i="2"/>
  <c r="B2198" i="2"/>
  <c r="B2196" i="2"/>
  <c r="B2194" i="2"/>
  <c r="B2192" i="2"/>
  <c r="B2190" i="2"/>
  <c r="B2188" i="2"/>
  <c r="B2186" i="2"/>
  <c r="B2184" i="2"/>
  <c r="B2182" i="2"/>
  <c r="B2180" i="2"/>
  <c r="B2178" i="2"/>
  <c r="B2176" i="2"/>
  <c r="B2174" i="2"/>
  <c r="B2172" i="2"/>
  <c r="B2170" i="2"/>
  <c r="B2168" i="2"/>
  <c r="B2166" i="2"/>
  <c r="B2164" i="2"/>
  <c r="B2162" i="2"/>
  <c r="B2160" i="2"/>
  <c r="B2158" i="2"/>
  <c r="B2156" i="2"/>
  <c r="B2154" i="2"/>
  <c r="B2152" i="2"/>
  <c r="B2150" i="2"/>
  <c r="B2148" i="2"/>
  <c r="B2146" i="2"/>
  <c r="B2144" i="2"/>
  <c r="B2142" i="2"/>
  <c r="B2140" i="2"/>
  <c r="B2138" i="2"/>
  <c r="B2136" i="2"/>
  <c r="B2134" i="2"/>
  <c r="B2132" i="2"/>
  <c r="B2130" i="2"/>
  <c r="B2128" i="2"/>
  <c r="B2126" i="2"/>
  <c r="B2124" i="2"/>
  <c r="B2122" i="2"/>
  <c r="B2120" i="2"/>
  <c r="B2118" i="2"/>
  <c r="B2116" i="2"/>
  <c r="B2114" i="2"/>
  <c r="B2112" i="2"/>
  <c r="B2110" i="2"/>
  <c r="B2108" i="2"/>
  <c r="B2106" i="2"/>
  <c r="B2104" i="2"/>
  <c r="B2102" i="2"/>
  <c r="B2100" i="2"/>
  <c r="B2098" i="2"/>
  <c r="B2096" i="2"/>
  <c r="B2094" i="2"/>
  <c r="B2092" i="2"/>
  <c r="B2090" i="2"/>
  <c r="B2088" i="2"/>
  <c r="B2086" i="2"/>
  <c r="B2084" i="2"/>
  <c r="B2082" i="2"/>
  <c r="B2080" i="2"/>
  <c r="B2078" i="2"/>
  <c r="B2076" i="2"/>
  <c r="B2074" i="2"/>
  <c r="B2072" i="2"/>
  <c r="B2070" i="2"/>
  <c r="B2068" i="2"/>
  <c r="B2066" i="2"/>
  <c r="B2064" i="2"/>
  <c r="B2062" i="2"/>
  <c r="B2060" i="2"/>
  <c r="B2058" i="2"/>
  <c r="B2056" i="2"/>
  <c r="B2054" i="2"/>
  <c r="B2052" i="2"/>
  <c r="B2050" i="2"/>
  <c r="B2048" i="2"/>
  <c r="B2046" i="2"/>
  <c r="B2044" i="2"/>
  <c r="B2042" i="2"/>
  <c r="B2040" i="2"/>
  <c r="B2038" i="2"/>
  <c r="B2036" i="2"/>
  <c r="B2034" i="2"/>
  <c r="B2032" i="2"/>
  <c r="B2030" i="2"/>
  <c r="B2288" i="2"/>
  <c r="B2280" i="2"/>
  <c r="B2290" i="2"/>
  <c r="B2282" i="2"/>
  <c r="B2277" i="2"/>
  <c r="B2275" i="2"/>
  <c r="B2273" i="2"/>
  <c r="B2271" i="2"/>
  <c r="B2269" i="2"/>
  <c r="B2267" i="2"/>
  <c r="B2265" i="2"/>
  <c r="B2263" i="2"/>
  <c r="B2261" i="2"/>
  <c r="B2259" i="2"/>
  <c r="B2257" i="2"/>
  <c r="B2255" i="2"/>
  <c r="B2253" i="2"/>
  <c r="B2251" i="2"/>
  <c r="B2249" i="2"/>
  <c r="B2247" i="2"/>
  <c r="B2245" i="2"/>
  <c r="B2243" i="2"/>
  <c r="B2241" i="2"/>
  <c r="B2239" i="2"/>
  <c r="B2237" i="2"/>
  <c r="B2235" i="2"/>
  <c r="B2233" i="2"/>
  <c r="B2231" i="2"/>
  <c r="B2229" i="2"/>
  <c r="B2227" i="2"/>
  <c r="B2225" i="2"/>
  <c r="B2223" i="2"/>
  <c r="B2221" i="2"/>
  <c r="B2219" i="2"/>
  <c r="B2217" i="2"/>
  <c r="B2215" i="2"/>
  <c r="B2213" i="2"/>
  <c r="B2211" i="2"/>
  <c r="B2209" i="2"/>
  <c r="B2207" i="2"/>
  <c r="B2205" i="2"/>
  <c r="B2203" i="2"/>
  <c r="B2201" i="2"/>
  <c r="B2199" i="2"/>
  <c r="B2197" i="2"/>
  <c r="B2195" i="2"/>
  <c r="B2193" i="2"/>
  <c r="B2191" i="2"/>
  <c r="B2189" i="2"/>
  <c r="B2187" i="2"/>
  <c r="B2185" i="2"/>
  <c r="B2183" i="2"/>
  <c r="B2181" i="2"/>
  <c r="B2179" i="2"/>
  <c r="B2177" i="2"/>
  <c r="B2175" i="2"/>
  <c r="B2173" i="2"/>
  <c r="B2171" i="2"/>
  <c r="B2169" i="2"/>
  <c r="B2167" i="2"/>
  <c r="B2165" i="2"/>
  <c r="B2163" i="2"/>
  <c r="B2161" i="2"/>
  <c r="B2159" i="2"/>
  <c r="B2157" i="2"/>
  <c r="B2155" i="2"/>
  <c r="B2153" i="2"/>
  <c r="B2151" i="2"/>
  <c r="B2149" i="2"/>
  <c r="B2147" i="2"/>
  <c r="B2145" i="2"/>
  <c r="B2143" i="2"/>
  <c r="B2141" i="2"/>
  <c r="B2139" i="2"/>
  <c r="B2137" i="2"/>
  <c r="B2135" i="2"/>
  <c r="B2133" i="2"/>
  <c r="B2131" i="2"/>
  <c r="B2129" i="2"/>
  <c r="B2127" i="2"/>
  <c r="B2125" i="2"/>
  <c r="B2123" i="2"/>
  <c r="B2121" i="2"/>
  <c r="B2119" i="2"/>
  <c r="B2117" i="2"/>
  <c r="B2115" i="2"/>
  <c r="B2113" i="2"/>
  <c r="B2111" i="2"/>
  <c r="B2109" i="2"/>
  <c r="B2107" i="2"/>
  <c r="B2105" i="2"/>
  <c r="B2103" i="2"/>
  <c r="B2101" i="2"/>
  <c r="B2099" i="2"/>
  <c r="B2097" i="2"/>
  <c r="B2095" i="2"/>
  <c r="B2093" i="2"/>
  <c r="B2091" i="2"/>
  <c r="B2089" i="2"/>
  <c r="B2087" i="2"/>
  <c r="B2085" i="2"/>
  <c r="B2083" i="2"/>
  <c r="B2081" i="2"/>
  <c r="B2079" i="2"/>
  <c r="B2077" i="2"/>
  <c r="B2075" i="2"/>
  <c r="B2073" i="2"/>
  <c r="B2071" i="2"/>
  <c r="B2069" i="2"/>
  <c r="B2067" i="2"/>
  <c r="B2065" i="2"/>
  <c r="B2063" i="2"/>
  <c r="B2061" i="2"/>
  <c r="B2059" i="2"/>
  <c r="B2057" i="2"/>
  <c r="B2055" i="2"/>
  <c r="B2053" i="2"/>
  <c r="B2045" i="2"/>
  <c r="B2037" i="2"/>
  <c r="B2029" i="2"/>
  <c r="B2027" i="2"/>
  <c r="B2025" i="2"/>
  <c r="B2023" i="2"/>
  <c r="B2021" i="2"/>
  <c r="B2019" i="2"/>
  <c r="B2017" i="2"/>
  <c r="B2015" i="2"/>
  <c r="B2013" i="2"/>
  <c r="B2011" i="2"/>
  <c r="B2009" i="2"/>
  <c r="B2007" i="2"/>
  <c r="B2005" i="2"/>
  <c r="B2003" i="2"/>
  <c r="B2001" i="2"/>
  <c r="B1999" i="2"/>
  <c r="B1997" i="2"/>
  <c r="B1995" i="2"/>
  <c r="B1993" i="2"/>
  <c r="B1991" i="2"/>
  <c r="B1989" i="2"/>
  <c r="B1987" i="2"/>
  <c r="B1985" i="2"/>
  <c r="B1983" i="2"/>
  <c r="B1981" i="2"/>
  <c r="B1979" i="2"/>
  <c r="B1977" i="2"/>
  <c r="B1975" i="2"/>
  <c r="B1973" i="2"/>
  <c r="B1971" i="2"/>
  <c r="B1969" i="2"/>
  <c r="B1967" i="2"/>
  <c r="B1965" i="2"/>
  <c r="B1963" i="2"/>
  <c r="B1961" i="2"/>
  <c r="B1959" i="2"/>
  <c r="B1957" i="2"/>
  <c r="B1955" i="2"/>
  <c r="B1953" i="2"/>
  <c r="B1951" i="2"/>
  <c r="B1949" i="2"/>
  <c r="B1947" i="2"/>
  <c r="B1945" i="2"/>
  <c r="B1943" i="2"/>
  <c r="B1941" i="2"/>
  <c r="B1939" i="2"/>
  <c r="B1937" i="2"/>
  <c r="B1935" i="2"/>
  <c r="B1933" i="2"/>
  <c r="B1931" i="2"/>
  <c r="B1929" i="2"/>
  <c r="B1927" i="2"/>
  <c r="B1925" i="2"/>
  <c r="B1923" i="2"/>
  <c r="B1921" i="2"/>
  <c r="B1919" i="2"/>
  <c r="B1917" i="2"/>
  <c r="B1915" i="2"/>
  <c r="B1913" i="2"/>
  <c r="B1911" i="2"/>
  <c r="B1909" i="2"/>
  <c r="B1907" i="2"/>
  <c r="B1905" i="2"/>
  <c r="B1903" i="2"/>
  <c r="B1901" i="2"/>
  <c r="B1899" i="2"/>
  <c r="B1897" i="2"/>
  <c r="B1895" i="2"/>
  <c r="B1893" i="2"/>
  <c r="B1891" i="2"/>
  <c r="B1889" i="2"/>
  <c r="B1887" i="2"/>
  <c r="B1885" i="2"/>
  <c r="B1883" i="2"/>
  <c r="B1881" i="2"/>
  <c r="B1879" i="2"/>
  <c r="B1877" i="2"/>
  <c r="B1875" i="2"/>
  <c r="B1873" i="2"/>
  <c r="B1871" i="2"/>
  <c r="B1869" i="2"/>
  <c r="B1867" i="2"/>
  <c r="B1865" i="2"/>
  <c r="B1863" i="2"/>
  <c r="B1861" i="2"/>
  <c r="B1859" i="2"/>
  <c r="B1857" i="2"/>
  <c r="B1855" i="2"/>
  <c r="B1853" i="2"/>
  <c r="B1851" i="2"/>
  <c r="B1849" i="2"/>
  <c r="B1847" i="2"/>
  <c r="B1845" i="2"/>
  <c r="B1843" i="2"/>
  <c r="B1841" i="2"/>
  <c r="B1839" i="2"/>
  <c r="B1837" i="2"/>
  <c r="B1835" i="2"/>
  <c r="B1833" i="2"/>
  <c r="B1831" i="2"/>
  <c r="B1829" i="2"/>
  <c r="B1827" i="2"/>
  <c r="B1825" i="2"/>
  <c r="B1823" i="2"/>
  <c r="B1821" i="2"/>
  <c r="B1819" i="2"/>
  <c r="B1817" i="2"/>
  <c r="B1815" i="2"/>
  <c r="B1813" i="2"/>
  <c r="B1811" i="2"/>
  <c r="B1809" i="2"/>
  <c r="B1807" i="2"/>
  <c r="B1805" i="2"/>
  <c r="B1803" i="2"/>
  <c r="B1801" i="2"/>
  <c r="B1799" i="2"/>
  <c r="B1797" i="2"/>
  <c r="B1795" i="2"/>
  <c r="B1793" i="2"/>
  <c r="B1791" i="2"/>
  <c r="B1789" i="2"/>
  <c r="B1787" i="2"/>
  <c r="B1785" i="2"/>
  <c r="B1783" i="2"/>
  <c r="B1781" i="2"/>
  <c r="B2047" i="2"/>
  <c r="B2039" i="2"/>
  <c r="B2031" i="2"/>
  <c r="B2049" i="2"/>
  <c r="B2041" i="2"/>
  <c r="B2033" i="2"/>
  <c r="B2028" i="2"/>
  <c r="B2026" i="2"/>
  <c r="B2024" i="2"/>
  <c r="B2022" i="2"/>
  <c r="B2020" i="2"/>
  <c r="B2018" i="2"/>
  <c r="B2016" i="2"/>
  <c r="B2014" i="2"/>
  <c r="B2012" i="2"/>
  <c r="B2010" i="2"/>
  <c r="B2008" i="2"/>
  <c r="B2006" i="2"/>
  <c r="B2004" i="2"/>
  <c r="B2002" i="2"/>
  <c r="B2000" i="2"/>
  <c r="B1998" i="2"/>
  <c r="B1996" i="2"/>
  <c r="B1994" i="2"/>
  <c r="B1992" i="2"/>
  <c r="B1990" i="2"/>
  <c r="B1988" i="2"/>
  <c r="B1986" i="2"/>
  <c r="B1984" i="2"/>
  <c r="B1982" i="2"/>
  <c r="B1980" i="2"/>
  <c r="B1978" i="2"/>
  <c r="B1976" i="2"/>
  <c r="B1974" i="2"/>
  <c r="B1972" i="2"/>
  <c r="B1970" i="2"/>
  <c r="B1968" i="2"/>
  <c r="B1966" i="2"/>
  <c r="B1964" i="2"/>
  <c r="B1962" i="2"/>
  <c r="B1960" i="2"/>
  <c r="B1958" i="2"/>
  <c r="B1956" i="2"/>
  <c r="B1954" i="2"/>
  <c r="B1952" i="2"/>
  <c r="B1950" i="2"/>
  <c r="B1948" i="2"/>
  <c r="B1946" i="2"/>
  <c r="B1944" i="2"/>
  <c r="B1942" i="2"/>
  <c r="B1940" i="2"/>
  <c r="B1938" i="2"/>
  <c r="B1936" i="2"/>
  <c r="B1934" i="2"/>
  <c r="B1932" i="2"/>
  <c r="B1930" i="2"/>
  <c r="B1928" i="2"/>
  <c r="B1926" i="2"/>
  <c r="B1924" i="2"/>
  <c r="B1922" i="2"/>
  <c r="B1920" i="2"/>
  <c r="B1918" i="2"/>
  <c r="B1916" i="2"/>
  <c r="B1914" i="2"/>
  <c r="B1912" i="2"/>
  <c r="B1910" i="2"/>
  <c r="B1908" i="2"/>
  <c r="B1906" i="2"/>
  <c r="B1904" i="2"/>
  <c r="B1902" i="2"/>
  <c r="B1900" i="2"/>
  <c r="B1898" i="2"/>
  <c r="B1896" i="2"/>
  <c r="B1894" i="2"/>
  <c r="B1892" i="2"/>
  <c r="B1890" i="2"/>
  <c r="B1888" i="2"/>
  <c r="B1886" i="2"/>
  <c r="B1884" i="2"/>
  <c r="B1882" i="2"/>
  <c r="B1880" i="2"/>
  <c r="B1878" i="2"/>
  <c r="B1876" i="2"/>
  <c r="B1874" i="2"/>
  <c r="B1872" i="2"/>
  <c r="B1870" i="2"/>
  <c r="B1868" i="2"/>
  <c r="B1866" i="2"/>
  <c r="B1864" i="2"/>
  <c r="B1862" i="2"/>
  <c r="B1860" i="2"/>
  <c r="B1858" i="2"/>
  <c r="B1856" i="2"/>
  <c r="B1854" i="2"/>
  <c r="B1852" i="2"/>
  <c r="B1850" i="2"/>
  <c r="B1848" i="2"/>
  <c r="B1846" i="2"/>
  <c r="B1844" i="2"/>
  <c r="B1842" i="2"/>
  <c r="B1840" i="2"/>
  <c r="B1838" i="2"/>
  <c r="B1836" i="2"/>
  <c r="B1834" i="2"/>
  <c r="B1832" i="2"/>
  <c r="B1830" i="2"/>
  <c r="B1828" i="2"/>
  <c r="B1826" i="2"/>
  <c r="B1824" i="2"/>
  <c r="B1822" i="2"/>
  <c r="B1820" i="2"/>
  <c r="B1818" i="2"/>
  <c r="B1816" i="2"/>
  <c r="B1814" i="2"/>
  <c r="B1812" i="2"/>
  <c r="B1810" i="2"/>
  <c r="B1808" i="2"/>
  <c r="B1806" i="2"/>
  <c r="B1804" i="2"/>
  <c r="B1802" i="2"/>
  <c r="B1800" i="2"/>
  <c r="B1798" i="2"/>
  <c r="B1796" i="2"/>
  <c r="B1794" i="2"/>
  <c r="B1792" i="2"/>
  <c r="B1790" i="2"/>
  <c r="B1788" i="2"/>
  <c r="B1786" i="2"/>
  <c r="B1784" i="2"/>
  <c r="B1782" i="2"/>
  <c r="B1780" i="2"/>
  <c r="B1778" i="2"/>
  <c r="B1776" i="2"/>
  <c r="B1774" i="2"/>
  <c r="B1772" i="2"/>
  <c r="B1770" i="2"/>
  <c r="B1768" i="2"/>
  <c r="B1766" i="2"/>
  <c r="B1764" i="2"/>
  <c r="B1762" i="2"/>
  <c r="B1760" i="2"/>
  <c r="B1758" i="2"/>
  <c r="B1756" i="2"/>
  <c r="B1754" i="2"/>
  <c r="B1752" i="2"/>
  <c r="B1750" i="2"/>
  <c r="B1748" i="2"/>
  <c r="B2051" i="2"/>
  <c r="B2043" i="2"/>
  <c r="B2035" i="2"/>
  <c r="B1779" i="2"/>
  <c r="B1771" i="2"/>
  <c r="B1763" i="2"/>
  <c r="B1755" i="2"/>
  <c r="B1747" i="2"/>
  <c r="B1745" i="2"/>
  <c r="B1743" i="2"/>
  <c r="B1741" i="2"/>
  <c r="B1739" i="2"/>
  <c r="B1737" i="2"/>
  <c r="B1735" i="2"/>
  <c r="B1733" i="2"/>
  <c r="B1731" i="2"/>
  <c r="B1729" i="2"/>
  <c r="B1727" i="2"/>
  <c r="B1725" i="2"/>
  <c r="B1723" i="2"/>
  <c r="B1721" i="2"/>
  <c r="B1719" i="2"/>
  <c r="B1717" i="2"/>
  <c r="B1715" i="2"/>
  <c r="B1713" i="2"/>
  <c r="B1711" i="2"/>
  <c r="B1709" i="2"/>
  <c r="B1707" i="2"/>
  <c r="B1705" i="2"/>
  <c r="B1703" i="2"/>
  <c r="B1701" i="2"/>
  <c r="B1699" i="2"/>
  <c r="B1697" i="2"/>
  <c r="B1695" i="2"/>
  <c r="B1693" i="2"/>
  <c r="B1691" i="2"/>
  <c r="B1689" i="2"/>
  <c r="B1687" i="2"/>
  <c r="B1685" i="2"/>
  <c r="B1683" i="2"/>
  <c r="B1681" i="2"/>
  <c r="B1679" i="2"/>
  <c r="B1677" i="2"/>
  <c r="B1675" i="2"/>
  <c r="B1673" i="2"/>
  <c r="B1671" i="2"/>
  <c r="B1669" i="2"/>
  <c r="B1667" i="2"/>
  <c r="B1665" i="2"/>
  <c r="B1663" i="2"/>
  <c r="B1661" i="2"/>
  <c r="B1659" i="2"/>
  <c r="B1657" i="2"/>
  <c r="B1655" i="2"/>
  <c r="B1653" i="2"/>
  <c r="B1651" i="2"/>
  <c r="B1649" i="2"/>
  <c r="B1647" i="2"/>
  <c r="B1645" i="2"/>
  <c r="B1643" i="2"/>
  <c r="B1641" i="2"/>
  <c r="B1639" i="2"/>
  <c r="B1637" i="2"/>
  <c r="B1635" i="2"/>
  <c r="B1633" i="2"/>
  <c r="B1631" i="2"/>
  <c r="B1629" i="2"/>
  <c r="B1627" i="2"/>
  <c r="B1625" i="2"/>
  <c r="B1623" i="2"/>
  <c r="B1621" i="2"/>
  <c r="B1619" i="2"/>
  <c r="B1617" i="2"/>
  <c r="B1615" i="2"/>
  <c r="B1613" i="2"/>
  <c r="B1611" i="2"/>
  <c r="B1609" i="2"/>
  <c r="B1607" i="2"/>
  <c r="B1605" i="2"/>
  <c r="B1603" i="2"/>
  <c r="B1601" i="2"/>
  <c r="B1599" i="2"/>
  <c r="B1597" i="2"/>
  <c r="B1595" i="2"/>
  <c r="B1593" i="2"/>
  <c r="B1591" i="2"/>
  <c r="B1589" i="2"/>
  <c r="B1587" i="2"/>
  <c r="B1585" i="2"/>
  <c r="B1583" i="2"/>
  <c r="B1581" i="2"/>
  <c r="B1579" i="2"/>
  <c r="B1577" i="2"/>
  <c r="B1575" i="2"/>
  <c r="B1573" i="2"/>
  <c r="B1571" i="2"/>
  <c r="B1569" i="2"/>
  <c r="B1567" i="2"/>
  <c r="B1565" i="2"/>
  <c r="B1563" i="2"/>
  <c r="B1561" i="2"/>
  <c r="B1559" i="2"/>
  <c r="B1557" i="2"/>
  <c r="B1555" i="2"/>
  <c r="B1553" i="2"/>
  <c r="B1551" i="2"/>
  <c r="B1549" i="2"/>
  <c r="B1547" i="2"/>
  <c r="B1545" i="2"/>
  <c r="B1543" i="2"/>
  <c r="B1541" i="2"/>
  <c r="B1539" i="2"/>
  <c r="B1537" i="2"/>
  <c r="B1535" i="2"/>
  <c r="B1533" i="2"/>
  <c r="B1531" i="2"/>
  <c r="B1529" i="2"/>
  <c r="B1527" i="2"/>
  <c r="B1525" i="2"/>
  <c r="B1523" i="2"/>
  <c r="B1521" i="2"/>
  <c r="B1519" i="2"/>
  <c r="B1517" i="2"/>
  <c r="B1515" i="2"/>
  <c r="B1513" i="2"/>
  <c r="B1511" i="2"/>
  <c r="B1509" i="2"/>
  <c r="B1507" i="2"/>
  <c r="B1505" i="2"/>
  <c r="B1503" i="2"/>
  <c r="B1501" i="2"/>
  <c r="B1499" i="2"/>
  <c r="B1497" i="2"/>
  <c r="B1495" i="2"/>
  <c r="B1493" i="2"/>
  <c r="B1491" i="2"/>
  <c r="B1489" i="2"/>
  <c r="B1487" i="2"/>
  <c r="B1485" i="2"/>
  <c r="B1483" i="2"/>
  <c r="B1481" i="2"/>
  <c r="B1479" i="2"/>
  <c r="B1477" i="2"/>
  <c r="B1475" i="2"/>
  <c r="B1473" i="2"/>
  <c r="B1471" i="2"/>
  <c r="B1469" i="2"/>
  <c r="B1467" i="2"/>
  <c r="B1465" i="2"/>
  <c r="B1463" i="2"/>
  <c r="B1461" i="2"/>
  <c r="B1459" i="2"/>
  <c r="B1457" i="2"/>
  <c r="B1455" i="2"/>
  <c r="B1453" i="2"/>
  <c r="B1451" i="2"/>
  <c r="B1449" i="2"/>
  <c r="B1447" i="2"/>
  <c r="B1445" i="2"/>
  <c r="B1443" i="2"/>
  <c r="B1441" i="2"/>
  <c r="B1439" i="2"/>
  <c r="B1437" i="2"/>
  <c r="B1435" i="2"/>
  <c r="B1433" i="2"/>
  <c r="B1431" i="2"/>
  <c r="B1429" i="2"/>
  <c r="B1427" i="2"/>
  <c r="B1425" i="2"/>
  <c r="B1423" i="2"/>
  <c r="B1421" i="2"/>
  <c r="B1419" i="2"/>
  <c r="B1417" i="2"/>
  <c r="B1415" i="2"/>
  <c r="B1413" i="2"/>
  <c r="B1411" i="2"/>
  <c r="B1409" i="2"/>
  <c r="B1407" i="2"/>
  <c r="B1405" i="2"/>
  <c r="B1403" i="2"/>
  <c r="B1401" i="2"/>
  <c r="B1399" i="2"/>
  <c r="B1397" i="2"/>
  <c r="B1395" i="2"/>
  <c r="B1393" i="2"/>
  <c r="B1391" i="2"/>
  <c r="B1389" i="2"/>
  <c r="B1387" i="2"/>
  <c r="B1385" i="2"/>
  <c r="B1383" i="2"/>
  <c r="B1381" i="2"/>
  <c r="B1379" i="2"/>
  <c r="B1377" i="2"/>
  <c r="B1375" i="2"/>
  <c r="B1373" i="2"/>
  <c r="B1371" i="2"/>
  <c r="B1369" i="2"/>
  <c r="B1367" i="2"/>
  <c r="B1365" i="2"/>
  <c r="B1363" i="2"/>
  <c r="B1361" i="2"/>
  <c r="B1359" i="2"/>
  <c r="B1357" i="2"/>
  <c r="B1355" i="2"/>
  <c r="B1353" i="2"/>
  <c r="B1351" i="2"/>
  <c r="B1349" i="2"/>
  <c r="B1347" i="2"/>
  <c r="B1345" i="2"/>
  <c r="B1343" i="2"/>
  <c r="B1341" i="2"/>
  <c r="B1339" i="2"/>
  <c r="B1337" i="2"/>
  <c r="B1335" i="2"/>
  <c r="B1333" i="2"/>
  <c r="B1331" i="2"/>
  <c r="B1329" i="2"/>
  <c r="B1327" i="2"/>
  <c r="B1325" i="2"/>
  <c r="B1323" i="2"/>
  <c r="B1321" i="2"/>
  <c r="B1319" i="2"/>
  <c r="B1317" i="2"/>
  <c r="B1315" i="2"/>
  <c r="B1313" i="2"/>
  <c r="B1311" i="2"/>
  <c r="B1309" i="2"/>
  <c r="B1307" i="2"/>
  <c r="B1305" i="2"/>
  <c r="B1303" i="2"/>
  <c r="B1301" i="2"/>
  <c r="B1299" i="2"/>
  <c r="B1297" i="2"/>
  <c r="B1295" i="2"/>
  <c r="B1293" i="2"/>
  <c r="B1291" i="2"/>
  <c r="B1289" i="2"/>
  <c r="B1287" i="2"/>
  <c r="B1285" i="2"/>
  <c r="B1283" i="2"/>
  <c r="B1281" i="2"/>
  <c r="B1279" i="2"/>
  <c r="B1277" i="2"/>
  <c r="B1275" i="2"/>
  <c r="B1273" i="2"/>
  <c r="B1271" i="2"/>
  <c r="B1269" i="2"/>
  <c r="B1267" i="2"/>
  <c r="B1265" i="2"/>
  <c r="B1263" i="2"/>
  <c r="B1261" i="2"/>
  <c r="B1259" i="2"/>
  <c r="B1257" i="2"/>
  <c r="B1255" i="2"/>
  <c r="B1253" i="2"/>
  <c r="B1251" i="2"/>
  <c r="B1249" i="2"/>
  <c r="B1773" i="2"/>
  <c r="B1765" i="2"/>
  <c r="B1757" i="2"/>
  <c r="B1749" i="2"/>
  <c r="B1775" i="2"/>
  <c r="B1767" i="2"/>
  <c r="B1759" i="2"/>
  <c r="B1751" i="2"/>
  <c r="B1746" i="2"/>
  <c r="B1744" i="2"/>
  <c r="B1742" i="2"/>
  <c r="B1740" i="2"/>
  <c r="B1738" i="2"/>
  <c r="B1736" i="2"/>
  <c r="B1734" i="2"/>
  <c r="B1732" i="2"/>
  <c r="B1730" i="2"/>
  <c r="B1728" i="2"/>
  <c r="B1726" i="2"/>
  <c r="B1724" i="2"/>
  <c r="B1722" i="2"/>
  <c r="B1720" i="2"/>
  <c r="B1718" i="2"/>
  <c r="B1716" i="2"/>
  <c r="B1714" i="2"/>
  <c r="B1712" i="2"/>
  <c r="B1710" i="2"/>
  <c r="B1708" i="2"/>
  <c r="B1706" i="2"/>
  <c r="B1704" i="2"/>
  <c r="B1702" i="2"/>
  <c r="B1700" i="2"/>
  <c r="B1698" i="2"/>
  <c r="B1696" i="2"/>
  <c r="B1694" i="2"/>
  <c r="B1692" i="2"/>
  <c r="B1690" i="2"/>
  <c r="B1688" i="2"/>
  <c r="B1686" i="2"/>
  <c r="B1684" i="2"/>
  <c r="B1682" i="2"/>
  <c r="B1680" i="2"/>
  <c r="B1678" i="2"/>
  <c r="B1676" i="2"/>
  <c r="B1674" i="2"/>
  <c r="B1672" i="2"/>
  <c r="B1670" i="2"/>
  <c r="B1668" i="2"/>
  <c r="B1666" i="2"/>
  <c r="B1664" i="2"/>
  <c r="B1662" i="2"/>
  <c r="B1660" i="2"/>
  <c r="B1658" i="2"/>
  <c r="B1656" i="2"/>
  <c r="B1654" i="2"/>
  <c r="B1652" i="2"/>
  <c r="B1650" i="2"/>
  <c r="B1648" i="2"/>
  <c r="B1646" i="2"/>
  <c r="B1644" i="2"/>
  <c r="B1642" i="2"/>
  <c r="B1640" i="2"/>
  <c r="B1638" i="2"/>
  <c r="B1636" i="2"/>
  <c r="B1634" i="2"/>
  <c r="B1632" i="2"/>
  <c r="B1630" i="2"/>
  <c r="B1628" i="2"/>
  <c r="B1626" i="2"/>
  <c r="B1624" i="2"/>
  <c r="B1622" i="2"/>
  <c r="B1620" i="2"/>
  <c r="B1618" i="2"/>
  <c r="B1616" i="2"/>
  <c r="B1614" i="2"/>
  <c r="B1612" i="2"/>
  <c r="B1610" i="2"/>
  <c r="B1608" i="2"/>
  <c r="B1606" i="2"/>
  <c r="B1604" i="2"/>
  <c r="B1602" i="2"/>
  <c r="B1600" i="2"/>
  <c r="B1598" i="2"/>
  <c r="B1596" i="2"/>
  <c r="B1594" i="2"/>
  <c r="B1592" i="2"/>
  <c r="B1590" i="2"/>
  <c r="B1588" i="2"/>
  <c r="B1586" i="2"/>
  <c r="B1584" i="2"/>
  <c r="B1582" i="2"/>
  <c r="B1580" i="2"/>
  <c r="B1578" i="2"/>
  <c r="B1576" i="2"/>
  <c r="B1574" i="2"/>
  <c r="B1572" i="2"/>
  <c r="B1570" i="2"/>
  <c r="B1568" i="2"/>
  <c r="B1566" i="2"/>
  <c r="B1564" i="2"/>
  <c r="B1562" i="2"/>
  <c r="B1560" i="2"/>
  <c r="B1558" i="2"/>
  <c r="B1556" i="2"/>
  <c r="B1554" i="2"/>
  <c r="B1552" i="2"/>
  <c r="B1550" i="2"/>
  <c r="B1548" i="2"/>
  <c r="B1546" i="2"/>
  <c r="B1544" i="2"/>
  <c r="B1542" i="2"/>
  <c r="B1540" i="2"/>
  <c r="B1538" i="2"/>
  <c r="B1536" i="2"/>
  <c r="B1534" i="2"/>
  <c r="B1532" i="2"/>
  <c r="B1530" i="2"/>
  <c r="B1528" i="2"/>
  <c r="B1526" i="2"/>
  <c r="B1524" i="2"/>
  <c r="B1522" i="2"/>
  <c r="B1520" i="2"/>
  <c r="B1518" i="2"/>
  <c r="B1516" i="2"/>
  <c r="B1514" i="2"/>
  <c r="B1512" i="2"/>
  <c r="B1510" i="2"/>
  <c r="B1508" i="2"/>
  <c r="B1506" i="2"/>
  <c r="B1504" i="2"/>
  <c r="B1502" i="2"/>
  <c r="B1500" i="2"/>
  <c r="B1498" i="2"/>
  <c r="B1496" i="2"/>
  <c r="B1494" i="2"/>
  <c r="B1492" i="2"/>
  <c r="B1490" i="2"/>
  <c r="B1488" i="2"/>
  <c r="B1486" i="2"/>
  <c r="B1484" i="2"/>
  <c r="B1482" i="2"/>
  <c r="B1480" i="2"/>
  <c r="B1478" i="2"/>
  <c r="B1476" i="2"/>
  <c r="B1474" i="2"/>
  <c r="B1472" i="2"/>
  <c r="B1470" i="2"/>
  <c r="B1468" i="2"/>
  <c r="B1466" i="2"/>
  <c r="B1464" i="2"/>
  <c r="B1462" i="2"/>
  <c r="B1460" i="2"/>
  <c r="B1458" i="2"/>
  <c r="B1456" i="2"/>
  <c r="B1454" i="2"/>
  <c r="B1452" i="2"/>
  <c r="B1450" i="2"/>
  <c r="B1448" i="2"/>
  <c r="B1446" i="2"/>
  <c r="B1444" i="2"/>
  <c r="B1442" i="2"/>
  <c r="B1440" i="2"/>
  <c r="B1438" i="2"/>
  <c r="B1436" i="2"/>
  <c r="B1434" i="2"/>
  <c r="B1432" i="2"/>
  <c r="B1430" i="2"/>
  <c r="B1428" i="2"/>
  <c r="B1426" i="2"/>
  <c r="B1424" i="2"/>
  <c r="B1422" i="2"/>
  <c r="B1420" i="2"/>
  <c r="B1418" i="2"/>
  <c r="B1416" i="2"/>
  <c r="B1414" i="2"/>
  <c r="B1412" i="2"/>
  <c r="B1410" i="2"/>
  <c r="B1408" i="2"/>
  <c r="B1406" i="2"/>
  <c r="B1404" i="2"/>
  <c r="B1402" i="2"/>
  <c r="B1400" i="2"/>
  <c r="B1398" i="2"/>
  <c r="B1396" i="2"/>
  <c r="B1394" i="2"/>
  <c r="B1392" i="2"/>
  <c r="B1390" i="2"/>
  <c r="B1388" i="2"/>
  <c r="B1386" i="2"/>
  <c r="B1384" i="2"/>
  <c r="B1382" i="2"/>
  <c r="B1380" i="2"/>
  <c r="B1378" i="2"/>
  <c r="B1376" i="2"/>
  <c r="B1374" i="2"/>
  <c r="B1372" i="2"/>
  <c r="B1370" i="2"/>
  <c r="B1368" i="2"/>
  <c r="B1366" i="2"/>
  <c r="B1364" i="2"/>
  <c r="B1362" i="2"/>
  <c r="B1360" i="2"/>
  <c r="B1358" i="2"/>
  <c r="B1356" i="2"/>
  <c r="B1354" i="2"/>
  <c r="B1352" i="2"/>
  <c r="B1350" i="2"/>
  <c r="B1348" i="2"/>
  <c r="B1346" i="2"/>
  <c r="B1344" i="2"/>
  <c r="B1342" i="2"/>
  <c r="B1340" i="2"/>
  <c r="B1338" i="2"/>
  <c r="B1336" i="2"/>
  <c r="B1334" i="2"/>
  <c r="B1332" i="2"/>
  <c r="B1330" i="2"/>
  <c r="B1328" i="2"/>
  <c r="B1326" i="2"/>
  <c r="B1324" i="2"/>
  <c r="B1322" i="2"/>
  <c r="B1320" i="2"/>
  <c r="B1318" i="2"/>
  <c r="B1316" i="2"/>
  <c r="B1314" i="2"/>
  <c r="B1312" i="2"/>
  <c r="B1310" i="2"/>
  <c r="B1308" i="2"/>
  <c r="B1306" i="2"/>
  <c r="B1304" i="2"/>
  <c r="B1302" i="2"/>
  <c r="B1300" i="2"/>
  <c r="B1298" i="2"/>
  <c r="B1296" i="2"/>
  <c r="B1294" i="2"/>
  <c r="B1292" i="2"/>
  <c r="B1290" i="2"/>
  <c r="B1288" i="2"/>
  <c r="B1286" i="2"/>
  <c r="B1284" i="2"/>
  <c r="B1282" i="2"/>
  <c r="B1280" i="2"/>
  <c r="B1278" i="2"/>
  <c r="B1276" i="2"/>
  <c r="B1274" i="2"/>
  <c r="B1272" i="2"/>
  <c r="B1270" i="2"/>
  <c r="B1268" i="2"/>
  <c r="B1266" i="2"/>
  <c r="B1264" i="2"/>
  <c r="B1262" i="2"/>
  <c r="B1260" i="2"/>
  <c r="B1258" i="2"/>
  <c r="B1256" i="2"/>
  <c r="B1254" i="2"/>
  <c r="B1252" i="2"/>
  <c r="B1250" i="2"/>
  <c r="B1248" i="2"/>
  <c r="B1246" i="2"/>
  <c r="B1777" i="2"/>
  <c r="B1769" i="2"/>
  <c r="B1761" i="2"/>
  <c r="B1753" i="2"/>
  <c r="B1245" i="2"/>
  <c r="B1243" i="2"/>
  <c r="B1241" i="2"/>
  <c r="B1239" i="2"/>
  <c r="B1237" i="2"/>
  <c r="B1235" i="2"/>
  <c r="B1233" i="2"/>
  <c r="B1231" i="2"/>
  <c r="B1229" i="2"/>
  <c r="B1227" i="2"/>
  <c r="B1225" i="2"/>
  <c r="B1223" i="2"/>
  <c r="B1221" i="2"/>
  <c r="B1219" i="2"/>
  <c r="B1217" i="2"/>
  <c r="B1215" i="2"/>
  <c r="B1213" i="2"/>
  <c r="B1211" i="2"/>
  <c r="B1209" i="2"/>
  <c r="B1207" i="2"/>
  <c r="B1205" i="2"/>
  <c r="B1203" i="2"/>
  <c r="B1201" i="2"/>
  <c r="B1199" i="2"/>
  <c r="B1197" i="2"/>
  <c r="B1195" i="2"/>
  <c r="B1193" i="2"/>
  <c r="B1191" i="2"/>
  <c r="B1189" i="2"/>
  <c r="B1187" i="2"/>
  <c r="B1185" i="2"/>
  <c r="B1183" i="2"/>
  <c r="B1181" i="2"/>
  <c r="B1179" i="2"/>
  <c r="B1177" i="2"/>
  <c r="B1175" i="2"/>
  <c r="B1173" i="2"/>
  <c r="B1171" i="2"/>
  <c r="B1169" i="2"/>
  <c r="B1167" i="2"/>
  <c r="B1165" i="2"/>
  <c r="B1163" i="2"/>
  <c r="B1161" i="2"/>
  <c r="B1159" i="2"/>
  <c r="B1157" i="2"/>
  <c r="B1155" i="2"/>
  <c r="B1153" i="2"/>
  <c r="B1151" i="2"/>
  <c r="B1149" i="2"/>
  <c r="B1147" i="2"/>
  <c r="B1145" i="2"/>
  <c r="B1143" i="2"/>
  <c r="B1141" i="2"/>
  <c r="B1139" i="2"/>
  <c r="B1137" i="2"/>
  <c r="B1135" i="2"/>
  <c r="B1133" i="2"/>
  <c r="B1131" i="2"/>
  <c r="B1129" i="2"/>
  <c r="B1127" i="2"/>
  <c r="B1125" i="2"/>
  <c r="B1123" i="2"/>
  <c r="B1121" i="2"/>
  <c r="B1119" i="2"/>
  <c r="B1117" i="2"/>
  <c r="B1115" i="2"/>
  <c r="B1113" i="2"/>
  <c r="B1111" i="2"/>
  <c r="B1109" i="2"/>
  <c r="B1107" i="2"/>
  <c r="B1105" i="2"/>
  <c r="B1103" i="2"/>
  <c r="B1101" i="2"/>
  <c r="B1099" i="2"/>
  <c r="B1097" i="2"/>
  <c r="B1095" i="2"/>
  <c r="B1093" i="2"/>
  <c r="B1091" i="2"/>
  <c r="B1089" i="2"/>
  <c r="B1087" i="2"/>
  <c r="B1085" i="2"/>
  <c r="B1083" i="2"/>
  <c r="B1081" i="2"/>
  <c r="B1079" i="2"/>
  <c r="B1077" i="2"/>
  <c r="B1075" i="2"/>
  <c r="B1073" i="2"/>
  <c r="B1071" i="2"/>
  <c r="B1069" i="2"/>
  <c r="B1067" i="2"/>
  <c r="B1065" i="2"/>
  <c r="B1063" i="2"/>
  <c r="B1061" i="2"/>
  <c r="B1059" i="2"/>
  <c r="B1057" i="2"/>
  <c r="B1055" i="2"/>
  <c r="B1053" i="2"/>
  <c r="B1051" i="2"/>
  <c r="B1049" i="2"/>
  <c r="B1047" i="2"/>
  <c r="B1045" i="2"/>
  <c r="B1043" i="2"/>
  <c r="B1041" i="2"/>
  <c r="B1039" i="2"/>
  <c r="B1037" i="2"/>
  <c r="B1035" i="2"/>
  <c r="B1033" i="2"/>
  <c r="B1031" i="2"/>
  <c r="B1029" i="2"/>
  <c r="B1027" i="2"/>
  <c r="B1025" i="2"/>
  <c r="B1023" i="2"/>
  <c r="B1021" i="2"/>
  <c r="B1019" i="2"/>
  <c r="B1017" i="2"/>
  <c r="B1015" i="2"/>
  <c r="B1013" i="2"/>
  <c r="B1011" i="2"/>
  <c r="B1009" i="2"/>
  <c r="B1007" i="2"/>
  <c r="B1005" i="2"/>
  <c r="B1003" i="2"/>
  <c r="B1001" i="2"/>
  <c r="B999" i="2"/>
  <c r="B997" i="2"/>
  <c r="B995" i="2"/>
  <c r="B993" i="2"/>
  <c r="B991" i="2"/>
  <c r="B989" i="2"/>
  <c r="B987" i="2"/>
  <c r="B985" i="2"/>
  <c r="B983" i="2"/>
  <c r="B981" i="2"/>
  <c r="B979" i="2"/>
  <c r="B977" i="2"/>
  <c r="B975" i="2"/>
  <c r="B973" i="2"/>
  <c r="B971" i="2"/>
  <c r="B969" i="2"/>
  <c r="B967" i="2"/>
  <c r="B965" i="2"/>
  <c r="B963" i="2"/>
  <c r="B961" i="2"/>
  <c r="B959" i="2"/>
  <c r="B957" i="2"/>
  <c r="B955" i="2"/>
  <c r="B953" i="2"/>
  <c r="B951" i="2"/>
  <c r="B949" i="2"/>
  <c r="B947" i="2"/>
  <c r="B945" i="2"/>
  <c r="B943" i="2"/>
  <c r="B941" i="2"/>
  <c r="B939" i="2"/>
  <c r="B937" i="2"/>
  <c r="B935" i="2"/>
  <c r="B933" i="2"/>
  <c r="B931" i="2"/>
  <c r="B929" i="2"/>
  <c r="B927" i="2"/>
  <c r="B925" i="2"/>
  <c r="B923" i="2"/>
  <c r="B921" i="2"/>
  <c r="B919" i="2"/>
  <c r="B917" i="2"/>
  <c r="B915" i="2"/>
  <c r="B913" i="2"/>
  <c r="B911" i="2"/>
  <c r="B909" i="2"/>
  <c r="B907" i="2"/>
  <c r="B905" i="2"/>
  <c r="B903" i="2"/>
  <c r="B901" i="2"/>
  <c r="B899" i="2"/>
  <c r="B897" i="2"/>
  <c r="B895" i="2"/>
  <c r="B893" i="2"/>
  <c r="B891" i="2"/>
  <c r="B889" i="2"/>
  <c r="B887" i="2"/>
  <c r="B885" i="2"/>
  <c r="B883" i="2"/>
  <c r="B881" i="2"/>
  <c r="B879" i="2"/>
  <c r="B877" i="2"/>
  <c r="B875" i="2"/>
  <c r="B873" i="2"/>
  <c r="B871" i="2"/>
  <c r="B869" i="2"/>
  <c r="B867" i="2"/>
  <c r="B865" i="2"/>
  <c r="B863" i="2"/>
  <c r="B861" i="2"/>
  <c r="B859" i="2"/>
  <c r="B857" i="2"/>
  <c r="B855" i="2"/>
  <c r="B853" i="2"/>
  <c r="B851" i="2"/>
  <c r="B849" i="2"/>
  <c r="B847" i="2"/>
  <c r="B845" i="2"/>
  <c r="B843" i="2"/>
  <c r="B841" i="2"/>
  <c r="B839" i="2"/>
  <c r="B837" i="2"/>
  <c r="B835" i="2"/>
  <c r="B833" i="2"/>
  <c r="B831" i="2"/>
  <c r="B829" i="2"/>
  <c r="B827" i="2"/>
  <c r="B825" i="2"/>
  <c r="B823" i="2"/>
  <c r="B821" i="2"/>
  <c r="B819" i="2"/>
  <c r="B817" i="2"/>
  <c r="B815" i="2"/>
  <c r="B813" i="2"/>
  <c r="B811" i="2"/>
  <c r="B809" i="2"/>
  <c r="B807" i="2"/>
  <c r="B805" i="2"/>
  <c r="B803" i="2"/>
  <c r="B801" i="2"/>
  <c r="B799" i="2"/>
  <c r="B797" i="2"/>
  <c r="B795" i="2"/>
  <c r="B793" i="2"/>
  <c r="B791" i="2"/>
  <c r="B789" i="2"/>
  <c r="B787" i="2"/>
  <c r="B785" i="2"/>
  <c r="B783" i="2"/>
  <c r="B781" i="2"/>
  <c r="B779" i="2"/>
  <c r="B777" i="2"/>
  <c r="B775" i="2"/>
  <c r="B773" i="2"/>
  <c r="B771" i="2"/>
  <c r="B769" i="2"/>
  <c r="B767" i="2"/>
  <c r="B765" i="2"/>
  <c r="B763" i="2"/>
  <c r="B761" i="2"/>
  <c r="B759" i="2"/>
  <c r="B757" i="2"/>
  <c r="B755" i="2"/>
  <c r="B753" i="2"/>
  <c r="B751" i="2"/>
  <c r="B749" i="2"/>
  <c r="B747" i="2"/>
  <c r="B745" i="2"/>
  <c r="B743" i="2"/>
  <c r="B741" i="2"/>
  <c r="B739" i="2"/>
  <c r="B737" i="2"/>
  <c r="B1247" i="2"/>
  <c r="B1244" i="2"/>
  <c r="B1242" i="2"/>
  <c r="B1240" i="2"/>
  <c r="B1238" i="2"/>
  <c r="B1236" i="2"/>
  <c r="B1234" i="2"/>
  <c r="B1232" i="2"/>
  <c r="B1230" i="2"/>
  <c r="B1228" i="2"/>
  <c r="B1226" i="2"/>
  <c r="B1224" i="2"/>
  <c r="B1222" i="2"/>
  <c r="B1220" i="2"/>
  <c r="B1218" i="2"/>
  <c r="B1216" i="2"/>
  <c r="B1214" i="2"/>
  <c r="B1212" i="2"/>
  <c r="B1210" i="2"/>
  <c r="B1208" i="2"/>
  <c r="B1206" i="2"/>
  <c r="B1204" i="2"/>
  <c r="B1202" i="2"/>
  <c r="B1200" i="2"/>
  <c r="B1198" i="2"/>
  <c r="B1196" i="2"/>
  <c r="B1194" i="2"/>
  <c r="B1192" i="2"/>
  <c r="B1190" i="2"/>
  <c r="B1188" i="2"/>
  <c r="B1186" i="2"/>
  <c r="B1184" i="2"/>
  <c r="B1182" i="2"/>
  <c r="B1180" i="2"/>
  <c r="B1178" i="2"/>
  <c r="B1176" i="2"/>
  <c r="B1174" i="2"/>
  <c r="B1172" i="2"/>
  <c r="B1170" i="2"/>
  <c r="B1168" i="2"/>
  <c r="B1166" i="2"/>
  <c r="B1164" i="2"/>
  <c r="B1162" i="2"/>
  <c r="B1160" i="2"/>
  <c r="B1158" i="2"/>
  <c r="B1156" i="2"/>
  <c r="B1154" i="2"/>
  <c r="B1152" i="2"/>
  <c r="B1150" i="2"/>
  <c r="B1148" i="2"/>
  <c r="B1146" i="2"/>
  <c r="B1144" i="2"/>
  <c r="B1142" i="2"/>
  <c r="B1140" i="2"/>
  <c r="B1138" i="2"/>
  <c r="B1136" i="2"/>
  <c r="B1134" i="2"/>
  <c r="B1132" i="2"/>
  <c r="B1130" i="2"/>
  <c r="B1128" i="2"/>
  <c r="B1126" i="2"/>
  <c r="B1124" i="2"/>
  <c r="B1122" i="2"/>
  <c r="B1120" i="2"/>
  <c r="B1118" i="2"/>
  <c r="B1116" i="2"/>
  <c r="B1114" i="2"/>
  <c r="B1112" i="2"/>
  <c r="B1110" i="2"/>
  <c r="B1108" i="2"/>
  <c r="B1106" i="2"/>
  <c r="B1104" i="2"/>
  <c r="B1102" i="2"/>
  <c r="B1100" i="2"/>
  <c r="B1098" i="2"/>
  <c r="B1096" i="2"/>
  <c r="B1094" i="2"/>
  <c r="B1092" i="2"/>
  <c r="B1090" i="2"/>
  <c r="B1088" i="2"/>
  <c r="B1086" i="2"/>
  <c r="B1084" i="2"/>
  <c r="B1082" i="2"/>
  <c r="B1080" i="2"/>
  <c r="B1078" i="2"/>
  <c r="B1076" i="2"/>
  <c r="B1074" i="2"/>
  <c r="B1072" i="2"/>
  <c r="B1070" i="2"/>
  <c r="B1068" i="2"/>
  <c r="B1066" i="2"/>
  <c r="B1064" i="2"/>
  <c r="B1062" i="2"/>
  <c r="B1060" i="2"/>
  <c r="B1058" i="2"/>
  <c r="B1056" i="2"/>
  <c r="B1054" i="2"/>
  <c r="B1052" i="2"/>
  <c r="B1050" i="2"/>
  <c r="B1048" i="2"/>
  <c r="B1046" i="2"/>
  <c r="B1044" i="2"/>
  <c r="B1042" i="2"/>
  <c r="B1040" i="2"/>
  <c r="B1038" i="2"/>
  <c r="B1036" i="2"/>
  <c r="B1034" i="2"/>
  <c r="B1032" i="2"/>
  <c r="B1030" i="2"/>
  <c r="B1028" i="2"/>
  <c r="B1026" i="2"/>
  <c r="B1024" i="2"/>
  <c r="B1022" i="2"/>
  <c r="B1020" i="2"/>
  <c r="B1018" i="2"/>
  <c r="B1016" i="2"/>
  <c r="B1014" i="2"/>
  <c r="B1012" i="2"/>
  <c r="B1010" i="2"/>
  <c r="B1008" i="2"/>
  <c r="B1006" i="2"/>
  <c r="B1004" i="2"/>
  <c r="B1002" i="2"/>
  <c r="B1000" i="2"/>
  <c r="B998" i="2"/>
  <c r="B996" i="2"/>
  <c r="B994" i="2"/>
  <c r="B992" i="2"/>
  <c r="B990" i="2"/>
  <c r="B988" i="2"/>
  <c r="B986" i="2"/>
  <c r="B984" i="2"/>
  <c r="B982" i="2"/>
  <c r="B980" i="2"/>
  <c r="B978" i="2"/>
  <c r="B976" i="2"/>
  <c r="B974" i="2"/>
  <c r="B972" i="2"/>
  <c r="B970" i="2"/>
  <c r="B968" i="2"/>
  <c r="B966" i="2"/>
  <c r="B964" i="2"/>
  <c r="B962" i="2"/>
  <c r="B960" i="2"/>
  <c r="B958" i="2"/>
  <c r="B956" i="2"/>
  <c r="B954" i="2"/>
  <c r="B952" i="2"/>
  <c r="B950" i="2"/>
  <c r="B948" i="2"/>
  <c r="B946" i="2"/>
  <c r="B944" i="2"/>
  <c r="B942" i="2"/>
  <c r="B940" i="2"/>
  <c r="B938" i="2"/>
  <c r="B936" i="2"/>
  <c r="B928" i="2"/>
  <c r="B920" i="2"/>
  <c r="B912" i="2"/>
  <c r="B904" i="2"/>
  <c r="B896" i="2"/>
  <c r="B888" i="2"/>
  <c r="B880" i="2"/>
  <c r="B872" i="2"/>
  <c r="B864" i="2"/>
  <c r="B856" i="2"/>
  <c r="B848" i="2"/>
  <c r="B840" i="2"/>
  <c r="B832" i="2"/>
  <c r="B824" i="2"/>
  <c r="B816" i="2"/>
  <c r="B808" i="2"/>
  <c r="B800" i="2"/>
  <c r="B792" i="2"/>
  <c r="B784" i="2"/>
  <c r="B776" i="2"/>
  <c r="B768" i="2"/>
  <c r="B760" i="2"/>
  <c r="B752" i="2"/>
  <c r="B744" i="2"/>
  <c r="B736" i="2"/>
  <c r="B734" i="2"/>
  <c r="B732" i="2"/>
  <c r="B730" i="2"/>
  <c r="B728" i="2"/>
  <c r="B726" i="2"/>
  <c r="B724" i="2"/>
  <c r="B722" i="2"/>
  <c r="B720" i="2"/>
  <c r="B718" i="2"/>
  <c r="B716" i="2"/>
  <c r="B714" i="2"/>
  <c r="B712" i="2"/>
  <c r="B710" i="2"/>
  <c r="B708" i="2"/>
  <c r="B706" i="2"/>
  <c r="B704" i="2"/>
  <c r="B702" i="2"/>
  <c r="B700" i="2"/>
  <c r="B698" i="2"/>
  <c r="B696" i="2"/>
  <c r="B694" i="2"/>
  <c r="B692" i="2"/>
  <c r="B690" i="2"/>
  <c r="B688" i="2"/>
  <c r="B686" i="2"/>
  <c r="B684" i="2"/>
  <c r="B682" i="2"/>
  <c r="B680" i="2"/>
  <c r="B678" i="2"/>
  <c r="B676" i="2"/>
  <c r="B674" i="2"/>
  <c r="B672" i="2"/>
  <c r="B670" i="2"/>
  <c r="B668" i="2"/>
  <c r="B666" i="2"/>
  <c r="B664" i="2"/>
  <c r="B662" i="2"/>
  <c r="B660" i="2"/>
  <c r="B658" i="2"/>
  <c r="B656" i="2"/>
  <c r="B654" i="2"/>
  <c r="B652" i="2"/>
  <c r="B650" i="2"/>
  <c r="B648" i="2"/>
  <c r="B646" i="2"/>
  <c r="B644" i="2"/>
  <c r="B642" i="2"/>
  <c r="B640" i="2"/>
  <c r="B638" i="2"/>
  <c r="B636" i="2"/>
  <c r="B634" i="2"/>
  <c r="B632" i="2"/>
  <c r="B630" i="2"/>
  <c r="B628" i="2"/>
  <c r="B626" i="2"/>
  <c r="B624" i="2"/>
  <c r="B622" i="2"/>
  <c r="B620" i="2"/>
  <c r="B618" i="2"/>
  <c r="B616" i="2"/>
  <c r="B614" i="2"/>
  <c r="B612" i="2"/>
  <c r="B610" i="2"/>
  <c r="B608" i="2"/>
  <c r="B606" i="2"/>
  <c r="B604" i="2"/>
  <c r="B602" i="2"/>
  <c r="B600" i="2"/>
  <c r="B598" i="2"/>
  <c r="B596" i="2"/>
  <c r="B594" i="2"/>
  <c r="B592" i="2"/>
  <c r="B590" i="2"/>
  <c r="B588" i="2"/>
  <c r="B586" i="2"/>
  <c r="B584" i="2"/>
  <c r="B582" i="2"/>
  <c r="B580" i="2"/>
  <c r="B578" i="2"/>
  <c r="B576" i="2"/>
  <c r="B574" i="2"/>
  <c r="B572" i="2"/>
  <c r="B570" i="2"/>
  <c r="B568" i="2"/>
  <c r="B566" i="2"/>
  <c r="B564" i="2"/>
  <c r="B562" i="2"/>
  <c r="B560" i="2"/>
  <c r="B558" i="2"/>
  <c r="B556" i="2"/>
  <c r="B554" i="2"/>
  <c r="B552" i="2"/>
  <c r="B550" i="2"/>
  <c r="B548" i="2"/>
  <c r="B546" i="2"/>
  <c r="B544" i="2"/>
  <c r="B542" i="2"/>
  <c r="B540" i="2"/>
  <c r="B538" i="2"/>
  <c r="B536" i="2"/>
  <c r="B534" i="2"/>
  <c r="B532" i="2"/>
  <c r="B530" i="2"/>
  <c r="B528" i="2"/>
  <c r="B526" i="2"/>
  <c r="B524" i="2"/>
  <c r="B522" i="2"/>
  <c r="B520" i="2"/>
  <c r="B518" i="2"/>
  <c r="B516" i="2"/>
  <c r="B514" i="2"/>
  <c r="B512" i="2"/>
  <c r="B510" i="2"/>
  <c r="B508" i="2"/>
  <c r="B506" i="2"/>
  <c r="B504" i="2"/>
  <c r="B502" i="2"/>
  <c r="B500" i="2"/>
  <c r="B498" i="2"/>
  <c r="B496" i="2"/>
  <c r="B494" i="2"/>
  <c r="B492" i="2"/>
  <c r="B490" i="2"/>
  <c r="B488" i="2"/>
  <c r="B486" i="2"/>
  <c r="B484" i="2"/>
  <c r="B482" i="2"/>
  <c r="B480" i="2"/>
  <c r="B478" i="2"/>
  <c r="B476" i="2"/>
  <c r="B474" i="2"/>
  <c r="B472" i="2"/>
  <c r="B470" i="2"/>
  <c r="B468" i="2"/>
  <c r="B466" i="2"/>
  <c r="B464" i="2"/>
  <c r="B462" i="2"/>
  <c r="B460" i="2"/>
  <c r="B458" i="2"/>
  <c r="B456" i="2"/>
  <c r="B454" i="2"/>
  <c r="B452" i="2"/>
  <c r="B450" i="2"/>
  <c r="B448" i="2"/>
  <c r="B446" i="2"/>
  <c r="B444" i="2"/>
  <c r="B442" i="2"/>
  <c r="B440" i="2"/>
  <c r="B438" i="2"/>
  <c r="B436" i="2"/>
  <c r="B434" i="2"/>
  <c r="B432" i="2"/>
  <c r="B430" i="2"/>
  <c r="B428" i="2"/>
  <c r="B426" i="2"/>
  <c r="B424" i="2"/>
  <c r="B422" i="2"/>
  <c r="B420" i="2"/>
  <c r="B418" i="2"/>
  <c r="B416" i="2"/>
  <c r="B414" i="2"/>
  <c r="B412" i="2"/>
  <c r="B410" i="2"/>
  <c r="B408" i="2"/>
  <c r="B406" i="2"/>
  <c r="B404" i="2"/>
  <c r="B402" i="2"/>
  <c r="B400" i="2"/>
  <c r="B398" i="2"/>
  <c r="B396" i="2"/>
  <c r="B394" i="2"/>
  <c r="B392" i="2"/>
  <c r="B390" i="2"/>
  <c r="B388" i="2"/>
  <c r="B386" i="2"/>
  <c r="B384" i="2"/>
  <c r="B382" i="2"/>
  <c r="B380" i="2"/>
  <c r="B378" i="2"/>
  <c r="B376" i="2"/>
  <c r="B374" i="2"/>
  <c r="B372" i="2"/>
  <c r="B370" i="2"/>
  <c r="B368" i="2"/>
  <c r="B366" i="2"/>
  <c r="B364" i="2"/>
  <c r="B362" i="2"/>
  <c r="B360" i="2"/>
  <c r="B358" i="2"/>
  <c r="B356" i="2"/>
  <c r="B354" i="2"/>
  <c r="B352" i="2"/>
  <c r="B350" i="2"/>
  <c r="B348" i="2"/>
  <c r="B346" i="2"/>
  <c r="B344" i="2"/>
  <c r="B342" i="2"/>
  <c r="B340" i="2"/>
  <c r="B338" i="2"/>
  <c r="B336" i="2"/>
  <c r="B334" i="2"/>
  <c r="B332" i="2"/>
  <c r="B330" i="2"/>
  <c r="B328" i="2"/>
  <c r="B326" i="2"/>
  <c r="B324" i="2"/>
  <c r="B322" i="2"/>
  <c r="B320" i="2"/>
  <c r="B318" i="2"/>
  <c r="B316" i="2"/>
  <c r="B314" i="2"/>
  <c r="B312" i="2"/>
  <c r="B930" i="2"/>
  <c r="B922" i="2"/>
  <c r="B914" i="2"/>
  <c r="B906" i="2"/>
  <c r="B898" i="2"/>
  <c r="B890" i="2"/>
  <c r="B882" i="2"/>
  <c r="B874" i="2"/>
  <c r="B866" i="2"/>
  <c r="B858" i="2"/>
  <c r="B850" i="2"/>
  <c r="B842" i="2"/>
  <c r="B834" i="2"/>
  <c r="B826" i="2"/>
  <c r="B818" i="2"/>
  <c r="B810" i="2"/>
  <c r="B802" i="2"/>
  <c r="B794" i="2"/>
  <c r="B786" i="2"/>
  <c r="B778" i="2"/>
  <c r="B770" i="2"/>
  <c r="B762" i="2"/>
  <c r="B754" i="2"/>
  <c r="B746" i="2"/>
  <c r="B738" i="2"/>
  <c r="B39" i="2"/>
  <c r="B35" i="2"/>
  <c r="B31" i="2"/>
  <c r="B27" i="2"/>
  <c r="B23" i="2"/>
  <c r="B17" i="2"/>
  <c r="B13" i="2"/>
  <c r="B11" i="2"/>
  <c r="B7" i="2"/>
  <c r="B306" i="2"/>
  <c r="B304" i="2"/>
  <c r="B298" i="2"/>
  <c r="B292" i="2"/>
  <c r="B286" i="2"/>
  <c r="B278" i="2"/>
  <c r="B274" i="2"/>
  <c r="B268" i="2"/>
  <c r="B260" i="2"/>
  <c r="B256" i="2"/>
  <c r="B250" i="2"/>
  <c r="B244" i="2"/>
  <c r="B238" i="2"/>
  <c r="B232" i="2"/>
  <c r="B224" i="2"/>
  <c r="B218" i="2"/>
  <c r="B214" i="2"/>
  <c r="B208" i="2"/>
  <c r="B202" i="2"/>
  <c r="B196" i="2"/>
  <c r="B192" i="2"/>
  <c r="B186" i="2"/>
  <c r="B180" i="2"/>
  <c r="B174" i="2"/>
  <c r="B168" i="2"/>
  <c r="B162" i="2"/>
  <c r="B156" i="2"/>
  <c r="B152" i="2"/>
  <c r="B146" i="2"/>
  <c r="B138" i="2"/>
  <c r="B136" i="2"/>
  <c r="B134" i="2"/>
  <c r="B132" i="2"/>
  <c r="B130" i="2"/>
  <c r="B128" i="2"/>
  <c r="B124" i="2"/>
  <c r="B120" i="2"/>
  <c r="B114" i="2"/>
  <c r="B110" i="2"/>
  <c r="B84" i="2"/>
  <c r="B80" i="2"/>
  <c r="B74" i="2"/>
  <c r="B70" i="2"/>
  <c r="B64" i="2"/>
  <c r="B60" i="2"/>
  <c r="B54" i="2"/>
  <c r="B50" i="2"/>
  <c r="B44" i="2"/>
  <c r="B40" i="2"/>
  <c r="B36" i="2"/>
  <c r="B32" i="2"/>
  <c r="B28" i="2"/>
  <c r="B24" i="2"/>
  <c r="B18" i="2"/>
  <c r="B14" i="2"/>
  <c r="B10" i="2"/>
  <c r="B4" i="2"/>
  <c r="B932" i="2"/>
  <c r="B924" i="2"/>
  <c r="B916" i="2"/>
  <c r="B908" i="2"/>
  <c r="B900" i="2"/>
  <c r="B892" i="2"/>
  <c r="B884" i="2"/>
  <c r="B876" i="2"/>
  <c r="B868" i="2"/>
  <c r="B860" i="2"/>
  <c r="B852" i="2"/>
  <c r="B844" i="2"/>
  <c r="B836" i="2"/>
  <c r="B828" i="2"/>
  <c r="B820" i="2"/>
  <c r="B812" i="2"/>
  <c r="B804" i="2"/>
  <c r="B796" i="2"/>
  <c r="B788" i="2"/>
  <c r="B780" i="2"/>
  <c r="B772" i="2"/>
  <c r="B764" i="2"/>
  <c r="B756" i="2"/>
  <c r="B748" i="2"/>
  <c r="B740" i="2"/>
  <c r="B735" i="2"/>
  <c r="B733" i="2"/>
  <c r="B731" i="2"/>
  <c r="B729" i="2"/>
  <c r="B727" i="2"/>
  <c r="B725" i="2"/>
  <c r="B723" i="2"/>
  <c r="B721" i="2"/>
  <c r="B719" i="2"/>
  <c r="B717" i="2"/>
  <c r="B715" i="2"/>
  <c r="B713" i="2"/>
  <c r="B711" i="2"/>
  <c r="B709" i="2"/>
  <c r="B707" i="2"/>
  <c r="B705" i="2"/>
  <c r="B703" i="2"/>
  <c r="B701" i="2"/>
  <c r="B699" i="2"/>
  <c r="B697" i="2"/>
  <c r="B695" i="2"/>
  <c r="B693" i="2"/>
  <c r="B691" i="2"/>
  <c r="B689" i="2"/>
  <c r="B687" i="2"/>
  <c r="B685" i="2"/>
  <c r="B683" i="2"/>
  <c r="B681" i="2"/>
  <c r="B679" i="2"/>
  <c r="B677" i="2"/>
  <c r="B675" i="2"/>
  <c r="B673" i="2"/>
  <c r="B671" i="2"/>
  <c r="B669" i="2"/>
  <c r="B667" i="2"/>
  <c r="B665" i="2"/>
  <c r="B663" i="2"/>
  <c r="B661" i="2"/>
  <c r="B659" i="2"/>
  <c r="B657" i="2"/>
  <c r="B655" i="2"/>
  <c r="B653" i="2"/>
  <c r="B651" i="2"/>
  <c r="B649" i="2"/>
  <c r="B647" i="2"/>
  <c r="B645" i="2"/>
  <c r="B643" i="2"/>
  <c r="B641" i="2"/>
  <c r="B639" i="2"/>
  <c r="B637" i="2"/>
  <c r="B635" i="2"/>
  <c r="B633" i="2"/>
  <c r="B631" i="2"/>
  <c r="B629" i="2"/>
  <c r="B627" i="2"/>
  <c r="B625" i="2"/>
  <c r="B623" i="2"/>
  <c r="B621" i="2"/>
  <c r="B619" i="2"/>
  <c r="B617" i="2"/>
  <c r="B615" i="2"/>
  <c r="B613" i="2"/>
  <c r="B611" i="2"/>
  <c r="B609" i="2"/>
  <c r="B607" i="2"/>
  <c r="B605" i="2"/>
  <c r="B603" i="2"/>
  <c r="B601" i="2"/>
  <c r="B599" i="2"/>
  <c r="B597" i="2"/>
  <c r="B595" i="2"/>
  <c r="B593" i="2"/>
  <c r="B591" i="2"/>
  <c r="B589" i="2"/>
  <c r="B587" i="2"/>
  <c r="B585" i="2"/>
  <c r="B583" i="2"/>
  <c r="B581" i="2"/>
  <c r="B579" i="2"/>
  <c r="B577" i="2"/>
  <c r="B575" i="2"/>
  <c r="B573" i="2"/>
  <c r="B571" i="2"/>
  <c r="B569" i="2"/>
  <c r="B567" i="2"/>
  <c r="B565" i="2"/>
  <c r="B563" i="2"/>
  <c r="B561" i="2"/>
  <c r="B559" i="2"/>
  <c r="B557" i="2"/>
  <c r="B555" i="2"/>
  <c r="B553" i="2"/>
  <c r="B551" i="2"/>
  <c r="B549" i="2"/>
  <c r="B547" i="2"/>
  <c r="B545" i="2"/>
  <c r="B543" i="2"/>
  <c r="B541" i="2"/>
  <c r="B539" i="2"/>
  <c r="B537" i="2"/>
  <c r="B535" i="2"/>
  <c r="B533" i="2"/>
  <c r="B531" i="2"/>
  <c r="B529" i="2"/>
  <c r="B527" i="2"/>
  <c r="B525" i="2"/>
  <c r="B523" i="2"/>
  <c r="B521" i="2"/>
  <c r="B519" i="2"/>
  <c r="B517" i="2"/>
  <c r="B515" i="2"/>
  <c r="B513" i="2"/>
  <c r="B511" i="2"/>
  <c r="B509" i="2"/>
  <c r="B507" i="2"/>
  <c r="B505" i="2"/>
  <c r="B503" i="2"/>
  <c r="B501" i="2"/>
  <c r="B499" i="2"/>
  <c r="B497" i="2"/>
  <c r="B495" i="2"/>
  <c r="B493" i="2"/>
  <c r="B491" i="2"/>
  <c r="B489" i="2"/>
  <c r="B487" i="2"/>
  <c r="B485" i="2"/>
  <c r="B483" i="2"/>
  <c r="B481" i="2"/>
  <c r="B479" i="2"/>
  <c r="B477" i="2"/>
  <c r="B475" i="2"/>
  <c r="B473" i="2"/>
  <c r="B471" i="2"/>
  <c r="B469" i="2"/>
  <c r="B467" i="2"/>
  <c r="B465" i="2"/>
  <c r="B463" i="2"/>
  <c r="B461" i="2"/>
  <c r="B459" i="2"/>
  <c r="B457" i="2"/>
  <c r="B455" i="2"/>
  <c r="B453" i="2"/>
  <c r="B451" i="2"/>
  <c r="B449" i="2"/>
  <c r="B447" i="2"/>
  <c r="B445" i="2"/>
  <c r="B443" i="2"/>
  <c r="B441" i="2"/>
  <c r="B439" i="2"/>
  <c r="B437" i="2"/>
  <c r="B435" i="2"/>
  <c r="B433" i="2"/>
  <c r="B431" i="2"/>
  <c r="B429" i="2"/>
  <c r="B427" i="2"/>
  <c r="B425" i="2"/>
  <c r="B423" i="2"/>
  <c r="B421" i="2"/>
  <c r="B419" i="2"/>
  <c r="B417" i="2"/>
  <c r="B415" i="2"/>
  <c r="B413" i="2"/>
  <c r="B411" i="2"/>
  <c r="B409" i="2"/>
  <c r="B407" i="2"/>
  <c r="B405" i="2"/>
  <c r="B403" i="2"/>
  <c r="B401" i="2"/>
  <c r="B399" i="2"/>
  <c r="B397" i="2"/>
  <c r="B395" i="2"/>
  <c r="B393" i="2"/>
  <c r="B391" i="2"/>
  <c r="B389" i="2"/>
  <c r="B387" i="2"/>
  <c r="B385" i="2"/>
  <c r="B383" i="2"/>
  <c r="B381" i="2"/>
  <c r="B379" i="2"/>
  <c r="B377" i="2"/>
  <c r="B375" i="2"/>
  <c r="B373" i="2"/>
  <c r="B371" i="2"/>
  <c r="B369" i="2"/>
  <c r="B367" i="2"/>
  <c r="B365" i="2"/>
  <c r="B363" i="2"/>
  <c r="B361" i="2"/>
  <c r="B359" i="2"/>
  <c r="B357" i="2"/>
  <c r="B355" i="2"/>
  <c r="B353" i="2"/>
  <c r="B351" i="2"/>
  <c r="B349" i="2"/>
  <c r="B347" i="2"/>
  <c r="B345" i="2"/>
  <c r="B343" i="2"/>
  <c r="B341" i="2"/>
  <c r="B339" i="2"/>
  <c r="B337" i="2"/>
  <c r="B335" i="2"/>
  <c r="B333" i="2"/>
  <c r="B331" i="2"/>
  <c r="B329" i="2"/>
  <c r="B327" i="2"/>
  <c r="B325" i="2"/>
  <c r="B323" i="2"/>
  <c r="B321" i="2"/>
  <c r="B319" i="2"/>
  <c r="B317" i="2"/>
  <c r="B315" i="2"/>
  <c r="B313" i="2"/>
  <c r="B311" i="2"/>
  <c r="B309" i="2"/>
  <c r="B307" i="2"/>
  <c r="B305" i="2"/>
  <c r="B303" i="2"/>
  <c r="B301" i="2"/>
  <c r="B299" i="2"/>
  <c r="B297" i="2"/>
  <c r="B295" i="2"/>
  <c r="B293" i="2"/>
  <c r="B291" i="2"/>
  <c r="B289" i="2"/>
  <c r="B287" i="2"/>
  <c r="B285" i="2"/>
  <c r="B283" i="2"/>
  <c r="B281" i="2"/>
  <c r="B279" i="2"/>
  <c r="B277" i="2"/>
  <c r="B275" i="2"/>
  <c r="B273" i="2"/>
  <c r="B271" i="2"/>
  <c r="B269" i="2"/>
  <c r="B267" i="2"/>
  <c r="B265" i="2"/>
  <c r="B263" i="2"/>
  <c r="B261" i="2"/>
  <c r="B259" i="2"/>
  <c r="B257" i="2"/>
  <c r="B255" i="2"/>
  <c r="B253" i="2"/>
  <c r="B251" i="2"/>
  <c r="B249" i="2"/>
  <c r="B247" i="2"/>
  <c r="B245" i="2"/>
  <c r="B243" i="2"/>
  <c r="B241" i="2"/>
  <c r="B239" i="2"/>
  <c r="B237" i="2"/>
  <c r="B235" i="2"/>
  <c r="B233" i="2"/>
  <c r="B231" i="2"/>
  <c r="B229" i="2"/>
  <c r="B227" i="2"/>
  <c r="B225" i="2"/>
  <c r="B223" i="2"/>
  <c r="B221" i="2"/>
  <c r="B219" i="2"/>
  <c r="B217" i="2"/>
  <c r="B215" i="2"/>
  <c r="B213" i="2"/>
  <c r="B211" i="2"/>
  <c r="B209" i="2"/>
  <c r="B207" i="2"/>
  <c r="B205" i="2"/>
  <c r="B203" i="2"/>
  <c r="B201" i="2"/>
  <c r="B199" i="2"/>
  <c r="B197" i="2"/>
  <c r="B195" i="2"/>
  <c r="B193" i="2"/>
  <c r="B191" i="2"/>
  <c r="B189" i="2"/>
  <c r="B187" i="2"/>
  <c r="B185" i="2"/>
  <c r="B183" i="2"/>
  <c r="B181" i="2"/>
  <c r="B179" i="2"/>
  <c r="B177" i="2"/>
  <c r="B175" i="2"/>
  <c r="B173" i="2"/>
  <c r="B171" i="2"/>
  <c r="B169" i="2"/>
  <c r="B167" i="2"/>
  <c r="B165" i="2"/>
  <c r="B163" i="2"/>
  <c r="B161" i="2"/>
  <c r="B159" i="2"/>
  <c r="B157" i="2"/>
  <c r="B155" i="2"/>
  <c r="B153" i="2"/>
  <c r="B151" i="2"/>
  <c r="B149" i="2"/>
  <c r="B147" i="2"/>
  <c r="B145" i="2"/>
  <c r="B143" i="2"/>
  <c r="B141" i="2"/>
  <c r="B139" i="2"/>
  <c r="B137" i="2"/>
  <c r="B135" i="2"/>
  <c r="B133" i="2"/>
  <c r="B131" i="2"/>
  <c r="B129" i="2"/>
  <c r="B127" i="2"/>
  <c r="B125" i="2"/>
  <c r="B123" i="2"/>
  <c r="B121" i="2"/>
  <c r="B119" i="2"/>
  <c r="B117" i="2"/>
  <c r="B115" i="2"/>
  <c r="B113" i="2"/>
  <c r="B111" i="2"/>
  <c r="B109" i="2"/>
  <c r="B107" i="2"/>
  <c r="B105" i="2"/>
  <c r="B103" i="2"/>
  <c r="B101" i="2"/>
  <c r="B99" i="2"/>
  <c r="B97" i="2"/>
  <c r="B95" i="2"/>
  <c r="B93" i="2"/>
  <c r="B91" i="2"/>
  <c r="B89" i="2"/>
  <c r="B87" i="2"/>
  <c r="B85" i="2"/>
  <c r="B83" i="2"/>
  <c r="B81" i="2"/>
  <c r="B79" i="2"/>
  <c r="B77" i="2"/>
  <c r="B75" i="2"/>
  <c r="B73" i="2"/>
  <c r="B71" i="2"/>
  <c r="B69" i="2"/>
  <c r="B67" i="2"/>
  <c r="B65" i="2"/>
  <c r="B63" i="2"/>
  <c r="B61" i="2"/>
  <c r="B59" i="2"/>
  <c r="B57" i="2"/>
  <c r="B55" i="2"/>
  <c r="B53" i="2"/>
  <c r="B51" i="2"/>
  <c r="B49" i="2"/>
  <c r="B47" i="2"/>
  <c r="B45" i="2"/>
  <c r="B43" i="2"/>
  <c r="B41" i="2"/>
  <c r="B37" i="2"/>
  <c r="B33" i="2"/>
  <c r="B29" i="2"/>
  <c r="B25" i="2"/>
  <c r="B21" i="2"/>
  <c r="B19" i="2"/>
  <c r="B15" i="2"/>
  <c r="B9" i="2"/>
  <c r="B5" i="2"/>
  <c r="B3" i="2"/>
  <c r="B310" i="2"/>
  <c r="B302" i="2"/>
  <c r="B296" i="2"/>
  <c r="B290" i="2"/>
  <c r="B284" i="2"/>
  <c r="B280" i="2"/>
  <c r="B272" i="2"/>
  <c r="B266" i="2"/>
  <c r="B262" i="2"/>
  <c r="B254" i="2"/>
  <c r="B246" i="2"/>
  <c r="B242" i="2"/>
  <c r="B236" i="2"/>
  <c r="B230" i="2"/>
  <c r="B226" i="2"/>
  <c r="B222" i="2"/>
  <c r="B216" i="2"/>
  <c r="B210" i="2"/>
  <c r="B204" i="2"/>
  <c r="B198" i="2"/>
  <c r="B194" i="2"/>
  <c r="B188" i="2"/>
  <c r="B182" i="2"/>
  <c r="B176" i="2"/>
  <c r="B170" i="2"/>
  <c r="B166" i="2"/>
  <c r="B160" i="2"/>
  <c r="B154" i="2"/>
  <c r="B148" i="2"/>
  <c r="B144" i="2"/>
  <c r="B142" i="2"/>
  <c r="B140" i="2"/>
  <c r="B934" i="2"/>
  <c r="B926" i="2"/>
  <c r="B918" i="2"/>
  <c r="B910" i="2"/>
  <c r="B902" i="2"/>
  <c r="B894" i="2"/>
  <c r="B886" i="2"/>
  <c r="B878" i="2"/>
  <c r="B870" i="2"/>
  <c r="B862" i="2"/>
  <c r="B854" i="2"/>
  <c r="B846" i="2"/>
  <c r="B838" i="2"/>
  <c r="B830" i="2"/>
  <c r="B822" i="2"/>
  <c r="B814" i="2"/>
  <c r="B806" i="2"/>
  <c r="B798" i="2"/>
  <c r="B790" i="2"/>
  <c r="B782" i="2"/>
  <c r="B774" i="2"/>
  <c r="B766" i="2"/>
  <c r="B758" i="2"/>
  <c r="B750" i="2"/>
  <c r="B742" i="2"/>
  <c r="B308" i="2"/>
  <c r="B300" i="2"/>
  <c r="B294" i="2"/>
  <c r="B288" i="2"/>
  <c r="B282" i="2"/>
  <c r="B276" i="2"/>
  <c r="B270" i="2"/>
  <c r="B264" i="2"/>
  <c r="B258" i="2"/>
  <c r="B252" i="2"/>
  <c r="B248" i="2"/>
  <c r="B240" i="2"/>
  <c r="B234" i="2"/>
  <c r="B228" i="2"/>
  <c r="B220" i="2"/>
  <c r="B212" i="2"/>
  <c r="B206" i="2"/>
  <c r="B200" i="2"/>
  <c r="B190" i="2"/>
  <c r="B184" i="2"/>
  <c r="B178" i="2"/>
  <c r="B172" i="2"/>
  <c r="B164" i="2"/>
  <c r="B158" i="2"/>
  <c r="B150" i="2"/>
  <c r="B126" i="2"/>
  <c r="B122" i="2"/>
  <c r="B118" i="2"/>
  <c r="B116" i="2"/>
  <c r="B112" i="2"/>
  <c r="B108" i="2"/>
  <c r="B106" i="2"/>
  <c r="B104" i="2"/>
  <c r="B102" i="2"/>
  <c r="B100" i="2"/>
  <c r="B98" i="2"/>
  <c r="B96" i="2"/>
  <c r="B94" i="2"/>
  <c r="B92" i="2"/>
  <c r="B90" i="2"/>
  <c r="B88" i="2"/>
  <c r="B86" i="2"/>
  <c r="B82" i="2"/>
  <c r="B78" i="2"/>
  <c r="B76" i="2"/>
  <c r="B72" i="2"/>
  <c r="B68" i="2"/>
  <c r="B66" i="2"/>
  <c r="B62" i="2"/>
  <c r="B58" i="2"/>
  <c r="B56" i="2"/>
  <c r="B52" i="2"/>
  <c r="B48" i="2"/>
  <c r="B46" i="2"/>
  <c r="B42" i="2"/>
  <c r="B38" i="2"/>
  <c r="B34" i="2"/>
  <c r="B30" i="2"/>
  <c r="B26" i="2"/>
  <c r="B22" i="2"/>
  <c r="B20" i="2"/>
  <c r="B16" i="2"/>
  <c r="B12" i="2"/>
  <c r="B8" i="2"/>
  <c r="B6" i="2"/>
  <c r="C34" i="8" l="1"/>
  <c r="B37" i="8"/>
  <c r="C38" i="8"/>
  <c r="B39" i="8"/>
</calcChain>
</file>

<file path=xl/sharedStrings.xml><?xml version="1.0" encoding="utf-8"?>
<sst xmlns="http://schemas.openxmlformats.org/spreadsheetml/2006/main" count="5754" uniqueCount="2942">
  <si>
    <t>Emp Code &amp; Name</t>
  </si>
  <si>
    <t>Question #</t>
  </si>
  <si>
    <t>Question</t>
  </si>
  <si>
    <t>Actual Scores</t>
  </si>
  <si>
    <t>Total marks</t>
  </si>
  <si>
    <t>There is a Net profit of 55% on selling a single item for 65 rupees, what is the original price of Item in Cell H3</t>
  </si>
  <si>
    <t>Original Price</t>
  </si>
  <si>
    <t>Forecast</t>
  </si>
  <si>
    <t>Capacity</t>
  </si>
  <si>
    <t>Calculate Attrition HC and Attrition % in H8 and H9</t>
  </si>
  <si>
    <t>AHT</t>
  </si>
  <si>
    <t>Apply Sum product Formula in Cell # H19</t>
  </si>
  <si>
    <t>Open HC</t>
  </si>
  <si>
    <t>Concurrency</t>
  </si>
  <si>
    <t>Prepare Pareto Chart basis on available data in"Preto Chart" Sheet</t>
  </si>
  <si>
    <t>Moved IN HC</t>
  </si>
  <si>
    <t>Per FTE weekly hours</t>
  </si>
  <si>
    <t>Prepare Run Chart basis on available data in "Run Chart" Sheet</t>
  </si>
  <si>
    <t>Closing HC</t>
  </si>
  <si>
    <t>Shrinkage</t>
  </si>
  <si>
    <t>Prepare Histogram basis on available data in "Histogram" Sheet</t>
  </si>
  <si>
    <t>Attriting Count</t>
  </si>
  <si>
    <t>Occ%</t>
  </si>
  <si>
    <t>Use Indirect Address Match Formula in Formula Sheet in Column "C"</t>
  </si>
  <si>
    <t>Attrition%</t>
  </si>
  <si>
    <t xml:space="preserve">FTE </t>
  </si>
  <si>
    <t>Use xlookup Formula in Formula Sheet in Column "D"</t>
  </si>
  <si>
    <t>calculate FTE in Cell K9 &amp; Capacity in N3 based on excel formula</t>
  </si>
  <si>
    <t>Kindly make a weekly graphical presentation in "Graphical Presentation" sheet on given data in same sheet. Line chart, combo chart, Bar chart, pie chart should be there. LOB should be control via macro buttions</t>
  </si>
  <si>
    <t>Total</t>
  </si>
  <si>
    <t># Calls</t>
  </si>
  <si>
    <t>Answer</t>
  </si>
  <si>
    <t>Ans 1</t>
  </si>
  <si>
    <t>Cost price= Selling price/1+profit%</t>
  </si>
  <si>
    <t>Cost price</t>
  </si>
  <si>
    <t>Indirect Address Match</t>
  </si>
  <si>
    <t>Xlookup</t>
  </si>
  <si>
    <t>Employee Code</t>
  </si>
  <si>
    <t>Employee Name</t>
  </si>
  <si>
    <t>Campaign Name</t>
  </si>
  <si>
    <t>AA0731D4362</t>
  </si>
  <si>
    <t>AA0731D3229</t>
  </si>
  <si>
    <t>AA0731D1939</t>
  </si>
  <si>
    <t>AA0731D19846</t>
  </si>
  <si>
    <t>AA0731D11743</t>
  </si>
  <si>
    <t>AA0731D10182</t>
  </si>
  <si>
    <t>AA0731D7399</t>
  </si>
  <si>
    <t>AA0731D9258</t>
  </si>
  <si>
    <t>AA0731D9239</t>
  </si>
  <si>
    <t>AA0731D12303</t>
  </si>
  <si>
    <t>AA0731D17177</t>
  </si>
  <si>
    <t>AA0731D20510</t>
  </si>
  <si>
    <t>AA0731D16970</t>
  </si>
  <si>
    <t>AA0731D15377</t>
  </si>
  <si>
    <t>AA0731D17567</t>
  </si>
  <si>
    <t>AA0731D6678</t>
  </si>
  <si>
    <t>AA0731D16403</t>
  </si>
  <si>
    <t>AA0731D25943</t>
  </si>
  <si>
    <t>AA0731D21389</t>
  </si>
  <si>
    <t>AA0731D25809</t>
  </si>
  <si>
    <t>AA0731D8201</t>
  </si>
  <si>
    <t>AA0731D25815</t>
  </si>
  <si>
    <t>AA0731D25807</t>
  </si>
  <si>
    <t>AA0731D26220</t>
  </si>
  <si>
    <t>AA0731D24322</t>
  </si>
  <si>
    <t>AA0731D1217</t>
  </si>
  <si>
    <t>AA0731D20292</t>
  </si>
  <si>
    <t>AA0731D22209</t>
  </si>
  <si>
    <t>AA0731D18672</t>
  </si>
  <si>
    <t>AA0731D43398</t>
  </si>
  <si>
    <t>AA0731D43394</t>
  </si>
  <si>
    <t>AA0731D43378</t>
  </si>
  <si>
    <t>AA0731D39134</t>
  </si>
  <si>
    <t>CC0731D0560</t>
  </si>
  <si>
    <t>AA0731D32488</t>
  </si>
  <si>
    <t>AA0731D37585</t>
  </si>
  <si>
    <t>AA0731D39478</t>
  </si>
  <si>
    <t>AA0731D37121</t>
  </si>
  <si>
    <t>AA0731D31770</t>
  </si>
  <si>
    <t>AA0731D31499</t>
  </si>
  <si>
    <t>AA0731D41403</t>
  </si>
  <si>
    <t>AA0731D38692</t>
  </si>
  <si>
    <t>AA0731D43375</t>
  </si>
  <si>
    <t>AA0731D43393</t>
  </si>
  <si>
    <t>AA0731D30601</t>
  </si>
  <si>
    <t>CC0731D0667</t>
  </si>
  <si>
    <t>AA0731D32443</t>
  </si>
  <si>
    <t>AA0731D27152</t>
  </si>
  <si>
    <t>AA0731D27157</t>
  </si>
  <si>
    <t>AA0731D30492</t>
  </si>
  <si>
    <t>AA0731D31931</t>
  </si>
  <si>
    <t>AA0731D31752</t>
  </si>
  <si>
    <t>AA0731D31621</t>
  </si>
  <si>
    <t>AA0731D42138</t>
  </si>
  <si>
    <t>AA0731D42376</t>
  </si>
  <si>
    <t>AA0731D33236</t>
  </si>
  <si>
    <t>AA0731D32404</t>
  </si>
  <si>
    <t>AA0731D33518</t>
  </si>
  <si>
    <t>AA0731D36542</t>
  </si>
  <si>
    <t>AA0731D33109</t>
  </si>
  <si>
    <t>AA0731D38561</t>
  </si>
  <si>
    <t>AA0731D28961</t>
  </si>
  <si>
    <t>AA0731D39218</t>
  </si>
  <si>
    <t>AA0731D37725</t>
  </si>
  <si>
    <t>AA0731D25087</t>
  </si>
  <si>
    <t>AA0731D43479</t>
  </si>
  <si>
    <t>AA0731D39522</t>
  </si>
  <si>
    <t>AA0731D24224</t>
  </si>
  <si>
    <t>AA0731D35086</t>
  </si>
  <si>
    <t>AA0731D36635</t>
  </si>
  <si>
    <t>AA0731D34283</t>
  </si>
  <si>
    <t>AA0731D42454</t>
  </si>
  <si>
    <t>AA0731D42142</t>
  </si>
  <si>
    <t>AA0731D42448</t>
  </si>
  <si>
    <t>AA0731D30686</t>
  </si>
  <si>
    <t>AA0731D38079</t>
  </si>
  <si>
    <t>AA0731D43184</t>
  </si>
  <si>
    <t>AA0731D31382</t>
  </si>
  <si>
    <t>AA0731D31433</t>
  </si>
  <si>
    <t>AA0731D27505</t>
  </si>
  <si>
    <t>AA0731D30634</t>
  </si>
  <si>
    <t>AA0731D36483</t>
  </si>
  <si>
    <t>AA0731D28390</t>
  </si>
  <si>
    <t>AA0731D34961</t>
  </si>
  <si>
    <t>AA0731D35637</t>
  </si>
  <si>
    <t>AA0731D31046</t>
  </si>
  <si>
    <t>AA0731D37021</t>
  </si>
  <si>
    <t>AA0731D37023</t>
  </si>
  <si>
    <t>AA0731D37495</t>
  </si>
  <si>
    <t>AA0731D37496</t>
  </si>
  <si>
    <t>AA0731D42509</t>
  </si>
  <si>
    <t>AA0731D42572</t>
  </si>
  <si>
    <t>AA0731D43227</t>
  </si>
  <si>
    <t>AA0731D43239</t>
  </si>
  <si>
    <t>AA0731D37099</t>
  </si>
  <si>
    <t>AA0731D35342</t>
  </si>
  <si>
    <t>AA0731D25324</t>
  </si>
  <si>
    <t>AA0731D42021</t>
  </si>
  <si>
    <t>AA0731D33678</t>
  </si>
  <si>
    <t>AA0731D42169</t>
  </si>
  <si>
    <t>AA0731D42445</t>
  </si>
  <si>
    <t>AA0731D29953</t>
  </si>
  <si>
    <t>AA0731D43283</t>
  </si>
  <si>
    <t>AA0731D31192</t>
  </si>
  <si>
    <t>AA0731D32385</t>
  </si>
  <si>
    <t>AA0731D35747</t>
  </si>
  <si>
    <t>AA0731D25083</t>
  </si>
  <si>
    <t>AA0731D32409</t>
  </si>
  <si>
    <t>AA0731D34591</t>
  </si>
  <si>
    <t>AA0731D36558</t>
  </si>
  <si>
    <t>AA0731D37584</t>
  </si>
  <si>
    <t>AA0731D37894</t>
  </si>
  <si>
    <t>AA0731D42164</t>
  </si>
  <si>
    <t>AA0731D31614</t>
  </si>
  <si>
    <t>AA0731D31758</t>
  </si>
  <si>
    <t>AA0731D33402</t>
  </si>
  <si>
    <t>AA0731D33764</t>
  </si>
  <si>
    <t>AA0731D35078</t>
  </si>
  <si>
    <t>AA0731D35098</t>
  </si>
  <si>
    <t>AA0731D35181</t>
  </si>
  <si>
    <t>AA0731D36264</t>
  </si>
  <si>
    <t>AA0731D36801</t>
  </si>
  <si>
    <t>CC0731D0697</t>
  </si>
  <si>
    <t>AA0731D37746</t>
  </si>
  <si>
    <t>AA0731D42329</t>
  </si>
  <si>
    <t>AA0731D37241</t>
  </si>
  <si>
    <t>AA0731D40208</t>
  </si>
  <si>
    <t>AA0731D37013</t>
  </si>
  <si>
    <t>AA0731D37510</t>
  </si>
  <si>
    <t>AA0731D39519</t>
  </si>
  <si>
    <t>AA0731D41779</t>
  </si>
  <si>
    <t>AA0731D26820</t>
  </si>
  <si>
    <t>AA0731D45634</t>
  </si>
  <si>
    <t>AA0731D38601</t>
  </si>
  <si>
    <t>AA0731D43109</t>
  </si>
  <si>
    <t>AA0731D24358</t>
  </si>
  <si>
    <t>AA0731D35174</t>
  </si>
  <si>
    <t>AA0731D42577</t>
  </si>
  <si>
    <t>AA0731D39772</t>
  </si>
  <si>
    <t>AA0731D43176</t>
  </si>
  <si>
    <t>AA0731D33066</t>
  </si>
  <si>
    <t>AA0731D37056</t>
  </si>
  <si>
    <t>AA0731D39144</t>
  </si>
  <si>
    <t>AA0731D39196</t>
  </si>
  <si>
    <t>AA0731D43745</t>
  </si>
  <si>
    <t>AA0731D43113</t>
  </si>
  <si>
    <t>AA0731D43114</t>
  </si>
  <si>
    <t>AA0731D44947</t>
  </si>
  <si>
    <t>AA0731D33437</t>
  </si>
  <si>
    <t>AA0731D38008</t>
  </si>
  <si>
    <t>AA0731D31937</t>
  </si>
  <si>
    <t>AA0731D37887</t>
  </si>
  <si>
    <t>AA0731D31205</t>
  </si>
  <si>
    <t>AA0731D35003</t>
  </si>
  <si>
    <t>AA0731D45375</t>
  </si>
  <si>
    <t>AA0731D45378</t>
  </si>
  <si>
    <t>AA0731D45380</t>
  </si>
  <si>
    <t>AA0731D45381</t>
  </si>
  <si>
    <t>AA0731D45383</t>
  </si>
  <si>
    <t>AA0731D45388</t>
  </si>
  <si>
    <t>AA0731D45389</t>
  </si>
  <si>
    <t>AA0731D32163</t>
  </si>
  <si>
    <t>AA0731D33410</t>
  </si>
  <si>
    <t>AA0731D33793</t>
  </si>
  <si>
    <t>AA0731D33820</t>
  </si>
  <si>
    <t>AA0731D45099</t>
  </si>
  <si>
    <t>AA0731D45183</t>
  </si>
  <si>
    <t>AA0731D28073</t>
  </si>
  <si>
    <t>AA0731D34149</t>
  </si>
  <si>
    <t>AA0731D42400</t>
  </si>
  <si>
    <t>AA0731D42615</t>
  </si>
  <si>
    <t>AA0731D35923</t>
  </si>
  <si>
    <t>AA0731D36633</t>
  </si>
  <si>
    <t>AA0731D37722</t>
  </si>
  <si>
    <t>AA0731D37729</t>
  </si>
  <si>
    <t>AA0731D43282</t>
  </si>
  <si>
    <t>AA0731D42455</t>
  </si>
  <si>
    <t>AA0731D42566</t>
  </si>
  <si>
    <t>AA0731D42604</t>
  </si>
  <si>
    <t>AA0731D27609</t>
  </si>
  <si>
    <t>AA0731D32855</t>
  </si>
  <si>
    <t>AA0731D42079</t>
  </si>
  <si>
    <t>AA0731D31493</t>
  </si>
  <si>
    <t>AA0731D33819</t>
  </si>
  <si>
    <t>AA0731D33732</t>
  </si>
  <si>
    <t>AA0731D31831</t>
  </si>
  <si>
    <t>AA0731D43866</t>
  </si>
  <si>
    <t>AA0731D33165</t>
  </si>
  <si>
    <t>AA0731D33497</t>
  </si>
  <si>
    <t>AA0731D33674</t>
  </si>
  <si>
    <t>AA0731D36419</t>
  </si>
  <si>
    <t>AA0731D31983</t>
  </si>
  <si>
    <t>AA0731D26692</t>
  </si>
  <si>
    <t>AA0731D24642</t>
  </si>
  <si>
    <t>AA0731D30864</t>
  </si>
  <si>
    <t>AA0731D33872</t>
  </si>
  <si>
    <t>AA0731D33815</t>
  </si>
  <si>
    <t>AA0731D33871</t>
  </si>
  <si>
    <t>AA0731D35285</t>
  </si>
  <si>
    <t>AA0731D35286</t>
  </si>
  <si>
    <t>AA0731D43270</t>
  </si>
  <si>
    <t>CC0731D0385</t>
  </si>
  <si>
    <t>AA0731D44349</t>
  </si>
  <si>
    <t>AA0731D44403</t>
  </si>
  <si>
    <t>AA0731D44405</t>
  </si>
  <si>
    <t>AA0731D44346</t>
  </si>
  <si>
    <t>AA0731D44394</t>
  </si>
  <si>
    <t>AA0731D44352</t>
  </si>
  <si>
    <t>AA0731D44342</t>
  </si>
  <si>
    <t>AA0731D44343</t>
  </si>
  <si>
    <t>AA0731D44396</t>
  </si>
  <si>
    <t>AA0731D44350</t>
  </si>
  <si>
    <t>AA0731D33224</t>
  </si>
  <si>
    <t>AA0731D37055</t>
  </si>
  <si>
    <t>AA0731D30530</t>
  </si>
  <si>
    <t>AA0731D37862</t>
  </si>
  <si>
    <t>AA0731D35952</t>
  </si>
  <si>
    <t>AA0731D39989</t>
  </si>
  <si>
    <t>AA0731D43231</t>
  </si>
  <si>
    <t>AA0731D40438</t>
  </si>
  <si>
    <t>AA0731D35939</t>
  </si>
  <si>
    <t>AA0731D32342</t>
  </si>
  <si>
    <t>AA0731D42151</t>
  </si>
  <si>
    <t>AA0731D42306</t>
  </si>
  <si>
    <t>AA0731D30620</t>
  </si>
  <si>
    <t>AA0731D35940</t>
  </si>
  <si>
    <t>AA0731D35948</t>
  </si>
  <si>
    <t>CC0731D0544</t>
  </si>
  <si>
    <t>AA0731D42518</t>
  </si>
  <si>
    <t>AA0731D40848</t>
  </si>
  <si>
    <t>AA0731D43797</t>
  </si>
  <si>
    <t>AA0731D42619</t>
  </si>
  <si>
    <t>AA0731D33041</t>
  </si>
  <si>
    <t>AA0731D25823</t>
  </si>
  <si>
    <t>AA0731D37097</t>
  </si>
  <si>
    <t>AA0731D30752</t>
  </si>
  <si>
    <t>AA0731D31275</t>
  </si>
  <si>
    <t>AA0731D33966</t>
  </si>
  <si>
    <t>AA0731D37238</t>
  </si>
  <si>
    <t>AA0731D42963</t>
  </si>
  <si>
    <t>AA0731D35187</t>
  </si>
  <si>
    <t>AA0731D43263</t>
  </si>
  <si>
    <t>AA0731D31596</t>
  </si>
  <si>
    <t>AA0731D39985</t>
  </si>
  <si>
    <t>AA0731D39990</t>
  </si>
  <si>
    <t>AA0731D38058</t>
  </si>
  <si>
    <t>AA0731D36566</t>
  </si>
  <si>
    <t>AA0731D30602</t>
  </si>
  <si>
    <t>AA0731D33015</t>
  </si>
  <si>
    <t>AA0731D0779</t>
  </si>
  <si>
    <t>AA0731D33763</t>
  </si>
  <si>
    <t>AA0731D38258</t>
  </si>
  <si>
    <t>AA0731D40769</t>
  </si>
  <si>
    <t>AA0731D40841</t>
  </si>
  <si>
    <t>AA0731D42080</t>
  </si>
  <si>
    <t>CC0731D0554</t>
  </si>
  <si>
    <t>CC0731D0405</t>
  </si>
  <si>
    <t>AA0731D41392</t>
  </si>
  <si>
    <t>AA0731D35147</t>
  </si>
  <si>
    <t>AA0731D41352</t>
  </si>
  <si>
    <t>AA0731D41353</t>
  </si>
  <si>
    <t>AA0731D31265</t>
  </si>
  <si>
    <t>AA0731D37923</t>
  </si>
  <si>
    <t>AA0731D39201</t>
  </si>
  <si>
    <t>AA0731D39126</t>
  </si>
  <si>
    <t>AA0731D43194</t>
  </si>
  <si>
    <t>AA0731D42665</t>
  </si>
  <si>
    <t>AA0731D37346</t>
  </si>
  <si>
    <t>AA0731D38127</t>
  </si>
  <si>
    <t>AA0731D38046</t>
  </si>
  <si>
    <t>AA0731D33067</t>
  </si>
  <si>
    <t>AA0731D35685</t>
  </si>
  <si>
    <t>AA0731D37341</t>
  </si>
  <si>
    <t>AA0731D40429</t>
  </si>
  <si>
    <t>AA0731D42686</t>
  </si>
  <si>
    <t>AA0731D42676</t>
  </si>
  <si>
    <t>AA0731D42681</t>
  </si>
  <si>
    <t>AA0731D42673</t>
  </si>
  <si>
    <t>AA0731D26408</t>
  </si>
  <si>
    <t>AA0731D22004</t>
  </si>
  <si>
    <t>AA0731D31158</t>
  </si>
  <si>
    <t>AA0731D31268</t>
  </si>
  <si>
    <t>AA0731D31270</t>
  </si>
  <si>
    <t>AA0731D31280</t>
  </si>
  <si>
    <t>AA0731D32430</t>
  </si>
  <si>
    <t>AA0731D32919</t>
  </si>
  <si>
    <t>AA0731D30435</t>
  </si>
  <si>
    <t>AA0731D34629</t>
  </si>
  <si>
    <t>AA0731D30460</t>
  </si>
  <si>
    <t>AA0731D34603</t>
  </si>
  <si>
    <t>AA0731D34631</t>
  </si>
  <si>
    <t>AA0731D34632</t>
  </si>
  <si>
    <t>AA0731D38320</t>
  </si>
  <si>
    <t>AA0731D39124</t>
  </si>
  <si>
    <t>AA0731D39778</t>
  </si>
  <si>
    <t>AA0731D39199</t>
  </si>
  <si>
    <t>AA0731D40195</t>
  </si>
  <si>
    <t>AA0731D25653</t>
  </si>
  <si>
    <t>AA0731D30598</t>
  </si>
  <si>
    <t>AA0731D30637</t>
  </si>
  <si>
    <t>AA0731D38114</t>
  </si>
  <si>
    <t>AA0731D43262</t>
  </si>
  <si>
    <t>AA0731D45167</t>
  </si>
  <si>
    <t>AA0731D45470</t>
  </si>
  <si>
    <t>AA0731D45818</t>
  </si>
  <si>
    <t>AA0731D35358</t>
  </si>
  <si>
    <t>AA0731D38563</t>
  </si>
  <si>
    <t>AA0731D40365</t>
  </si>
  <si>
    <t>AA0731D37271</t>
  </si>
  <si>
    <t>AA0731D39527</t>
  </si>
  <si>
    <t>AA0731D27823</t>
  </si>
  <si>
    <t>AA0731D27827</t>
  </si>
  <si>
    <t>AA0731D42606</t>
  </si>
  <si>
    <t>AA0731D43249</t>
  </si>
  <si>
    <t>AA0731D35720</t>
  </si>
  <si>
    <t>AA0731D35724</t>
  </si>
  <si>
    <t>AA0731D36404</t>
  </si>
  <si>
    <t>AA0731D38453</t>
  </si>
  <si>
    <t>AA0731D42137</t>
  </si>
  <si>
    <t>AA0731D43252</t>
  </si>
  <si>
    <t>AA0731D43267</t>
  </si>
  <si>
    <t>AA0731D43268</t>
  </si>
  <si>
    <t>CC0731D0563</t>
  </si>
  <si>
    <t>AA0731D29859</t>
  </si>
  <si>
    <t>AA0731D27766</t>
  </si>
  <si>
    <t>AA0731D33557</t>
  </si>
  <si>
    <t>AA0731D33679</t>
  </si>
  <si>
    <t>AA0731D33768</t>
  </si>
  <si>
    <t>AA0731D33913</t>
  </si>
  <si>
    <t>AA0731D33331</t>
  </si>
  <si>
    <t>AA0731D40774</t>
  </si>
  <si>
    <t>AA0731D44356</t>
  </si>
  <si>
    <t>AA0731D44425</t>
  </si>
  <si>
    <t>AA0731D44172</t>
  </si>
  <si>
    <t>AA0731D27814</t>
  </si>
  <si>
    <t>AA0731D36394</t>
  </si>
  <si>
    <t>AA0731D39997</t>
  </si>
  <si>
    <t>AA0731D42954</t>
  </si>
  <si>
    <t>AA0731D40724</t>
  </si>
  <si>
    <t>AA0731D40725</t>
  </si>
  <si>
    <t>AA0731D45087</t>
  </si>
  <si>
    <t>AA0731D26693</t>
  </si>
  <si>
    <t>CC0731D0600</t>
  </si>
  <si>
    <t>CC0731D0601</t>
  </si>
  <si>
    <t>AA0731D35219</t>
  </si>
  <si>
    <t>AA0731D35221</t>
  </si>
  <si>
    <t>AA0731D32607</t>
  </si>
  <si>
    <t>AA0731D27083</t>
  </si>
  <si>
    <t>AA0731D33835</t>
  </si>
  <si>
    <t>AA0731D35027</t>
  </si>
  <si>
    <t>AA0731D35029</t>
  </si>
  <si>
    <t>AA0731D41384</t>
  </si>
  <si>
    <t>AA0731D41431</t>
  </si>
  <si>
    <t>AA0731D41379</t>
  </si>
  <si>
    <t>AA0731D41387</t>
  </si>
  <si>
    <t>AA0731D27498</t>
  </si>
  <si>
    <t>AA0731D33683</t>
  </si>
  <si>
    <t>AA0731D41196</t>
  </si>
  <si>
    <t>AA0731D33720</t>
  </si>
  <si>
    <t>AA0731D33640</t>
  </si>
  <si>
    <t>AA0731D33601</t>
  </si>
  <si>
    <t>AA0731D33587</t>
  </si>
  <si>
    <t>AA0731D33589</t>
  </si>
  <si>
    <t>AA0731D33590</t>
  </si>
  <si>
    <t>AA0731D31627</t>
  </si>
  <si>
    <t>AA0731D42585</t>
  </si>
  <si>
    <t>CC0731D0666</t>
  </si>
  <si>
    <t>AA0731D33898</t>
  </si>
  <si>
    <t>AA0731D31153</t>
  </si>
  <si>
    <t>AA0731D33434</t>
  </si>
  <si>
    <t>AA0731D27788</t>
  </si>
  <si>
    <t>AA0731D33788</t>
  </si>
  <si>
    <t>AA0731D37721</t>
  </si>
  <si>
    <t>AA0731D37709</t>
  </si>
  <si>
    <t>AA0731D40955</t>
  </si>
  <si>
    <t>AA0731D35124</t>
  </si>
  <si>
    <t>AA0731D37509</t>
  </si>
  <si>
    <t>AA0731D39975</t>
  </si>
  <si>
    <t>AA0731D40443</t>
  </si>
  <si>
    <t>AA0731D39129</t>
  </si>
  <si>
    <t>AA0731D30650</t>
  </si>
  <si>
    <t>AA0731D42443</t>
  </si>
  <si>
    <t>AA0731D42444</t>
  </si>
  <si>
    <t>AA0731D37244</t>
  </si>
  <si>
    <t>AA0731D40093</t>
  </si>
  <si>
    <t>AA0731D36863</t>
  </si>
  <si>
    <t>AA0731D37292</t>
  </si>
  <si>
    <t>AA0731D40095</t>
  </si>
  <si>
    <t>AA0731D34656</t>
  </si>
  <si>
    <t>AA0731D41429</t>
  </si>
  <si>
    <t>AA0731D35775</t>
  </si>
  <si>
    <t>AA0731D31657</t>
  </si>
  <si>
    <t>AA0731D33255</t>
  </si>
  <si>
    <t>AA0731D39991</t>
  </si>
  <si>
    <t>AA0731D39979</t>
  </si>
  <si>
    <t>AA0731D35945</t>
  </si>
  <si>
    <t>AA0731D31053</t>
  </si>
  <si>
    <t>AA0731D32375</t>
  </si>
  <si>
    <t>AA0731D32651</t>
  </si>
  <si>
    <t>CC0731D0403</t>
  </si>
  <si>
    <t>AA0731D30557</t>
  </si>
  <si>
    <t>AA0731D30636</t>
  </si>
  <si>
    <t>AA0731D30687</t>
  </si>
  <si>
    <t>AA0731D30519</t>
  </si>
  <si>
    <t>AA0731D30611</t>
  </si>
  <si>
    <t>AA0731D32449</t>
  </si>
  <si>
    <t>AA0731D36484</t>
  </si>
  <si>
    <t>AA0731D37348</t>
  </si>
  <si>
    <t>AA0731D32615</t>
  </si>
  <si>
    <t>AA0731D34713</t>
  </si>
  <si>
    <t>AA0731D37330</t>
  </si>
  <si>
    <t>AA0731D38090</t>
  </si>
  <si>
    <t>AA0731D37333</t>
  </si>
  <si>
    <t>AA0731D38091</t>
  </si>
  <si>
    <t>AA0731D30520</t>
  </si>
  <si>
    <t>AA0731D40351</t>
  </si>
  <si>
    <t>AA0731D40371</t>
  </si>
  <si>
    <t>AA0731D40398</t>
  </si>
  <si>
    <t>AA0731D40399</t>
  </si>
  <si>
    <t>AA0731D33160</t>
  </si>
  <si>
    <t>AA0731D38528</t>
  </si>
  <si>
    <t>AA0731D35777</t>
  </si>
  <si>
    <t>AA0731D35512</t>
  </si>
  <si>
    <t>AA0731D35514</t>
  </si>
  <si>
    <t>AA0731D35519</t>
  </si>
  <si>
    <t>AA0731D26514</t>
  </si>
  <si>
    <t>AA0731D27068</t>
  </si>
  <si>
    <t>AA0731D27423</t>
  </si>
  <si>
    <t>AA0731D29904</t>
  </si>
  <si>
    <t>AA0731D32421</t>
  </si>
  <si>
    <t>AA0731D32862</t>
  </si>
  <si>
    <t>AA0731D33745</t>
  </si>
  <si>
    <t>AA0731D30383</t>
  </si>
  <si>
    <t>AA0731D30648</t>
  </si>
  <si>
    <t>AA0731D31402</t>
  </si>
  <si>
    <t>CC0731D0551</t>
  </si>
  <si>
    <t>CC0731D0634</t>
  </si>
  <si>
    <t>AA0731D35832</t>
  </si>
  <si>
    <t>AA0731D34087</t>
  </si>
  <si>
    <t>AA0731D35912</t>
  </si>
  <si>
    <t>AA0731D38126</t>
  </si>
  <si>
    <t>AA0731D35079</t>
  </si>
  <si>
    <t>AA0731D38116</t>
  </si>
  <si>
    <t>AA0731D32561</t>
  </si>
  <si>
    <t>AA0731D37870</t>
  </si>
  <si>
    <t>AA0731D39520</t>
  </si>
  <si>
    <t>AA0731D35951</t>
  </si>
  <si>
    <t>AA0731D38542</t>
  </si>
  <si>
    <t>AA0731D30712</t>
  </si>
  <si>
    <t>AA0731D25015</t>
  </si>
  <si>
    <t>AA0731D37864</t>
  </si>
  <si>
    <t>AA0731D33783</t>
  </si>
  <si>
    <t>AA0731D35133</t>
  </si>
  <si>
    <t>AA0731D37009</t>
  </si>
  <si>
    <t>AA0731D38442</t>
  </si>
  <si>
    <t>AA0731D35756</t>
  </si>
  <si>
    <t>CC0731D0690</t>
  </si>
  <si>
    <t>AA0731D42516</t>
  </si>
  <si>
    <t>CC0731D0693</t>
  </si>
  <si>
    <t>AA0731D32515</t>
  </si>
  <si>
    <t>AA0731D42424</t>
  </si>
  <si>
    <t>AA0731D35967</t>
  </si>
  <si>
    <t>AA0731D37052</t>
  </si>
  <si>
    <t>AA0731D37070</t>
  </si>
  <si>
    <t>AA0731D37595</t>
  </si>
  <si>
    <t>AA0731D37854</t>
  </si>
  <si>
    <t>AA0731D35369</t>
  </si>
  <si>
    <t>AA0731D38441</t>
  </si>
  <si>
    <t>AA0731D32699</t>
  </si>
  <si>
    <t>AA0731D38201</t>
  </si>
  <si>
    <t>AA0731D26321</t>
  </si>
  <si>
    <t>AA0731D31394</t>
  </si>
  <si>
    <t>AA0731D39540</t>
  </si>
  <si>
    <t>AA0731D30543</t>
  </si>
  <si>
    <t>AA0731D30818</t>
  </si>
  <si>
    <t>AA0731D32620</t>
  </si>
  <si>
    <t>AA0731D33436</t>
  </si>
  <si>
    <t>AA0731D33452</t>
  </si>
  <si>
    <t>AA0731D33786</t>
  </si>
  <si>
    <t>AA0731D33451</t>
  </si>
  <si>
    <t>AA0731D36965</t>
  </si>
  <si>
    <t>AA0731D32922</t>
  </si>
  <si>
    <t>CC0731D0629</t>
  </si>
  <si>
    <t>AA0731D33791</t>
  </si>
  <si>
    <t>AA0731D36468</t>
  </si>
  <si>
    <t>AA0731D39981</t>
  </si>
  <si>
    <t>AA0731D30842</t>
  </si>
  <si>
    <t>AA0731D33142</t>
  </si>
  <si>
    <t>AA0731D37062</t>
  </si>
  <si>
    <t>AA0731D32778</t>
  </si>
  <si>
    <t>AA0731D36401</t>
  </si>
  <si>
    <t>AA0731D26994</t>
  </si>
  <si>
    <t>AA0731D31264</t>
  </si>
  <si>
    <t>AA0731D36110</t>
  </si>
  <si>
    <t>AA0731D32357</t>
  </si>
  <si>
    <t>AA0731D35306</t>
  </si>
  <si>
    <t>AA0731D35309</t>
  </si>
  <si>
    <t>AA0731D28986</t>
  </si>
  <si>
    <t>AA0731D25274</t>
  </si>
  <si>
    <t>AA0731D36412</t>
  </si>
  <si>
    <t>AA0731D33876</t>
  </si>
  <si>
    <t>AA0731D35480</t>
  </si>
  <si>
    <t>AA0731D36445</t>
  </si>
  <si>
    <t>AA0731D31836</t>
  </si>
  <si>
    <t>AA0731D37264</t>
  </si>
  <si>
    <t>AA0731D35835</t>
  </si>
  <si>
    <t>AA0731D35307</t>
  </si>
  <si>
    <t>AA0731D23519</t>
  </si>
  <si>
    <t>CC0731D0499</t>
  </si>
  <si>
    <t>AA0731D37335</t>
  </si>
  <si>
    <t>CC0731D0394</t>
  </si>
  <si>
    <t>CC0731D0640</t>
  </si>
  <si>
    <t>AA0731D30653</t>
  </si>
  <si>
    <t>CC0731D0450</t>
  </si>
  <si>
    <t>AA0731D35636</t>
  </si>
  <si>
    <t>AA0731D29056</t>
  </si>
  <si>
    <t>AA0731D37758</t>
  </si>
  <si>
    <t>AA0731D37742</t>
  </si>
  <si>
    <t>AA0731D35842</t>
  </si>
  <si>
    <t>AA0731D37000</t>
  </si>
  <si>
    <t>AA0731D37040</t>
  </si>
  <si>
    <t>AA0731D37499</t>
  </si>
  <si>
    <t>AA0731D27134</t>
  </si>
  <si>
    <t>AA0731D27875</t>
  </si>
  <si>
    <t>AA0731D36494</t>
  </si>
  <si>
    <t>AA0731D43384</t>
  </si>
  <si>
    <t>AA0731D43741</t>
  </si>
  <si>
    <t>AA0731D43742</t>
  </si>
  <si>
    <t>AA0731D39198</t>
  </si>
  <si>
    <t>AA0731D39549</t>
  </si>
  <si>
    <t>AA0731D43395</t>
  </si>
  <si>
    <t>AA0731D43731</t>
  </si>
  <si>
    <t>AA0731D30241</t>
  </si>
  <si>
    <t>AA0731D30438</t>
  </si>
  <si>
    <t>AA0731D43735</t>
  </si>
  <si>
    <t>AA0731D43396</t>
  </si>
  <si>
    <t>AA0731D44401</t>
  </si>
  <si>
    <t>AA0731D35755</t>
  </si>
  <si>
    <t>AA0731D30517</t>
  </si>
  <si>
    <t>AA0731D30458</t>
  </si>
  <si>
    <t>AA0731D43734</t>
  </si>
  <si>
    <t>AA0731D39922</t>
  </si>
  <si>
    <t>AA0731D42671</t>
  </si>
  <si>
    <t>AA0731D35462</t>
  </si>
  <si>
    <t>AA0731D34002</t>
  </si>
  <si>
    <t>AA0731D35459</t>
  </si>
  <si>
    <t>AA0731D38282</t>
  </si>
  <si>
    <t>AA0731D42155</t>
  </si>
  <si>
    <t>AA0731D42160</t>
  </si>
  <si>
    <t>AA0731D42161</t>
  </si>
  <si>
    <t>AA0731D37298</t>
  </si>
  <si>
    <t>AA0731D30683</t>
  </si>
  <si>
    <t>AA0731D30481</t>
  </si>
  <si>
    <t>AA0731D30807</t>
  </si>
  <si>
    <t>AA0731D39782</t>
  </si>
  <si>
    <t>AA0731D41412</t>
  </si>
  <si>
    <t>AA0731D34658</t>
  </si>
  <si>
    <t>AA0731D32356</t>
  </si>
  <si>
    <t>AA0731D36467</t>
  </si>
  <si>
    <t>AA0731D39524</t>
  </si>
  <si>
    <t>AA0731D40451</t>
  </si>
  <si>
    <t>AA0731D41774</t>
  </si>
  <si>
    <t>AA0731D41781</t>
  </si>
  <si>
    <t>AA0731D39200</t>
  </si>
  <si>
    <t>AA0731D24868</t>
  </si>
  <si>
    <t>AA0731D30029</t>
  </si>
  <si>
    <t>AA0731D34708</t>
  </si>
  <si>
    <t>AA0731D38324</t>
  </si>
  <si>
    <t>AA0731D38354</t>
  </si>
  <si>
    <t>AA0731D39121</t>
  </si>
  <si>
    <t>AA0731D36455</t>
  </si>
  <si>
    <t>AA0731D39766</t>
  </si>
  <si>
    <t>AA0731D25710</t>
  </si>
  <si>
    <t>AA0731D32619</t>
  </si>
  <si>
    <t>AA0731D30563</t>
  </si>
  <si>
    <t>AA0731D31041</t>
  </si>
  <si>
    <t>AA0731D31383</t>
  </si>
  <si>
    <t>AA0731D35992</t>
  </si>
  <si>
    <t>AA0731D34727</t>
  </si>
  <si>
    <t>AA0731D36441</t>
  </si>
  <si>
    <t>AA0731D39132</t>
  </si>
  <si>
    <t>AA0731D35228</t>
  </si>
  <si>
    <t>AA0731D42921</t>
  </si>
  <si>
    <t>AA0731D42955</t>
  </si>
  <si>
    <t>AA0731D42913</t>
  </si>
  <si>
    <t>AA0731D46093</t>
  </si>
  <si>
    <t>AA0731D46098</t>
  </si>
  <si>
    <t>AA0731D29920</t>
  </si>
  <si>
    <t>AA0731D37876</t>
  </si>
  <si>
    <t>AA0731D37881</t>
  </si>
  <si>
    <t>AA0731D37159</t>
  </si>
  <si>
    <t>AA0731D27795</t>
  </si>
  <si>
    <t>AA0731D32184</t>
  </si>
  <si>
    <t>AA0731D31997</t>
  </si>
  <si>
    <t>AA0731D33697</t>
  </si>
  <si>
    <t>AA0731D36914</t>
  </si>
  <si>
    <t>AA0731D33649</t>
  </si>
  <si>
    <t>AA0731D33392</t>
  </si>
  <si>
    <t>AA0731D32486</t>
  </si>
  <si>
    <t>AA0731D36179</t>
  </si>
  <si>
    <t>AA0731D31733</t>
  </si>
  <si>
    <t>AA0731D33505</t>
  </si>
  <si>
    <t>AA0731D32912</t>
  </si>
  <si>
    <t>AA0731D31561</t>
  </si>
  <si>
    <t>AA0731D32250</t>
  </si>
  <si>
    <t>AA0731D33766</t>
  </si>
  <si>
    <t>AA0731D33314</t>
  </si>
  <si>
    <t>AA0731D33930</t>
  </si>
  <si>
    <t>AA0731D35011</t>
  </si>
  <si>
    <t>AA0731D33927</t>
  </si>
  <si>
    <t>AA0731D40221</t>
  </si>
  <si>
    <t>AA0731D44675</t>
  </si>
  <si>
    <t>AA0731D45273</t>
  </si>
  <si>
    <t>AA0731D45529</t>
  </si>
  <si>
    <t>AA0731D44971</t>
  </si>
  <si>
    <t>AA0731D45001</t>
  </si>
  <si>
    <t>AA0731D33698</t>
  </si>
  <si>
    <t>AA0731D42107</t>
  </si>
  <si>
    <t>AA0731D32341</t>
  </si>
  <si>
    <t>AA0731D24077</t>
  </si>
  <si>
    <t>AA0731D32885</t>
  </si>
  <si>
    <t>AA0731D32412</t>
  </si>
  <si>
    <t>AA0731D43171</t>
  </si>
  <si>
    <t>AA0731D31529</t>
  </si>
  <si>
    <t>AA0731D40459</t>
  </si>
  <si>
    <t>AA0731D43158</t>
  </si>
  <si>
    <t>AA0731D24995</t>
  </si>
  <si>
    <t>AA0731D43166</t>
  </si>
  <si>
    <t>AA0731D43170</t>
  </si>
  <si>
    <t>AA0731D43172</t>
  </si>
  <si>
    <t>AA0731D43187</t>
  </si>
  <si>
    <t>AA0731D43188</t>
  </si>
  <si>
    <t>AA0731D43189</t>
  </si>
  <si>
    <t>AA0731D43167</t>
  </si>
  <si>
    <t>AA0731D43168</t>
  </si>
  <si>
    <t>AA0731D43191</t>
  </si>
  <si>
    <t>AA0731D43192</t>
  </si>
  <si>
    <t>AA0731D39521</t>
  </si>
  <si>
    <t>AA0731D43177</t>
  </si>
  <si>
    <t>AA0731D41407</t>
  </si>
  <si>
    <t>AA0731D41770</t>
  </si>
  <si>
    <t>AA0731D41787</t>
  </si>
  <si>
    <t>AA0731D39543</t>
  </si>
  <si>
    <t>AA0731D39203</t>
  </si>
  <si>
    <t>AA0731D37511</t>
  </si>
  <si>
    <t>AA0731D37512</t>
  </si>
  <si>
    <t>AA0731D37037</t>
  </si>
  <si>
    <t>AA0731D38837</t>
  </si>
  <si>
    <t>AA0731D36479</t>
  </si>
  <si>
    <t>AA0731D30388</t>
  </si>
  <si>
    <t>AA0731D32384</t>
  </si>
  <si>
    <t>AA0731D44395</t>
  </si>
  <si>
    <t>AA0731D37078</t>
  </si>
  <si>
    <t>AA0731D31455</t>
  </si>
  <si>
    <t>AA0731D45444</t>
  </si>
  <si>
    <t>AA0731D45530</t>
  </si>
  <si>
    <t>AA0731D24996</t>
  </si>
  <si>
    <t>CC0731D0685</t>
  </si>
  <si>
    <t>CC0731D0569</t>
  </si>
  <si>
    <t>AA0731D32519</t>
  </si>
  <si>
    <t>AA0731D32717</t>
  </si>
  <si>
    <t>AA0731D32861</t>
  </si>
  <si>
    <t>AA0731D36385</t>
  </si>
  <si>
    <t>AA0731D36386</t>
  </si>
  <si>
    <t>AA0731D36564</t>
  </si>
  <si>
    <t>AA0731D36700</t>
  </si>
  <si>
    <t>AA0731D36710</t>
  </si>
  <si>
    <t>AA0731D35547</t>
  </si>
  <si>
    <t>AA0731D37357</t>
  </si>
  <si>
    <t>AA0731D36672</t>
  </si>
  <si>
    <t>AA0731D37593</t>
  </si>
  <si>
    <t>AA0731D31058</t>
  </si>
  <si>
    <t>AA0731D37565</t>
  </si>
  <si>
    <t>AA0731D45173</t>
  </si>
  <si>
    <t>AA0731D26929</t>
  </si>
  <si>
    <t>AA0731D39812</t>
  </si>
  <si>
    <t>AA0731D36323</t>
  </si>
  <si>
    <t>AA0731D37869</t>
  </si>
  <si>
    <t>AA0731D39584</t>
  </si>
  <si>
    <t>AA0731D40354</t>
  </si>
  <si>
    <t>AA0731D37754</t>
  </si>
  <si>
    <t>AA0731D37750</t>
  </si>
  <si>
    <t>AA0731D37759</t>
  </si>
  <si>
    <t>AA0731D35144</t>
  </si>
  <si>
    <t>AA0731D38551</t>
  </si>
  <si>
    <t>AA0731D39980</t>
  </si>
  <si>
    <t>AA0731D46099</t>
  </si>
  <si>
    <t>AA0731D42895</t>
  </si>
  <si>
    <t>AA0731D30415</t>
  </si>
  <si>
    <t>AA0731D36497</t>
  </si>
  <si>
    <t>AA0731D38100</t>
  </si>
  <si>
    <t>AA0731D35688</t>
  </si>
  <si>
    <t>AA0731D38093</t>
  </si>
  <si>
    <t>AA0731D27005</t>
  </si>
  <si>
    <t>AA0731D35929</t>
  </si>
  <si>
    <t>AA0731D25551</t>
  </si>
  <si>
    <t>AA0731D33256</t>
  </si>
  <si>
    <t>AA0731D34881</t>
  </si>
  <si>
    <t>AA0731D35542</t>
  </si>
  <si>
    <t>AA0731D35841</t>
  </si>
  <si>
    <t>AA0731D37024</t>
  </si>
  <si>
    <t>AA0731D45758</t>
  </si>
  <si>
    <t>AA0731D46465</t>
  </si>
  <si>
    <t>AA0731D46466</t>
  </si>
  <si>
    <t>AA0731D46467</t>
  </si>
  <si>
    <t>AA0731D38431</t>
  </si>
  <si>
    <t>AA0731D32705</t>
  </si>
  <si>
    <t>AA0731D45939</t>
  </si>
  <si>
    <t>AA0731D46373</t>
  </si>
  <si>
    <t>AA0731D46430</t>
  </si>
  <si>
    <t>AA0731D35995</t>
  </si>
  <si>
    <t>AA0731D42908</t>
  </si>
  <si>
    <t>AA0731D40743</t>
  </si>
  <si>
    <t>AA0731D42900</t>
  </si>
  <si>
    <t>AA0731D42903</t>
  </si>
  <si>
    <t>AA0731D43234</t>
  </si>
  <si>
    <t>AA0731D42914</t>
  </si>
  <si>
    <t>AA0731D42916</t>
  </si>
  <si>
    <t>AA0731D43232</t>
  </si>
  <si>
    <t>AA0731D46092</t>
  </si>
  <si>
    <t>AA0731D46110</t>
  </si>
  <si>
    <t>AA0731D45853</t>
  </si>
  <si>
    <t>AA0731D45940</t>
  </si>
  <si>
    <t>AA0731D46153</t>
  </si>
  <si>
    <t>AA0731D44658</t>
  </si>
  <si>
    <t>AA0731D30268</t>
  </si>
  <si>
    <t>AA0731D32107</t>
  </si>
  <si>
    <t>AA0731D32441</t>
  </si>
  <si>
    <t>AA0731D33163</t>
  </si>
  <si>
    <t>AA0731D37343</t>
  </si>
  <si>
    <t>AA0731D39122</t>
  </si>
  <si>
    <t>AA0731D40455</t>
  </si>
  <si>
    <t>AA0731D41380</t>
  </si>
  <si>
    <t>AA0731D36999</t>
  </si>
  <si>
    <t>AA0731D41390</t>
  </si>
  <si>
    <t>AA0731D39142</t>
  </si>
  <si>
    <t>AA0731D39529</t>
  </si>
  <si>
    <t>AA0731D40196</t>
  </si>
  <si>
    <t>AA0731D34616</t>
  </si>
  <si>
    <t>AA0731D35674</t>
  </si>
  <si>
    <t>AA0731D30577</t>
  </si>
  <si>
    <t>AA0731D41771</t>
  </si>
  <si>
    <t>AA0731D35518</t>
  </si>
  <si>
    <t>AA0731D38311</t>
  </si>
  <si>
    <t>AA0731D41383</t>
  </si>
  <si>
    <t>AA0731D36474</t>
  </si>
  <si>
    <t>AA0731D37498</t>
  </si>
  <si>
    <t>AA0731D38292</t>
  </si>
  <si>
    <t>AA0731D25319</t>
  </si>
  <si>
    <t>AA0731D43382</t>
  </si>
  <si>
    <t>AA0731D43385</t>
  </si>
  <si>
    <t>AA0731D32161</t>
  </si>
  <si>
    <t>AA0731D35763</t>
  </si>
  <si>
    <t>AA0731D35770</t>
  </si>
  <si>
    <t>AA0731D35762</t>
  </si>
  <si>
    <t>AA0731D38986</t>
  </si>
  <si>
    <t>AA0731D39131</t>
  </si>
  <si>
    <t>AA0731D40202</t>
  </si>
  <si>
    <t>AA0731D40204</t>
  </si>
  <si>
    <t>AA0731D39924</t>
  </si>
  <si>
    <t>AA0731D39929</t>
  </si>
  <si>
    <t>AA0731D40198</t>
  </si>
  <si>
    <t>AA0731D40201</t>
  </si>
  <si>
    <t>AA0731D31386</t>
  </si>
  <si>
    <t>AA0731D29353</t>
  </si>
  <si>
    <t>AA0731D39544</t>
  </si>
  <si>
    <t>AA0731D35213</t>
  </si>
  <si>
    <t>AA0731D39213</t>
  </si>
  <si>
    <t>AA0731D38356</t>
  </si>
  <si>
    <t>AA0731D39205</t>
  </si>
  <si>
    <t>AA0731D39217</t>
  </si>
  <si>
    <t>AA0731D40435</t>
  </si>
  <si>
    <t>AA0731D41388</t>
  </si>
  <si>
    <t>AA0731D43744</t>
  </si>
  <si>
    <t>AA0731D44388</t>
  </si>
  <si>
    <t>AA0731D45387</t>
  </si>
  <si>
    <t>AA0731D43397</t>
  </si>
  <si>
    <t>AA0731D43747</t>
  </si>
  <si>
    <t>AA0731D30573</t>
  </si>
  <si>
    <t>AA0731D43391</t>
  </si>
  <si>
    <t>AA0731D37034</t>
  </si>
  <si>
    <t>AA0731D38332</t>
  </si>
  <si>
    <t>AA0731D43159</t>
  </si>
  <si>
    <t>AA0731D43160</t>
  </si>
  <si>
    <t>AA0731D43161</t>
  </si>
  <si>
    <t>AA0731D43196</t>
  </si>
  <si>
    <t>AA0731D43175</t>
  </si>
  <si>
    <t>AA0731D43373</t>
  </si>
  <si>
    <t>AA0731D44353</t>
  </si>
  <si>
    <t>AA0731D25928</t>
  </si>
  <si>
    <t>AA0731D36458</t>
  </si>
  <si>
    <t>AA0731D43399</t>
  </si>
  <si>
    <t>AA0731D43190</t>
  </si>
  <si>
    <t>AA0731D43173</t>
  </si>
  <si>
    <t>AA0731D31477</t>
  </si>
  <si>
    <t>AA0731D30792</t>
  </si>
  <si>
    <t>AA0731D37455</t>
  </si>
  <si>
    <t>AA0731D44680</t>
  </si>
  <si>
    <t>AA0731D37284</t>
  </si>
  <si>
    <t>AA0731D37756</t>
  </si>
  <si>
    <t>AA0731D46355</t>
  </si>
  <si>
    <t>AA0731D46396</t>
  </si>
  <si>
    <t>AA0731D36154</t>
  </si>
  <si>
    <t>AA0731D36155</t>
  </si>
  <si>
    <t>AA0731D36322</t>
  </si>
  <si>
    <t>AA0731D36657</t>
  </si>
  <si>
    <t>AA0731D41708</t>
  </si>
  <si>
    <t>AA0731D43616</t>
  </si>
  <si>
    <t>AA0731D36716</t>
  </si>
  <si>
    <t>AA0731D36880</t>
  </si>
  <si>
    <t>AA0731D37912</t>
  </si>
  <si>
    <t>AA0731D40058</t>
  </si>
  <si>
    <t>AA0731D40059</t>
  </si>
  <si>
    <t>AA0731D45473</t>
  </si>
  <si>
    <t>AA0731D41822</t>
  </si>
  <si>
    <t>AA0731D42501</t>
  </si>
  <si>
    <t>AA0731D42929</t>
  </si>
  <si>
    <t>AA0731D43467</t>
  </si>
  <si>
    <t>AA0731D43481</t>
  </si>
  <si>
    <t>AA0731D35752</t>
  </si>
  <si>
    <t>AA0731D41395</t>
  </si>
  <si>
    <t>AA0731D34649</t>
  </si>
  <si>
    <t>AA0731D34714</t>
  </si>
  <si>
    <t>AA0731D37344</t>
  </si>
  <si>
    <t>AA0731D33246</t>
  </si>
  <si>
    <t>AA0731D34601</t>
  </si>
  <si>
    <t>AA0731D39952</t>
  </si>
  <si>
    <t>AA0731D39892</t>
  </si>
  <si>
    <t>AA0731D39945</t>
  </si>
  <si>
    <t>AA0731D41769</t>
  </si>
  <si>
    <t>AA0731D42679</t>
  </si>
  <si>
    <t>AA0731D42684</t>
  </si>
  <si>
    <t>AA0731D42685</t>
  </si>
  <si>
    <t>AA0731D30397</t>
  </si>
  <si>
    <t>AA0731D34618</t>
  </si>
  <si>
    <t>AA0731D39127</t>
  </si>
  <si>
    <t>AA0731D39195</t>
  </si>
  <si>
    <t>AA0731D39773</t>
  </si>
  <si>
    <t>AA0731D43730</t>
  </si>
  <si>
    <t>AA0731D43732</t>
  </si>
  <si>
    <t>AA0731D43726</t>
  </si>
  <si>
    <t>AA0731D43728</t>
  </si>
  <si>
    <t>AA0731D39769</t>
  </si>
  <si>
    <t>AA0731D39771</t>
  </si>
  <si>
    <t>AA0731D41377</t>
  </si>
  <si>
    <t>AA0731D42722</t>
  </si>
  <si>
    <t>AA0731D42725</t>
  </si>
  <si>
    <t>AA0731D36481</t>
  </si>
  <si>
    <t>AA0731D39888</t>
  </si>
  <si>
    <t>AA0731D33079</t>
  </si>
  <si>
    <t>AA0731D27300</t>
  </si>
  <si>
    <t>AA0731D32087</t>
  </si>
  <si>
    <t>AA0731D40002</t>
  </si>
  <si>
    <t>AA0731D29585</t>
  </si>
  <si>
    <t>AA0731D40729</t>
  </si>
  <si>
    <t>AA0731D39886</t>
  </si>
  <si>
    <t>AA0731D40736</t>
  </si>
  <si>
    <t>AA0731D40738</t>
  </si>
  <si>
    <t>AA0731D42898</t>
  </si>
  <si>
    <t>AA0731D40733</t>
  </si>
  <si>
    <t>AA0731D33252</t>
  </si>
  <si>
    <t>AA0731D40722</t>
  </si>
  <si>
    <t>AA0731D40741</t>
  </si>
  <si>
    <t>AA0731D39881</t>
  </si>
  <si>
    <t>AA0731D40754</t>
  </si>
  <si>
    <t>AA0731D42894</t>
  </si>
  <si>
    <t>AA0731D42917</t>
  </si>
  <si>
    <t>AA0731D40752</t>
  </si>
  <si>
    <t>AA0731D35330</t>
  </si>
  <si>
    <t>AA0731D40734</t>
  </si>
  <si>
    <t>AA0731D42953</t>
  </si>
  <si>
    <t>AA0731D30461</t>
  </si>
  <si>
    <t>AA0731D32351</t>
  </si>
  <si>
    <t>AA0731D33216</t>
  </si>
  <si>
    <t>AA0731D46434</t>
  </si>
  <si>
    <t>AA0731D47286</t>
  </si>
  <si>
    <t>AA0731D47444</t>
  </si>
  <si>
    <t>AA0731D27399</t>
  </si>
  <si>
    <t>AA0731D27141</t>
  </si>
  <si>
    <t>AA0731D31449</t>
  </si>
  <si>
    <t>AA0731D33693</t>
  </si>
  <si>
    <t>AA0731D33706</t>
  </si>
  <si>
    <t>AA0731D46360</t>
  </si>
  <si>
    <t>AA0731D36186</t>
  </si>
  <si>
    <t>AA0731D40784</t>
  </si>
  <si>
    <t>AA0731D40850</t>
  </si>
  <si>
    <t>AA0731D46234</t>
  </si>
  <si>
    <t>AA0731D27153</t>
  </si>
  <si>
    <t>AA0731D32068</t>
  </si>
  <si>
    <t>AA0731D36932</t>
  </si>
  <si>
    <t>AA0731D40014</t>
  </si>
  <si>
    <t>AA0731D35673</t>
  </si>
  <si>
    <t>AA0731D37508</t>
  </si>
  <si>
    <t>AA0731D41381</t>
  </si>
  <si>
    <t>AA0731D46982</t>
  </si>
  <si>
    <t>AA0731D46172</t>
  </si>
  <si>
    <t>AA0731D47090</t>
  </si>
  <si>
    <t>AA0731D39545</t>
  </si>
  <si>
    <t>AA0731D46784</t>
  </si>
  <si>
    <t>AA0731D46639</t>
  </si>
  <si>
    <t>AA0731D46484</t>
  </si>
  <si>
    <t>AA0731D46638</t>
  </si>
  <si>
    <t>AA0731D46640</t>
  </si>
  <si>
    <t>AA0731D46641</t>
  </si>
  <si>
    <t>AA0731D46787</t>
  </si>
  <si>
    <t>AA0731D46789</t>
  </si>
  <si>
    <t>AA0731D46826</t>
  </si>
  <si>
    <t>AA0731D47378</t>
  </si>
  <si>
    <t>AA0731D47384</t>
  </si>
  <si>
    <t>AA0731D33537</t>
  </si>
  <si>
    <t>AA0731D32118</t>
  </si>
  <si>
    <t>AA0731D33608</t>
  </si>
  <si>
    <t>AA0731D33731</t>
  </si>
  <si>
    <t>AA0731D33733</t>
  </si>
  <si>
    <t>AA0731D33841</t>
  </si>
  <si>
    <t>AA0731D38493</t>
  </si>
  <si>
    <t>AA0731D32230</t>
  </si>
  <si>
    <t>AA0731D35269</t>
  </si>
  <si>
    <t>AA0731D35652</t>
  </si>
  <si>
    <t>AA0731D35797</t>
  </si>
  <si>
    <t>AA0731D36262</t>
  </si>
  <si>
    <t>AA0731D36409</t>
  </si>
  <si>
    <t>AA0731D36800</t>
  </si>
  <si>
    <t>AA0731D37352</t>
  </si>
  <si>
    <t>AA0731D37355</t>
  </si>
  <si>
    <t>AA0731D42640</t>
  </si>
  <si>
    <t>AA0731D42652</t>
  </si>
  <si>
    <t>AA0731D42719</t>
  </si>
  <si>
    <t>AA0731D35851</t>
  </si>
  <si>
    <t>AA0731D42768</t>
  </si>
  <si>
    <t>AA0731D42927</t>
  </si>
  <si>
    <t>AA0731D45100</t>
  </si>
  <si>
    <t>AA0731D45635</t>
  </si>
  <si>
    <t>AA0731D37353</t>
  </si>
  <si>
    <t>AA0731D46559</t>
  </si>
  <si>
    <t>AA0731D46636</t>
  </si>
  <si>
    <t>AA0731D46499</t>
  </si>
  <si>
    <t>AA0731D46623</t>
  </si>
  <si>
    <t>AA0731D46649</t>
  </si>
  <si>
    <t>AA0731D46482</t>
  </si>
  <si>
    <t>AA0731D47077</t>
  </si>
  <si>
    <t>AA0731D46804</t>
  </si>
  <si>
    <t>AA0731D36498</t>
  </si>
  <si>
    <t>AA0731D42667</t>
  </si>
  <si>
    <t>AA0731D44400</t>
  </si>
  <si>
    <t>AA0731D35769</t>
  </si>
  <si>
    <t>AA0731D39885</t>
  </si>
  <si>
    <t>AA0731D34726</t>
  </si>
  <si>
    <t>AA0731D35220</t>
  </si>
  <si>
    <t>AA0731D33870</t>
  </si>
  <si>
    <t>AA0731D34369</t>
  </si>
  <si>
    <t>AA0731D37278</t>
  </si>
  <si>
    <t>AA0731D35299</t>
  </si>
  <si>
    <t>AA0731D46386</t>
  </si>
  <si>
    <t>AA0731D46402</t>
  </si>
  <si>
    <t>AA0731D46425</t>
  </si>
  <si>
    <t>AA0731D46393</t>
  </si>
  <si>
    <t>AA0731D46382</t>
  </si>
  <si>
    <t>AA0731D46384</t>
  </si>
  <si>
    <t>AA0731D46380</t>
  </si>
  <si>
    <t>AA0731D46390</t>
  </si>
  <si>
    <t>AA0731D46391</t>
  </si>
  <si>
    <t>AA0731D46395</t>
  </si>
  <si>
    <t>AA0731D30848</t>
  </si>
  <si>
    <t>AA0731D34718</t>
  </si>
  <si>
    <t>AA0731D38642</t>
  </si>
  <si>
    <t>AA0731D39215</t>
  </si>
  <si>
    <t>AA0731D43725</t>
  </si>
  <si>
    <t>AA0731D38073</t>
  </si>
  <si>
    <t>AA0731D39523</t>
  </si>
  <si>
    <t>AA0731D39546</t>
  </si>
  <si>
    <t>AA0731D40436</t>
  </si>
  <si>
    <t>AA0731D38321</t>
  </si>
  <si>
    <t>AA0731D43400</t>
  </si>
  <si>
    <t>AA0731D39547</t>
  </si>
  <si>
    <t>AA0731D41788</t>
  </si>
  <si>
    <t>AA0731D39143</t>
  </si>
  <si>
    <t>AA0731D36339</t>
  </si>
  <si>
    <t>AA0731D35987</t>
  </si>
  <si>
    <t>AA0731D26816</t>
  </si>
  <si>
    <t>AA0731D26976</t>
  </si>
  <si>
    <t>AA0731D32850</t>
  </si>
  <si>
    <t>AA0731D38529</t>
  </si>
  <si>
    <t>AA0731D33947</t>
  </si>
  <si>
    <t>AA0731D48612</t>
  </si>
  <si>
    <t>AA0731D48616</t>
  </si>
  <si>
    <t>AA0731D48617</t>
  </si>
  <si>
    <t>AA0731D48618</t>
  </si>
  <si>
    <t>AA0731D48619</t>
  </si>
  <si>
    <t>AA0731D48620</t>
  </si>
  <si>
    <t>AA0731D48574</t>
  </si>
  <si>
    <t>AA0731D48575</t>
  </si>
  <si>
    <t>AA0731D48576</t>
  </si>
  <si>
    <t>AA0731D48577</t>
  </si>
  <si>
    <t>AA0731D48578</t>
  </si>
  <si>
    <t>AA0731D48579</t>
  </si>
  <si>
    <t>AA0731D48580</t>
  </si>
  <si>
    <t>AA0731D48613</t>
  </si>
  <si>
    <t>AA0731D48614</t>
  </si>
  <si>
    <t>AA0731D48564</t>
  </si>
  <si>
    <t>AA0731D48565</t>
  </si>
  <si>
    <t>AA0731D48566</t>
  </si>
  <si>
    <t>AA0731D48567</t>
  </si>
  <si>
    <t>AA0731D48569</t>
  </si>
  <si>
    <t>AA0731D48570</t>
  </si>
  <si>
    <t>AA0731D48571</t>
  </si>
  <si>
    <t>AA0731D48572</t>
  </si>
  <si>
    <t>AA0731D48573</t>
  </si>
  <si>
    <t>AA0731D48560</t>
  </si>
  <si>
    <t>AA0731D48561</t>
  </si>
  <si>
    <t>AA0731D48562</t>
  </si>
  <si>
    <t>AA0731D48563</t>
  </si>
  <si>
    <t>AA0731D48581</t>
  </si>
  <si>
    <t>AA0731D48582</t>
  </si>
  <si>
    <t>AA0731D48583</t>
  </si>
  <si>
    <t>AA0731D48584</t>
  </si>
  <si>
    <t>AA0731D48585</t>
  </si>
  <si>
    <t>AA0731D37277</t>
  </si>
  <si>
    <t>AA0731D45849</t>
  </si>
  <si>
    <t>AA0731D45851</t>
  </si>
  <si>
    <t>AA0731D45927</t>
  </si>
  <si>
    <t>AA0731D46890</t>
  </si>
  <si>
    <t>AA0731D37296</t>
  </si>
  <si>
    <t>AA0731D37730</t>
  </si>
  <si>
    <t>AA0731D39940</t>
  </si>
  <si>
    <t>AA0731D38299</t>
  </si>
  <si>
    <t>AA0731D42644</t>
  </si>
  <si>
    <t>AA0731D43123</t>
  </si>
  <si>
    <t>AA0731D38101</t>
  </si>
  <si>
    <t>AA0731D31482</t>
  </si>
  <si>
    <t>AA0731D33232</t>
  </si>
  <si>
    <t>AA0731D43386</t>
  </si>
  <si>
    <t>AA0731D37065</t>
  </si>
  <si>
    <t>AA0731D44393</t>
  </si>
  <si>
    <t>AA0731D47617</t>
  </si>
  <si>
    <t>AA0731D48635</t>
  </si>
  <si>
    <t>AA0731D48636</t>
  </si>
  <si>
    <t>AA0731D48637</t>
  </si>
  <si>
    <t>AA0731D48638</t>
  </si>
  <si>
    <t>AA0731D48639</t>
  </si>
  <si>
    <t>AA0731D48640</t>
  </si>
  <si>
    <t>AA0731D48641</t>
  </si>
  <si>
    <t>AA0731D48656</t>
  </si>
  <si>
    <t>AA0731D48675</t>
  </si>
  <si>
    <t>AA0731D48665</t>
  </si>
  <si>
    <t>AA0731D48666</t>
  </si>
  <si>
    <t>AA0731D48668</t>
  </si>
  <si>
    <t>AA0731D48669</t>
  </si>
  <si>
    <t>AA0731D48670</t>
  </si>
  <si>
    <t>AA0731D48671</t>
  </si>
  <si>
    <t>AA0731D48672</t>
  </si>
  <si>
    <t>AA0731D48673</t>
  </si>
  <si>
    <t>AA0731D48674</t>
  </si>
  <si>
    <t>AA0731D48660</t>
  </si>
  <si>
    <t>AA0731D48661</t>
  </si>
  <si>
    <t>AA0731D48662</t>
  </si>
  <si>
    <t>AA0731D48663</t>
  </si>
  <si>
    <t>AA0731D48664</t>
  </si>
  <si>
    <t>AA0731D48679</t>
  </si>
  <si>
    <t>AA0731D48680</t>
  </si>
  <si>
    <t>AA0731D47951</t>
  </si>
  <si>
    <t>AA0731D47973</t>
  </si>
  <si>
    <t>AA0731D48554</t>
  </si>
  <si>
    <t>AA0731D48553</t>
  </si>
  <si>
    <t>AA0731D48552</t>
  </si>
  <si>
    <t>AA0731D48551</t>
  </si>
  <si>
    <t>AA0731D48555</t>
  </si>
  <si>
    <t>AA0731D48536</t>
  </si>
  <si>
    <t>AA0731D48537</t>
  </si>
  <si>
    <t>AA0731D48538</t>
  </si>
  <si>
    <t>AA0731D48539</t>
  </si>
  <si>
    <t>AA0731D48540</t>
  </si>
  <si>
    <t>AA0731D48542</t>
  </si>
  <si>
    <t>AA0731D48541</t>
  </si>
  <si>
    <t>AA0731D48545</t>
  </si>
  <si>
    <t>AA0731D48546</t>
  </si>
  <si>
    <t>AA0731D48547</t>
  </si>
  <si>
    <t>AA0731D48544</t>
  </si>
  <si>
    <t>AA0731D48548</t>
  </si>
  <si>
    <t>AA0731D48688</t>
  </si>
  <si>
    <t>AA0731D48718</t>
  </si>
  <si>
    <t>AA0731D48717</t>
  </si>
  <si>
    <t>AA0731D48707</t>
  </si>
  <si>
    <t>AA0731D48709</t>
  </si>
  <si>
    <t>AA0731D48711</t>
  </si>
  <si>
    <t>AA0731D48701</t>
  </si>
  <si>
    <t>AA0731D48695</t>
  </si>
  <si>
    <t>AA0731D48693</t>
  </si>
  <si>
    <t>AA0731D47594</t>
  </si>
  <si>
    <t>AA0731D47684</t>
  </si>
  <si>
    <t>AA0731D47685</t>
  </si>
  <si>
    <t>AA0731D47686</t>
  </si>
  <si>
    <t>AA0731D47715</t>
  </si>
  <si>
    <t>AA0731D47764</t>
  </si>
  <si>
    <t>AA0731D47766</t>
  </si>
  <si>
    <t>AA0731D47767</t>
  </si>
  <si>
    <t>AA0731D47770</t>
  </si>
  <si>
    <t>AA0731D47772</t>
  </si>
  <si>
    <t>AA0731D48556</t>
  </si>
  <si>
    <t>AA0731D32926</t>
  </si>
  <si>
    <t>AA0731D26682</t>
  </si>
  <si>
    <t>AA0731D26687</t>
  </si>
  <si>
    <t>AA0731D32393</t>
  </si>
  <si>
    <t>AA0731D32920</t>
  </si>
  <si>
    <t>AA0731D42853</t>
  </si>
  <si>
    <t>AA0731D47639</t>
  </si>
  <si>
    <t>AA0731D47640</t>
  </si>
  <si>
    <t>AA0731D47719</t>
  </si>
  <si>
    <t>AA0731D47803</t>
  </si>
  <si>
    <t>AA0731D48749</t>
  </si>
  <si>
    <t>AA0731D48773</t>
  </si>
  <si>
    <t>AA0731D47716</t>
  </si>
  <si>
    <t>AA0731D49008</t>
  </si>
  <si>
    <t>AA0731D49009</t>
  </si>
  <si>
    <t>AA0731D49010</t>
  </si>
  <si>
    <t>AA0731D49060</t>
  </si>
  <si>
    <t>AA0731D49061</t>
  </si>
  <si>
    <t>AA0731D49063</t>
  </si>
  <si>
    <t>AA0731D49065</t>
  </si>
  <si>
    <t>AA0731D49066</t>
  </si>
  <si>
    <t>AA0731D49067</t>
  </si>
  <si>
    <t>AA0731D49069</t>
  </si>
  <si>
    <t>AA0731D46865</t>
  </si>
  <si>
    <t>AA0731D47833</t>
  </si>
  <si>
    <t>AA0731D48044</t>
  </si>
  <si>
    <t>AA0731D47971</t>
  </si>
  <si>
    <t>AA0731D46997</t>
  </si>
  <si>
    <t>AA0731D47567</t>
  </si>
  <si>
    <t>AA0731D48006</t>
  </si>
  <si>
    <t>AA0731D47641</t>
  </si>
  <si>
    <t>AA0731D47717</t>
  </si>
  <si>
    <t>AA0731D47027</t>
  </si>
  <si>
    <t>AA0731D47399</t>
  </si>
  <si>
    <t>AA0731D47401</t>
  </si>
  <si>
    <t>AA0731D47718</t>
  </si>
  <si>
    <t>AA0731D47805</t>
  </si>
  <si>
    <t>AA0731D31285</t>
  </si>
  <si>
    <t>AA0731D32009</t>
  </si>
  <si>
    <t>AA0731D33459</t>
  </si>
  <si>
    <t>AA0731D33605</t>
  </si>
  <si>
    <t>AA0731D33662</t>
  </si>
  <si>
    <t>AA0731D37925</t>
  </si>
  <si>
    <t>AA0731D31462</t>
  </si>
  <si>
    <t>AA0731D33547</t>
  </si>
  <si>
    <t>AA0731D26818</t>
  </si>
  <si>
    <t>AA0731D30490</t>
  </si>
  <si>
    <t>AA0731D29969</t>
  </si>
  <si>
    <t>AA0731D26456</t>
  </si>
  <si>
    <t>AA0731D26635</t>
  </si>
  <si>
    <t>AA0731D24038</t>
  </si>
  <si>
    <t>AA0731D30816</t>
  </si>
  <si>
    <t>AA0731D39988</t>
  </si>
  <si>
    <t>AA0731D46096</t>
  </si>
  <si>
    <t>AA0731D46100</t>
  </si>
  <si>
    <t>AA0731D30548</t>
  </si>
  <si>
    <t>AA0731D30707</t>
  </si>
  <si>
    <t>AA0731D33242</t>
  </si>
  <si>
    <t>AA0731D38072</t>
  </si>
  <si>
    <t>AA0731D39854</t>
  </si>
  <si>
    <t>AA0731D39976</t>
  </si>
  <si>
    <t>AA0731D43241</t>
  </si>
  <si>
    <t>AA0731D45212</t>
  </si>
  <si>
    <t>AA0731D35996</t>
  </si>
  <si>
    <t>AA0731D31269</t>
  </si>
  <si>
    <t>AA0731D31515</t>
  </si>
  <si>
    <t>AA0731D37571</t>
  </si>
  <si>
    <t>AA0731D37578</t>
  </si>
  <si>
    <t>AA0731D39460</t>
  </si>
  <si>
    <t>AA0731D34264</t>
  </si>
  <si>
    <t>AA0731D36772</t>
  </si>
  <si>
    <t>AA0731D37570</t>
  </si>
  <si>
    <t>AA0731D38505</t>
  </si>
  <si>
    <t>AA0731D39466</t>
  </si>
  <si>
    <t>AA0731D39832</t>
  </si>
  <si>
    <t>AA0731D38518</t>
  </si>
  <si>
    <t>AA0731D31227</t>
  </si>
  <si>
    <t>AA0731D31492</t>
  </si>
  <si>
    <t>AA0731D33741</t>
  </si>
  <si>
    <t>AA0731D36109</t>
  </si>
  <si>
    <t>AA0731D36553</t>
  </si>
  <si>
    <t>AA0731D36841</t>
  </si>
  <si>
    <t>AA0731D37588</t>
  </si>
  <si>
    <t>AA0731D40082</t>
  </si>
  <si>
    <t>AA0731D40361</t>
  </si>
  <si>
    <t>AA0731D37893</t>
  </si>
  <si>
    <t>AA0731D23178</t>
  </si>
  <si>
    <t>AA0731D33794</t>
  </si>
  <si>
    <t>AA0731D33826</t>
  </si>
  <si>
    <t>AA0731D33996</t>
  </si>
  <si>
    <t>AA0731D35384</t>
  </si>
  <si>
    <t>AA0731D40874</t>
  </si>
  <si>
    <t>AA0731D46556</t>
  </si>
  <si>
    <t>AA0731D46705</t>
  </si>
  <si>
    <t>AA0731D46599</t>
  </si>
  <si>
    <t>AA0731D46601</t>
  </si>
  <si>
    <t>AA0731D46603</t>
  </si>
  <si>
    <t>AA0731D46660</t>
  </si>
  <si>
    <t>AA0731D46661</t>
  </si>
  <si>
    <t>AA0731D46667</t>
  </si>
  <si>
    <t>AA0731D46600</t>
  </si>
  <si>
    <t>AA0731D46681</t>
  </si>
  <si>
    <t>AA0731D32088</t>
  </si>
  <si>
    <t>AA0731D31336</t>
  </si>
  <si>
    <t>CC0731D0423</t>
  </si>
  <si>
    <t>CC0731D0445</t>
  </si>
  <si>
    <t>AA0731D46378</t>
  </si>
  <si>
    <t>CC0731D0663</t>
  </si>
  <si>
    <t>CC0731D0430</t>
  </si>
  <si>
    <t>AA0731D40728</t>
  </si>
  <si>
    <t>AA0731D34183</t>
  </si>
  <si>
    <t>AA0731D39880</t>
  </si>
  <si>
    <t>AA0731D35081</t>
  </si>
  <si>
    <t>AA0731D35609</t>
  </si>
  <si>
    <t>AA0731D35615</t>
  </si>
  <si>
    <t>AA0731D37711</t>
  </si>
  <si>
    <t>AA0731D43293</t>
  </si>
  <si>
    <t>AA0731D37289</t>
  </si>
  <si>
    <t>AA0731D36258</t>
  </si>
  <si>
    <t>AA0731D43121</t>
  </si>
  <si>
    <t>AA0731D33890</t>
  </si>
  <si>
    <t>AA0731D35106</t>
  </si>
  <si>
    <t>AA0731D35467</t>
  </si>
  <si>
    <t>AA0731D37234</t>
  </si>
  <si>
    <t>AA0731D37248</t>
  </si>
  <si>
    <t>AA0731D37260</t>
  </si>
  <si>
    <t>AA0731D37294</t>
  </si>
  <si>
    <t>AA0731D38056</t>
  </si>
  <si>
    <t>AA0731D38062</t>
  </si>
  <si>
    <t>AA0731D39943</t>
  </si>
  <si>
    <t>AA0731D42439</t>
  </si>
  <si>
    <t>AA0731D42570</t>
  </si>
  <si>
    <t>AA0731D46545</t>
  </si>
  <si>
    <t>AA0731D46555</t>
  </si>
  <si>
    <t>AA0731D46029</t>
  </si>
  <si>
    <t>AA0731D31120</t>
  </si>
  <si>
    <t>AA0731D43286</t>
  </si>
  <si>
    <t>AA0731D43290</t>
  </si>
  <si>
    <t>AA0731D43312</t>
  </si>
  <si>
    <t>AA0731D47451</t>
  </si>
  <si>
    <t>AA0731D47874</t>
  </si>
  <si>
    <t>AA0731D48075</t>
  </si>
  <si>
    <t>AA0731D47335</t>
  </si>
  <si>
    <t>AA0731D47585</t>
  </si>
  <si>
    <t>AA0731D47832</t>
  </si>
  <si>
    <t>AA0731D47841</t>
  </si>
  <si>
    <t>AA0731D47880</t>
  </si>
  <si>
    <t>AA0731D48052</t>
  </si>
  <si>
    <t>AA0731D48053</t>
  </si>
  <si>
    <t>AA0731D48177</t>
  </si>
  <si>
    <t>AA0731D48209</t>
  </si>
  <si>
    <t>AA0731D48236</t>
  </si>
  <si>
    <t>AA0731D32860</t>
  </si>
  <si>
    <t>AA0731D48947</t>
  </si>
  <si>
    <t>AA0731D48949</t>
  </si>
  <si>
    <t>AA0731D46803</t>
  </si>
  <si>
    <t>AA0731D39923</t>
  </si>
  <si>
    <t>AA0731D43162</t>
  </si>
  <si>
    <t>AA0731D47385</t>
  </si>
  <si>
    <t>AA0731D31380</t>
  </si>
  <si>
    <t>AA0731D33238</t>
  </si>
  <si>
    <t>AA0731D37327</t>
  </si>
  <si>
    <t>AA0731D36648</t>
  </si>
  <si>
    <t>AA0731D46652</t>
  </si>
  <si>
    <t>AA0731D46653</t>
  </si>
  <si>
    <t>AA0731D46656</t>
  </si>
  <si>
    <t>AA0731D32691</t>
  </si>
  <si>
    <t>AA0731D46495</t>
  </si>
  <si>
    <t>AA0731D46496</t>
  </si>
  <si>
    <t>AA0731D46645</t>
  </si>
  <si>
    <t>AA0731D32985</t>
  </si>
  <si>
    <t>AA0731D38429</t>
  </si>
  <si>
    <t>AA0731D36894</t>
  </si>
  <si>
    <t>AA0731D42437</t>
  </si>
  <si>
    <t>AA0731D44705</t>
  </si>
  <si>
    <t>AA0731D43182</t>
  </si>
  <si>
    <t>AA0731D44518</t>
  </si>
  <si>
    <t>AA0731D44563</t>
  </si>
  <si>
    <t>AA0731D45472</t>
  </si>
  <si>
    <t>AA0731D37006</t>
  </si>
  <si>
    <t>AA0731D37054</t>
  </si>
  <si>
    <t>AA0731D43030</t>
  </si>
  <si>
    <t>AA0731D43073</t>
  </si>
  <si>
    <t>AA0731D30719</t>
  </si>
  <si>
    <t>AA0731D30799</t>
  </si>
  <si>
    <t>AA0731D31390</t>
  </si>
  <si>
    <t>AA0731D27514</t>
  </si>
  <si>
    <t>AA0731D28052</t>
  </si>
  <si>
    <t>AA0731D28216</t>
  </si>
  <si>
    <t>AA0731D30396</t>
  </si>
  <si>
    <t>AA0731D30690</t>
  </si>
  <si>
    <t>AA0731D31379</t>
  </si>
  <si>
    <t>AA0731D37061</t>
  </si>
  <si>
    <t>AA0731D37656</t>
  </si>
  <si>
    <t>AA0731D26556</t>
  </si>
  <si>
    <t>AA0731D26683</t>
  </si>
  <si>
    <t>AA0731D26846</t>
  </si>
  <si>
    <t>AA0731D35304</t>
  </si>
  <si>
    <t>AA0731D35714</t>
  </si>
  <si>
    <t>AA0731D32795</t>
  </si>
  <si>
    <t>AA0731D29864</t>
  </si>
  <si>
    <t>AA0731D31407</t>
  </si>
  <si>
    <t>AA0731D31411</t>
  </si>
  <si>
    <t>AA0731D25476</t>
  </si>
  <si>
    <t>AA0731D26626</t>
  </si>
  <si>
    <t>AA0731D31839</t>
  </si>
  <si>
    <t>AA0731D24570</t>
  </si>
  <si>
    <t>AA0731D24822</t>
  </si>
  <si>
    <t>AA0731D24960</t>
  </si>
  <si>
    <t>AA0731D25367</t>
  </si>
  <si>
    <t>AA0731D26394</t>
  </si>
  <si>
    <t>AA0731D26854</t>
  </si>
  <si>
    <t>AA0731D30380</t>
  </si>
  <si>
    <t>AA0731D30618</t>
  </si>
  <si>
    <t>AA0731D31556</t>
  </si>
  <si>
    <t>AA0731D33082</t>
  </si>
  <si>
    <t>AA0731D34706</t>
  </si>
  <si>
    <t>AA0731D35142</t>
  </si>
  <si>
    <t>AA0731D35207</t>
  </si>
  <si>
    <t>AA0731D35217</t>
  </si>
  <si>
    <t>AA0731D35230</t>
  </si>
  <si>
    <t>AA0731D35601</t>
  </si>
  <si>
    <t>AA0731D35764</t>
  </si>
  <si>
    <t>AA0731D37347</t>
  </si>
  <si>
    <t>AA0731D39197</t>
  </si>
  <si>
    <t>AA0731D24260</t>
  </si>
  <si>
    <t>AA0731D25246</t>
  </si>
  <si>
    <t>AA0731D33937</t>
  </si>
  <si>
    <t>AA0731D35088</t>
  </si>
  <si>
    <t>AA0731D41714</t>
  </si>
  <si>
    <t>AA0731D41722</t>
  </si>
  <si>
    <t>AA0731D42479</t>
  </si>
  <si>
    <t>AA0731D41724</t>
  </si>
  <si>
    <t>AA0731D41792</t>
  </si>
  <si>
    <t>AA0731D46376</t>
  </si>
  <si>
    <t>AA0731D46428</t>
  </si>
  <si>
    <t>AA0731D46431</t>
  </si>
  <si>
    <t>AA0731D29860</t>
  </si>
  <si>
    <t>AA0731D42680</t>
  </si>
  <si>
    <t>AA0731D37882</t>
  </si>
  <si>
    <t>AA0731D41184</t>
  </si>
  <si>
    <t>AA0731D42361</t>
  </si>
  <si>
    <t>AA0731D46299</t>
  </si>
  <si>
    <t>AA0731D33453</t>
  </si>
  <si>
    <t>AA0731D33795</t>
  </si>
  <si>
    <t>AA0731D23455</t>
  </si>
  <si>
    <t>AA0731D46964</t>
  </si>
  <si>
    <t>AA0731D46973</t>
  </si>
  <si>
    <t>AA0731D46984</t>
  </si>
  <si>
    <t>AA0731D46967</t>
  </si>
  <si>
    <t>AA0731D46979</t>
  </si>
  <si>
    <t>AA0731D47016</t>
  </si>
  <si>
    <t>AA0731D47017</t>
  </si>
  <si>
    <t>AA0731D38313</t>
  </si>
  <si>
    <t>AA0731D30790</t>
  </si>
  <si>
    <t>AA0731D32487</t>
  </si>
  <si>
    <t>AA0731D31601</t>
  </si>
  <si>
    <t>AA0731D35910</t>
  </si>
  <si>
    <t>AA0731D41712</t>
  </si>
  <si>
    <t>AA0731D41795</t>
  </si>
  <si>
    <t>AA0731D41824</t>
  </si>
  <si>
    <t>AA0731D41825</t>
  </si>
  <si>
    <t>AA0731D41827</t>
  </si>
  <si>
    <t>AA0731D42401</t>
  </si>
  <si>
    <t>AA0731D45217</t>
  </si>
  <si>
    <t>AA0731D44314</t>
  </si>
  <si>
    <t>AA0731D35178</t>
  </si>
  <si>
    <t>AA0731D42372</t>
  </si>
  <si>
    <t>AA0731D45176</t>
  </si>
  <si>
    <t>AA0731D35959</t>
  </si>
  <si>
    <t>AA0731D36616</t>
  </si>
  <si>
    <t>AA0731D38122</t>
  </si>
  <si>
    <t>AA0731D35295</t>
  </si>
  <si>
    <t>AA0731D39957</t>
  </si>
  <si>
    <t>AA0731D36618</t>
  </si>
  <si>
    <t>AA0731D38284</t>
  </si>
  <si>
    <t>AA0731D38302</t>
  </si>
  <si>
    <t>AA0731D45744</t>
  </si>
  <si>
    <t>AA0731D42617</t>
  </si>
  <si>
    <t>AA0731D42578</t>
  </si>
  <si>
    <t>AA0731D35000</t>
  </si>
  <si>
    <t>AA0731D35475</t>
  </si>
  <si>
    <t>AA0731D36628</t>
  </si>
  <si>
    <t>AA0731D37270</t>
  </si>
  <si>
    <t>AA0731D35485</t>
  </si>
  <si>
    <t>AA0731D35077</t>
  </si>
  <si>
    <t>AA0731D35297</t>
  </si>
  <si>
    <t>AA0731D38045</t>
  </si>
  <si>
    <t>AA0731D41826</t>
  </si>
  <si>
    <t>AA0731D46892</t>
  </si>
  <si>
    <t>AA0731D47415</t>
  </si>
  <si>
    <t>AA0731D46998</t>
  </si>
  <si>
    <t>AA0731D47078</t>
  </si>
  <si>
    <t>AA0731D35616</t>
  </si>
  <si>
    <t>AA0731D32333</t>
  </si>
  <si>
    <t>AA0731D42961</t>
  </si>
  <si>
    <t>AA0731D43106</t>
  </si>
  <si>
    <t>AA0731D45855</t>
  </si>
  <si>
    <t>AA0731D32452</t>
  </si>
  <si>
    <t>AA0731D24577</t>
  </si>
  <si>
    <t>AA0731D25603</t>
  </si>
  <si>
    <t>AA0731D35131</t>
  </si>
  <si>
    <t>AA0731D35540</t>
  </si>
  <si>
    <t>AA0731D35944</t>
  </si>
  <si>
    <t>AA0731D35957</t>
  </si>
  <si>
    <t>AA0731D32517</t>
  </si>
  <si>
    <t>AA0731D32716</t>
  </si>
  <si>
    <t>AA0731D32789</t>
  </si>
  <si>
    <t>AA0731D32987</t>
  </si>
  <si>
    <t>AA0731D37359</t>
  </si>
  <si>
    <t>AA0731D38472</t>
  </si>
  <si>
    <t>AA0731D38475</t>
  </si>
  <si>
    <t>AA0731D41789</t>
  </si>
  <si>
    <t>AA0731D43125</t>
  </si>
  <si>
    <t>AA0731D43960</t>
  </si>
  <si>
    <t>AA0731D35848</t>
  </si>
  <si>
    <t>AA0731D33873</t>
  </si>
  <si>
    <t>AA0731D41358</t>
  </si>
  <si>
    <t>AA0731D31266</t>
  </si>
  <si>
    <t>AA0731D33910</t>
  </si>
  <si>
    <t>AA0731D42148</t>
  </si>
  <si>
    <t>AA0731D42402</t>
  </si>
  <si>
    <t>AA0731D45182</t>
  </si>
  <si>
    <t>AA0731D45805</t>
  </si>
  <si>
    <t>AA0731D45929</t>
  </si>
  <si>
    <t>AA0731D33973</t>
  </si>
  <si>
    <t>AA0731D35034</t>
  </si>
  <si>
    <t>AA0731D35702</t>
  </si>
  <si>
    <t>AA0731D37235</t>
  </si>
  <si>
    <t>AA0731D37710</t>
  </si>
  <si>
    <t>AA0731D40102</t>
  </si>
  <si>
    <t>AA0731D42567</t>
  </si>
  <si>
    <t>AA0731D45169</t>
  </si>
  <si>
    <t>AA0731D45171</t>
  </si>
  <si>
    <t>AA0731D45224</t>
  </si>
  <si>
    <t>AA0731D37130</t>
  </si>
  <si>
    <t>AA0731D29915</t>
  </si>
  <si>
    <t>AA0731D27623</t>
  </si>
  <si>
    <t>AA0731D44296</t>
  </si>
  <si>
    <t>AA0731D33156</t>
  </si>
  <si>
    <t>AA0731D39139</t>
  </si>
  <si>
    <t>AA0731D44345</t>
  </si>
  <si>
    <t>AA0731D32612</t>
  </si>
  <si>
    <t>AA0731D39535</t>
  </si>
  <si>
    <t>AA0731D30164</t>
  </si>
  <si>
    <t>AA0731D36444</t>
  </si>
  <si>
    <t>AA0731D31500</t>
  </si>
  <si>
    <t>AA0731D31951</t>
  </si>
  <si>
    <t>AA0731D36940</t>
  </si>
  <si>
    <t>AA0731D46362</t>
  </si>
  <si>
    <t>AA0731D46304</t>
  </si>
  <si>
    <t>AA0731D46354</t>
  </si>
  <si>
    <t>AA0731D46365</t>
  </si>
  <si>
    <t>AA0731D46366</t>
  </si>
  <si>
    <t>AA0731D36461</t>
  </si>
  <si>
    <t>AA0731D38328</t>
  </si>
  <si>
    <t>AA0731D45926</t>
  </si>
  <si>
    <t>AA0731D38520</t>
  </si>
  <si>
    <t>AA0731D26888</t>
  </si>
  <si>
    <t>AA0731D27296</t>
  </si>
  <si>
    <t>AA0731D46872</t>
  </si>
  <si>
    <t>AA0731D35958</t>
  </si>
  <si>
    <t>AA0731D43311</t>
  </si>
  <si>
    <t>AA0731D36399</t>
  </si>
  <si>
    <t>AA0731D35726</t>
  </si>
  <si>
    <t>AA0731D40363</t>
  </si>
  <si>
    <t>AA0731D41349</t>
  </si>
  <si>
    <t>AA0731D42934</t>
  </si>
  <si>
    <t>AA0731D43266</t>
  </si>
  <si>
    <t>AA0731D44358</t>
  </si>
  <si>
    <t>AA0731D44510</t>
  </si>
  <si>
    <t>AA0731D46799</t>
  </si>
  <si>
    <t>AA0731D46801</t>
  </si>
  <si>
    <t>AA0731D46807</t>
  </si>
  <si>
    <t>AA0731D46812</t>
  </si>
  <si>
    <t>AA0731D46817</t>
  </si>
  <si>
    <t>AA0731D46835</t>
  </si>
  <si>
    <t>AA0731D46839</t>
  </si>
  <si>
    <t>AA0731D46851</t>
  </si>
  <si>
    <t>AA0731D46815</t>
  </si>
  <si>
    <t>AA0731D46808</t>
  </si>
  <si>
    <t>AA0731D46813</t>
  </si>
  <si>
    <t>AA0731D46834</t>
  </si>
  <si>
    <t>AA0731D46836</t>
  </si>
  <si>
    <t>AA0731D46837</t>
  </si>
  <si>
    <t>AA0731D46303</t>
  </si>
  <si>
    <t>AA0731D46809</t>
  </si>
  <si>
    <t>AA0731D46810</t>
  </si>
  <si>
    <t>AA0731D46818</t>
  </si>
  <si>
    <t>AA0731D46385</t>
  </si>
  <si>
    <t>AA0731D41416</t>
  </si>
  <si>
    <t>AA0731D34652</t>
  </si>
  <si>
    <t>AA0731D43746</t>
  </si>
  <si>
    <t>AA0731D31082</t>
  </si>
  <si>
    <t>AA0731D45565</t>
  </si>
  <si>
    <t>AA0731D36172</t>
  </si>
  <si>
    <t>AA0731D31928</t>
  </si>
  <si>
    <t>AA0731D44831</t>
  </si>
  <si>
    <t>AA0731D36903</t>
  </si>
  <si>
    <t>AA0731D37918</t>
  </si>
  <si>
    <t>AA0731D44743</t>
  </si>
  <si>
    <t>AA0731D44869</t>
  </si>
  <si>
    <t>AA0731D45669</t>
  </si>
  <si>
    <t>AA0731D45653</t>
  </si>
  <si>
    <t>AA0731D44745</t>
  </si>
  <si>
    <t>AA0731D44868</t>
  </si>
  <si>
    <t>AA0731D44941</t>
  </si>
  <si>
    <t>AA0731D41719</t>
  </si>
  <si>
    <t>AA0731D41723</t>
  </si>
  <si>
    <t>AA0731D36561</t>
  </si>
  <si>
    <t>AA0731D44972</t>
  </si>
  <si>
    <t>AA0731D27804</t>
  </si>
  <si>
    <t>AA0731D48235</t>
  </si>
  <si>
    <t>AA0731D36843</t>
  </si>
  <si>
    <t>AA0731D33883</t>
  </si>
  <si>
    <t>AA0731D42584</t>
  </si>
  <si>
    <t>AA0731D48045</t>
  </si>
  <si>
    <t>AA0731D48047</t>
  </si>
  <si>
    <t>AA0731D48048</t>
  </si>
  <si>
    <t>AA0731D48049</t>
  </si>
  <si>
    <t>AA0731D48050</t>
  </si>
  <si>
    <t>AA0731D48054</t>
  </si>
  <si>
    <t>AA0731D48055</t>
  </si>
  <si>
    <t>AA0731D48057</t>
  </si>
  <si>
    <t>AA0731D48058</t>
  </si>
  <si>
    <t>AA0731D48060</t>
  </si>
  <si>
    <t>AA0731D48061</t>
  </si>
  <si>
    <t>AA0731D33728</t>
  </si>
  <si>
    <t>AA0731D31653</t>
  </si>
  <si>
    <t>AA0731D33052</t>
  </si>
  <si>
    <t>AA0731D33618</t>
  </si>
  <si>
    <t>AA0731D27398</t>
  </si>
  <si>
    <t>AA0731D33426</t>
  </si>
  <si>
    <t>AA0731D32868</t>
  </si>
  <si>
    <t>AA0731D42295</t>
  </si>
  <si>
    <t>AA0731D46361</t>
  </si>
  <si>
    <t>AA0731D48281</t>
  </si>
  <si>
    <t>AA0731D48282</t>
  </si>
  <si>
    <t>AA0731D48283</t>
  </si>
  <si>
    <t>AA0731D48284</t>
  </si>
  <si>
    <t>AA0731D48285</t>
  </si>
  <si>
    <t>AA0731D48270</t>
  </si>
  <si>
    <t>AA0731D48271</t>
  </si>
  <si>
    <t>AA0731D48272</t>
  </si>
  <si>
    <t>AA0731D48273</t>
  </si>
  <si>
    <t>AA0731D48274</t>
  </si>
  <si>
    <t>AA0731D48275</t>
  </si>
  <si>
    <t>AA0731D48278</t>
  </si>
  <si>
    <t>AA0731D48279</t>
  </si>
  <si>
    <t>AA0731D48268</t>
  </si>
  <si>
    <t>AA0731D48288</t>
  </si>
  <si>
    <t>AA0731D48289</t>
  </si>
  <si>
    <t>AA0731D48290</t>
  </si>
  <si>
    <t>AA0731D48291</t>
  </si>
  <si>
    <t>AA0731D48292</t>
  </si>
  <si>
    <t>AA0731D48293</t>
  </si>
  <si>
    <t>AA0731D48294</t>
  </si>
  <si>
    <t>AA0731D48295</t>
  </si>
  <si>
    <t>AA0731D48286</t>
  </si>
  <si>
    <t>AA0731D48095</t>
  </si>
  <si>
    <t>AA0731D48083</t>
  </si>
  <si>
    <t>AA0731D48085</t>
  </si>
  <si>
    <t>AA0731D48086</t>
  </si>
  <si>
    <t>AA0731D48091</t>
  </si>
  <si>
    <t>AA0731D48123</t>
  </si>
  <si>
    <t>AA0731D48124</t>
  </si>
  <si>
    <t>AA0731D48122</t>
  </si>
  <si>
    <t>AA0731D48084</t>
  </si>
  <si>
    <t>AA0731D48090</t>
  </si>
  <si>
    <t>AA0731D48121</t>
  </si>
  <si>
    <t>AA0731D48088</t>
  </si>
  <si>
    <t>AA0731D48089</t>
  </si>
  <si>
    <t>AA0731D48078</t>
  </si>
  <si>
    <t>AA0731D48094</t>
  </si>
  <si>
    <t>AA0731D48096</t>
  </si>
  <si>
    <t>AA0731D48097</t>
  </si>
  <si>
    <t>AA0731D48098</t>
  </si>
  <si>
    <t>AA0731D48118</t>
  </si>
  <si>
    <t>AA0731D48079</t>
  </si>
  <si>
    <t>AA0731D48080</t>
  </si>
  <si>
    <t>AA0731D48082</t>
  </si>
  <si>
    <t>AA0731D28955</t>
  </si>
  <si>
    <t>AA0731D45987</t>
  </si>
  <si>
    <t>AA0731D45999</t>
  </si>
  <si>
    <t>AA0731D46435</t>
  </si>
  <si>
    <t>AA0731D46439</t>
  </si>
  <si>
    <t>AA0731D46094</t>
  </si>
  <si>
    <t>AA0731D46972</t>
  </si>
  <si>
    <t>AA0731D46981</t>
  </si>
  <si>
    <t>AA0731D40444</t>
  </si>
  <si>
    <t>AA0731D40757</t>
  </si>
  <si>
    <t>AA0731D42979</t>
  </si>
  <si>
    <t>AA0731D45985</t>
  </si>
  <si>
    <t>AA0731D45989</t>
  </si>
  <si>
    <t>AA0731D46004</t>
  </si>
  <si>
    <t>AA0731D46051</t>
  </si>
  <si>
    <t>AA0731D46095</t>
  </si>
  <si>
    <t>AA0731D46379</t>
  </si>
  <si>
    <t>AA0731D46427</t>
  </si>
  <si>
    <t>AA0731D32315</t>
  </si>
  <si>
    <t>AA0731D31419</t>
  </si>
  <si>
    <t>AA0731D47247</t>
  </si>
  <si>
    <t>AA0731D47341</t>
  </si>
  <si>
    <t>AA0731D47342</t>
  </si>
  <si>
    <t>AA0731D47409</t>
  </si>
  <si>
    <t>AA0731D30689</t>
  </si>
  <si>
    <t>AA0731D47482</t>
  </si>
  <si>
    <t>AA0731D47455</t>
  </si>
  <si>
    <t>AA0731D41828</t>
  </si>
  <si>
    <t>AA0731D48892</t>
  </si>
  <si>
    <t>AA0731D32557</t>
  </si>
  <si>
    <t>AA0731D32918</t>
  </si>
  <si>
    <t>AA0731D35553</t>
  </si>
  <si>
    <t>AA0731D46983</t>
  </si>
  <si>
    <t>AA0731D40723</t>
  </si>
  <si>
    <t>AA0731D33457</t>
  </si>
  <si>
    <t>AA0731D32137</t>
  </si>
  <si>
    <t>AA0731D33974</t>
  </si>
  <si>
    <t>AA0731D33790</t>
  </si>
  <si>
    <t>AA0731D40727</t>
  </si>
  <si>
    <t>AA0731D45988</t>
  </si>
  <si>
    <t>AA0731D29967</t>
  </si>
  <si>
    <t>AA0731D33296</t>
  </si>
  <si>
    <t>AA0731D31422</t>
  </si>
  <si>
    <t>AA0731D35942</t>
  </si>
  <si>
    <t>AA0731D39999</t>
  </si>
  <si>
    <t>AA0731D40012</t>
  </si>
  <si>
    <t>AA0731D43198</t>
  </si>
  <si>
    <t>AA0731D47344</t>
  </si>
  <si>
    <t>AA0731D47446</t>
  </si>
  <si>
    <t>AA0731D47412</t>
  </si>
  <si>
    <t>AA0731D47440</t>
  </si>
  <si>
    <t>AA0731D47441</t>
  </si>
  <si>
    <t>AA0731D47413</t>
  </si>
  <si>
    <t>AA0731D47816</t>
  </si>
  <si>
    <t>AA0731D47817</t>
  </si>
  <si>
    <t>AA0731D47806</t>
  </si>
  <si>
    <t>AA0731D47804</t>
  </si>
  <si>
    <t>AA0731D47574</t>
  </si>
  <si>
    <t>AA0731D47575</t>
  </si>
  <si>
    <t>AA0731D47577</t>
  </si>
  <si>
    <t>AA0731D47578</t>
  </si>
  <si>
    <t>AA0731D47582</t>
  </si>
  <si>
    <t>AA0731D47579</t>
  </si>
  <si>
    <t>AA0731D47580</t>
  </si>
  <si>
    <t>AA0731D47581</t>
  </si>
  <si>
    <t>AA0731D47828</t>
  </si>
  <si>
    <t>AA0731D47830</t>
  </si>
  <si>
    <t>AA0731D43024</t>
  </si>
  <si>
    <t>AA0731D43029</t>
  </si>
  <si>
    <t>AA0731D25016</t>
  </si>
  <si>
    <t>AA0731D30514</t>
  </si>
  <si>
    <t>AA0731D43032</t>
  </si>
  <si>
    <t>AA0731D46968</t>
  </si>
  <si>
    <t>AA0731D46970</t>
  </si>
  <si>
    <t>AA0731D43034</t>
  </si>
  <si>
    <t>AA0731D47881</t>
  </si>
  <si>
    <t>AA0731D47886</t>
  </si>
  <si>
    <t>AA0731D47885</t>
  </si>
  <si>
    <t>AA0731D46748</t>
  </si>
  <si>
    <t>AA0731D46887</t>
  </si>
  <si>
    <t>AA0731D46861</t>
  </si>
  <si>
    <t>AA0731D46880</t>
  </si>
  <si>
    <t>AA0731D46849</t>
  </si>
  <si>
    <t>AA0731D46910</t>
  </si>
  <si>
    <t>AA0731D46876</t>
  </si>
  <si>
    <t>AA0731D47900</t>
  </si>
  <si>
    <t>AA0731D47904</t>
  </si>
  <si>
    <t>AA0731D46632</t>
  </si>
  <si>
    <t>AA0731D34476</t>
  </si>
  <si>
    <t>AA0731D46481</t>
  </si>
  <si>
    <t>AA0731D46483</t>
  </si>
  <si>
    <t>AA0731D46485</t>
  </si>
  <si>
    <t>AA0731D46493</t>
  </si>
  <si>
    <t>AA0731D46494</t>
  </si>
  <si>
    <t>AA0731D46634</t>
  </si>
  <si>
    <t>AA0731D46637</t>
  </si>
  <si>
    <t>AA0731D36113</t>
  </si>
  <si>
    <t>AA0731D40077</t>
  </si>
  <si>
    <t>AA0731D34263</t>
  </si>
  <si>
    <t>AA0731D34578</t>
  </si>
  <si>
    <t>AA0731D42677</t>
  </si>
  <si>
    <t>AA0731D33069</t>
  </si>
  <si>
    <t>AA0731D47182</t>
  </si>
  <si>
    <t>AA0731D48258</t>
  </si>
  <si>
    <t>AA0731D48265</t>
  </si>
  <si>
    <t>AA0731D48333</t>
  </si>
  <si>
    <t>AA0731D48255</t>
  </si>
  <si>
    <t>AA0731D48260</t>
  </si>
  <si>
    <t>AA0731D48262</t>
  </si>
  <si>
    <t>AA0731D48263</t>
  </si>
  <si>
    <t>AA0731D48266</t>
  </si>
  <si>
    <t>AA0731D48474</t>
  </si>
  <si>
    <t>AA0731D48475</t>
  </si>
  <si>
    <t>AA0731D48476</t>
  </si>
  <si>
    <t>AA0731D48477</t>
  </si>
  <si>
    <t>AA0731D48478</t>
  </si>
  <si>
    <t>AA0731D48479</t>
  </si>
  <si>
    <t>AA0731D48480</t>
  </si>
  <si>
    <t>AA0731D48481</t>
  </si>
  <si>
    <t>AA0731D48470</t>
  </si>
  <si>
    <t>AA0731D48471</t>
  </si>
  <si>
    <t>AA0731D48472</t>
  </si>
  <si>
    <t>AA0731D48468</t>
  </si>
  <si>
    <t>AA0731D48449</t>
  </si>
  <si>
    <t>AA0731D48465</t>
  </si>
  <si>
    <t>AA0731D48466</t>
  </si>
  <si>
    <t>AA0731D47131</t>
  </si>
  <si>
    <t>AA0731D46911</t>
  </si>
  <si>
    <t>AA0731D47478</t>
  </si>
  <si>
    <t>AA0731D47536</t>
  </si>
  <si>
    <t>AA0731D47537</t>
  </si>
  <si>
    <t>AA0731D47584</t>
  </si>
  <si>
    <t>AA0731D47303</t>
  </si>
  <si>
    <t>AA0731D47606</t>
  </si>
  <si>
    <t>AA0731D48501</t>
  </si>
  <si>
    <t>AA0731D48513</t>
  </si>
  <si>
    <t>AA0731D48514</t>
  </si>
  <si>
    <t>AA0731D48503</t>
  </si>
  <si>
    <t>AA0731D48504</t>
  </si>
  <si>
    <t>AA0731D48505</t>
  </si>
  <si>
    <t>AA0731D48508</t>
  </si>
  <si>
    <t>AA0731D48509</t>
  </si>
  <si>
    <t>AA0731D48511</t>
  </si>
  <si>
    <t>AA0731D48512</t>
  </si>
  <si>
    <t>AA0731D48484</t>
  </si>
  <si>
    <t>AA0731D48502</t>
  </si>
  <si>
    <t>AA0731D48515</t>
  </si>
  <si>
    <t>AA0731D48516</t>
  </si>
  <si>
    <t>AA0731D48519</t>
  </si>
  <si>
    <t>AA0731D47317</t>
  </si>
  <si>
    <t>AA0731D47282</t>
  </si>
  <si>
    <t>AA0731D43037</t>
  </si>
  <si>
    <t>AA0731D45153</t>
  </si>
  <si>
    <t>AA0731D39410</t>
  </si>
  <si>
    <t>AA0731D35930</t>
  </si>
  <si>
    <t>AA0731D37514</t>
  </si>
  <si>
    <t>AA0731D40437</t>
  </si>
  <si>
    <t>AA0731D40440</t>
  </si>
  <si>
    <t>AA0731D45151</t>
  </si>
  <si>
    <t>AA0731D33229</t>
  </si>
  <si>
    <t>AA0731D35331</t>
  </si>
  <si>
    <t>AA0731D35328</t>
  </si>
  <si>
    <t>AA0731D39925</t>
  </si>
  <si>
    <t>AA0731D31409</t>
  </si>
  <si>
    <t>AA0731D45157</t>
  </si>
  <si>
    <t>AA0731D45713</t>
  </si>
  <si>
    <t>AA0731D46001</t>
  </si>
  <si>
    <t>AA0731D46429</t>
  </si>
  <si>
    <t>AA0731D45991</t>
  </si>
  <si>
    <t>AA0731D46003</t>
  </si>
  <si>
    <t>AA0731D46433</t>
  </si>
  <si>
    <t>AA0731D46965</t>
  </si>
  <si>
    <t>AA0731D33221</t>
  </si>
  <si>
    <t>AA0731D35314</t>
  </si>
  <si>
    <t>AA0731D24612</t>
  </si>
  <si>
    <t>AA0731D35578</t>
  </si>
  <si>
    <t>AA0731D40742</t>
  </si>
  <si>
    <t>AA0731D42902</t>
  </si>
  <si>
    <t>AA0731D45149</t>
  </si>
  <si>
    <t>AA0731D40756</t>
  </si>
  <si>
    <t>AA0731D42910</t>
  </si>
  <si>
    <t>AA0731D46002</t>
  </si>
  <si>
    <t>AA0731D39609</t>
  </si>
  <si>
    <t>AA0731D35560</t>
  </si>
  <si>
    <t>AA0731D35922</t>
  </si>
  <si>
    <t>AA0731D47352</t>
  </si>
  <si>
    <t>AA0731D26675</t>
  </si>
  <si>
    <t>AA0731D34999</t>
  </si>
  <si>
    <t>AA0731D35360</t>
  </si>
  <si>
    <t>AA0731D48092</t>
  </si>
  <si>
    <t>AA0731D33005</t>
  </si>
  <si>
    <t>AA0731D34933</t>
  </si>
  <si>
    <t>AA0731D35972</t>
  </si>
  <si>
    <t>AA0731D46655</t>
  </si>
  <si>
    <t>AA0731D46480</t>
  </si>
  <si>
    <t>AA0731D46647</t>
  </si>
  <si>
    <t>AA0731D48332</t>
  </si>
  <si>
    <t>AA0731D48336</t>
  </si>
  <si>
    <t>AA0731D35968</t>
  </si>
  <si>
    <t>AA0731D35357</t>
  </si>
  <si>
    <t>AA0731D47100</t>
  </si>
  <si>
    <t>AA0731D47250</t>
  </si>
  <si>
    <t>AA0731D47416</t>
  </si>
  <si>
    <t>AA0731D47417</t>
  </si>
  <si>
    <t>AA0731D27354</t>
  </si>
  <si>
    <t>AA0731D33003</t>
  </si>
  <si>
    <t>AA0731D33939</t>
  </si>
  <si>
    <t>AA0731D33970</t>
  </si>
  <si>
    <t>AA0731D35377</t>
  </si>
  <si>
    <t>AA0731D36324</t>
  </si>
  <si>
    <t>AA0731D36338</t>
  </si>
  <si>
    <t>AA0731D36986</t>
  </si>
  <si>
    <t>AA0731D38500</t>
  </si>
  <si>
    <t>AA0731D39789</t>
  </si>
  <si>
    <t>AA0731D36111</t>
  </si>
  <si>
    <t>AA0731D47223</t>
  </si>
  <si>
    <t>AA0731D47248</t>
  </si>
  <si>
    <t>AA0731D47163</t>
  </si>
  <si>
    <t>AA0731D48378</t>
  </si>
  <si>
    <t>AA0731D48382</t>
  </si>
  <si>
    <t>AA0731D48384</t>
  </si>
  <si>
    <t>AA0731D48385</t>
  </si>
  <si>
    <t>AA0731D48386</t>
  </si>
  <si>
    <t>AA0731D48387</t>
  </si>
  <si>
    <t>AA0731D48389</t>
  </si>
  <si>
    <t>AA0731D48392</t>
  </si>
  <si>
    <t>AA0731D48403</t>
  </si>
  <si>
    <t>AA0731D48404</t>
  </si>
  <si>
    <t>AA0731D48405</t>
  </si>
  <si>
    <t>AA0731D48406</t>
  </si>
  <si>
    <t>AA0731D48407</t>
  </si>
  <si>
    <t>AA0731D42296</t>
  </si>
  <si>
    <t>AA0731D47875</t>
  </si>
  <si>
    <t>AA0731D46563</t>
  </si>
  <si>
    <t>AA0731D40100</t>
  </si>
  <si>
    <t>AA0731D37239</t>
  </si>
  <si>
    <t>AA0731D31267</t>
  </si>
  <si>
    <t>AA0731D34018</t>
  </si>
  <si>
    <t>AA0731D37273</t>
  </si>
  <si>
    <t>AA0731D38287</t>
  </si>
  <si>
    <t>AA0731D35183</t>
  </si>
  <si>
    <t>AA0731D35915</t>
  </si>
  <si>
    <t>AA0731D37240</t>
  </si>
  <si>
    <t>AA0731D37272</t>
  </si>
  <si>
    <t>AA0731D37274</t>
  </si>
  <si>
    <t>AA0731D37295</t>
  </si>
  <si>
    <t>AA0731D37731</t>
  </si>
  <si>
    <t>AA0731D37738</t>
  </si>
  <si>
    <t>AA0731D39955</t>
  </si>
  <si>
    <t>AA0731D42331</t>
  </si>
  <si>
    <t>AA0731D42511</t>
  </si>
  <si>
    <t>AA0731D45218</t>
  </si>
  <si>
    <t>AA0731D45228</t>
  </si>
  <si>
    <t>AA0731D42417</t>
  </si>
  <si>
    <t>AA0731D43295</t>
  </si>
  <si>
    <t>AA0731D38278</t>
  </si>
  <si>
    <t>AA0731D42407</t>
  </si>
  <si>
    <t>AA0731D46864</t>
  </si>
  <si>
    <t>AA0731D45179</t>
  </si>
  <si>
    <t>AA0731D37741</t>
  </si>
  <si>
    <t>AA0731D42399</t>
  </si>
  <si>
    <t>AA0731D46873</t>
  </si>
  <si>
    <t>AA0731D46757</t>
  </si>
  <si>
    <t>AA0731D42404</t>
  </si>
  <si>
    <t>AA0731D42405</t>
  </si>
  <si>
    <t>AA0731D46754</t>
  </si>
  <si>
    <t>AA0731D41434</t>
  </si>
  <si>
    <t>AA0731D44398</t>
  </si>
  <si>
    <t>AA0731D41784</t>
  </si>
  <si>
    <t>AA0731D44348</t>
  </si>
  <si>
    <t>AA0731D45379</t>
  </si>
  <si>
    <t>AA0731D48434</t>
  </si>
  <si>
    <t>AA0731D48435</t>
  </si>
  <si>
    <t>AA0731D48436</t>
  </si>
  <si>
    <t>AA0731D48438</t>
  </si>
  <si>
    <t>AA0731D48439</t>
  </si>
  <si>
    <t>AA0731D48440</t>
  </si>
  <si>
    <t>AA0731D47237</t>
  </si>
  <si>
    <t>AA0731D46884</t>
  </si>
  <si>
    <t>AA0731D47127</t>
  </si>
  <si>
    <t>AA0731D47191</t>
  </si>
  <si>
    <t>AA0731D46885</t>
  </si>
  <si>
    <t>AA0731D47121</t>
  </si>
  <si>
    <t>AA0731D47125</t>
  </si>
  <si>
    <t>AA0731D47135</t>
  </si>
  <si>
    <t>AA0731D47140</t>
  </si>
  <si>
    <t>AA0731D47217</t>
  </si>
  <si>
    <t>AA0731D47126</t>
  </si>
  <si>
    <t>AA0731D47133</t>
  </si>
  <si>
    <t>AA0731D47139</t>
  </si>
  <si>
    <t>AA0731D47143</t>
  </si>
  <si>
    <t>AA0731D47181</t>
  </si>
  <si>
    <t>AA0731D47183</t>
  </si>
  <si>
    <t>AA0731D47114</t>
  </si>
  <si>
    <t>AA0731D47316</t>
  </si>
  <si>
    <t>AA0731D40000</t>
  </si>
  <si>
    <t>AA0731D39995</t>
  </si>
  <si>
    <t>AA0731D33842</t>
  </si>
  <si>
    <t>AA0731D46939</t>
  </si>
  <si>
    <t>AA0731D46996</t>
  </si>
  <si>
    <t>AA0731D47062</t>
  </si>
  <si>
    <t>AA0731D47123</t>
  </si>
  <si>
    <t>AA0731D47137</t>
  </si>
  <si>
    <t>AA0731D47306</t>
  </si>
  <si>
    <t>AA0731D47130</t>
  </si>
  <si>
    <t>AA0731D47134</t>
  </si>
  <si>
    <t>AA0731D47194</t>
  </si>
  <si>
    <t>AA0731D47142</t>
  </si>
  <si>
    <t>AA0731D47144</t>
  </si>
  <si>
    <t>AA0731D40772</t>
  </si>
  <si>
    <t>AA0731D42459</t>
  </si>
  <si>
    <t>AA0731D35986</t>
  </si>
  <si>
    <t>AA0731D34619</t>
  </si>
  <si>
    <t>AA0731D47328</t>
  </si>
  <si>
    <t>AA0731D47329</t>
  </si>
  <si>
    <t>AA0731D47332</t>
  </si>
  <si>
    <t>AA0731D47308</t>
  </si>
  <si>
    <t>AA0731D47380</t>
  </si>
  <si>
    <t>AA0731D47382</t>
  </si>
  <si>
    <t>AA0731D47383</t>
  </si>
  <si>
    <t>AA0731D47387</t>
  </si>
  <si>
    <t>AA0731D47307</t>
  </si>
  <si>
    <t>AA0731D47325</t>
  </si>
  <si>
    <t>AA0731D47326</t>
  </si>
  <si>
    <t>AA0731D47330</t>
  </si>
  <si>
    <t>AA0731D47333</t>
  </si>
  <si>
    <t>AA0731D47334</t>
  </si>
  <si>
    <t>AA0731D47408</t>
  </si>
  <si>
    <t>AA0731D47386</t>
  </si>
  <si>
    <t>AA0731D47388</t>
  </si>
  <si>
    <t>AA0731D47389</t>
  </si>
  <si>
    <t>AA0731D47390</t>
  </si>
  <si>
    <t>AA0731D29941</t>
  </si>
  <si>
    <t>AA0731D29970</t>
  </si>
  <si>
    <t>AA0731D31451</t>
  </si>
  <si>
    <t>AA0731D31486</t>
  </si>
  <si>
    <t>AA0731D31511</t>
  </si>
  <si>
    <t>AA0731D46558</t>
  </si>
  <si>
    <t>AA0731D33395</t>
  </si>
  <si>
    <t>AA0731D45819</t>
  </si>
  <si>
    <t>AA0731D33411</t>
  </si>
  <si>
    <t>AA0731D32240</t>
  </si>
  <si>
    <t>AA0731D31453</t>
  </si>
  <si>
    <t>AA0731D30721</t>
  </si>
  <si>
    <t>AA0731D28054</t>
  </si>
  <si>
    <t>AA0731D30143</t>
  </si>
  <si>
    <t>AA0731D31396</t>
  </si>
  <si>
    <t>AA0731D40206</t>
  </si>
  <si>
    <t>AA0731D43027</t>
  </si>
  <si>
    <t>AA0731D43045</t>
  </si>
  <si>
    <t>AA0731D43389</t>
  </si>
  <si>
    <t>AA0731D38331</t>
  </si>
  <si>
    <t>AA0731D39123</t>
  </si>
  <si>
    <t>AA0731D25435</t>
  </si>
  <si>
    <t>AA0731D35592</t>
  </si>
  <si>
    <t>AA0731D36471</t>
  </si>
  <si>
    <t>AA0731D39678</t>
  </si>
  <si>
    <t>AA0731D39681</t>
  </si>
  <si>
    <t>AA0731D28134</t>
  </si>
  <si>
    <t>AA0731D38435</t>
  </si>
  <si>
    <t>AA0731D34660</t>
  </si>
  <si>
    <t>AA0731D35604</t>
  </si>
  <si>
    <t>AA0731D30457</t>
  </si>
  <si>
    <t>AA0731D31546</t>
  </si>
  <si>
    <t>AA0731D31603</t>
  </si>
  <si>
    <t>AA0731D48211</t>
  </si>
  <si>
    <t>AA0731D48212</t>
  </si>
  <si>
    <t>AA0731D47949</t>
  </si>
  <si>
    <t>AA0731D47950</t>
  </si>
  <si>
    <t>AA0731D47953</t>
  </si>
  <si>
    <t>AA0731D47853</t>
  </si>
  <si>
    <t>AA0731D47856</t>
  </si>
  <si>
    <t>AA0731D47857</t>
  </si>
  <si>
    <t>AA0731D47858</t>
  </si>
  <si>
    <t>AA0731D47859</t>
  </si>
  <si>
    <t>AA0731D47860</t>
  </si>
  <si>
    <t>AA0731D36679</t>
  </si>
  <si>
    <t>AA0731D47970</t>
  </si>
  <si>
    <t>AA0731D47972</t>
  </si>
  <si>
    <t>AA0731D47975</t>
  </si>
  <si>
    <t>AA0731D47969</t>
  </si>
  <si>
    <t>AA0731D47976</t>
  </si>
  <si>
    <t>AA0731D26435</t>
  </si>
  <si>
    <t>AA0731D29869</t>
  </si>
  <si>
    <t>AA0731D32633</t>
  </si>
  <si>
    <t>AA0731D27325</t>
  </si>
  <si>
    <t>AA0731D47278</t>
  </si>
  <si>
    <t>AA0731D47829</t>
  </si>
  <si>
    <t>AA0731D47831</t>
  </si>
  <si>
    <t>AA0731D47836</t>
  </si>
  <si>
    <t>AA0731D47839</t>
  </si>
  <si>
    <t>AA0731D47840</t>
  </si>
  <si>
    <t>AA0731D47842</t>
  </si>
  <si>
    <t>AA0731D47843</t>
  </si>
  <si>
    <t>AA0731D47846</t>
  </si>
  <si>
    <t>AA0731D47847</t>
  </si>
  <si>
    <t>AA0731D47848</t>
  </si>
  <si>
    <t>AA0731D47849</t>
  </si>
  <si>
    <t>AA0731D47837</t>
  </si>
  <si>
    <t>AA0731D47838</t>
  </si>
  <si>
    <t>AA0731D47877</t>
  </si>
  <si>
    <t>AA0731D47879</t>
  </si>
  <si>
    <t>AA0731D47882</t>
  </si>
  <si>
    <t>AA0731D47844</t>
  </si>
  <si>
    <t>AA0731D47845</t>
  </si>
  <si>
    <t>AA0731D47897</t>
  </si>
  <si>
    <t>AA0731D47852</t>
  </si>
  <si>
    <t>AA0731D47998</t>
  </si>
  <si>
    <t>AA0731D47999</t>
  </si>
  <si>
    <t>AA0731D48001</t>
  </si>
  <si>
    <t>AA0731D48002</t>
  </si>
  <si>
    <t>AA0731D48003</t>
  </si>
  <si>
    <t>AA0731D48004</t>
  </si>
  <si>
    <t>AA0731D48005</t>
  </si>
  <si>
    <t>AA0731D48007</t>
  </si>
  <si>
    <t>AA0731D43938</t>
  </si>
  <si>
    <t>AA0731D34145</t>
  </si>
  <si>
    <t>AA0731D45852</t>
  </si>
  <si>
    <t>AA0731D33812</t>
  </si>
  <si>
    <t>AA0731D37251</t>
  </si>
  <si>
    <t>AA0731D47136</t>
  </si>
  <si>
    <t>AA0731D46879</t>
  </si>
  <si>
    <t>AA0731D46747</t>
  </si>
  <si>
    <t>AA0731D46756</t>
  </si>
  <si>
    <t>AA0731D46848</t>
  </si>
  <si>
    <t>AA0731D46882</t>
  </si>
  <si>
    <t>AA0731D46938</t>
  </si>
  <si>
    <t>AA0731D47179</t>
  </si>
  <si>
    <t>AA0731D32231</t>
  </si>
  <si>
    <t>AA0731D35576</t>
  </si>
  <si>
    <t>AA0731D36405</t>
  </si>
  <si>
    <t>AA0731D36645</t>
  </si>
  <si>
    <t>AA0731D42924</t>
  </si>
  <si>
    <t>AA0731D44977</t>
  </si>
  <si>
    <t>AA0731D36680</t>
  </si>
  <si>
    <t>AA0731D42471</t>
  </si>
  <si>
    <t>AA0731D42599</t>
  </si>
  <si>
    <t>AA0731D42650</t>
  </si>
  <si>
    <t>AA0731D42718</t>
  </si>
  <si>
    <t>AA0731D45266</t>
  </si>
  <si>
    <t>AA0731D42926</t>
  </si>
  <si>
    <t>AA0731D43105</t>
  </si>
  <si>
    <t>AA0731D44973</t>
  </si>
  <si>
    <t>AA0731D44974</t>
  </si>
  <si>
    <t>AA0731D44976</t>
  </si>
  <si>
    <t>AA0731D45400</t>
  </si>
  <si>
    <t>AA0731D45050</t>
  </si>
  <si>
    <t>AA0731D45260</t>
  </si>
  <si>
    <t>AA0731D45261</t>
  </si>
  <si>
    <t>AA0731D45263</t>
  </si>
  <si>
    <t>AA0731D45264</t>
  </si>
  <si>
    <t>AA0731D48041</t>
  </si>
  <si>
    <t>CC0731D0698</t>
  </si>
  <si>
    <t>AA0731D40259</t>
  </si>
  <si>
    <t>AA0731D40749</t>
  </si>
  <si>
    <t>AA0731D46369</t>
  </si>
  <si>
    <t>AA0731D40746</t>
  </si>
  <si>
    <t>AA0731D43044</t>
  </si>
  <si>
    <t>AA0731D45993</t>
  </si>
  <si>
    <t>AA0731D46969</t>
  </si>
  <si>
    <t>AA0731D38423</t>
  </si>
  <si>
    <t>AA0731D40730</t>
  </si>
  <si>
    <t>AA0731D46005</t>
  </si>
  <si>
    <t>AA0731D46374</t>
  </si>
  <si>
    <t>AA0731D46432</t>
  </si>
  <si>
    <t>AA0731D46437</t>
  </si>
  <si>
    <t>AA0731D46978</t>
  </si>
  <si>
    <t>AA0731D46104</t>
  </si>
  <si>
    <t>AA0731D33624</t>
  </si>
  <si>
    <t>AA0731D47336</t>
  </si>
  <si>
    <t>AA0731D47337</t>
  </si>
  <si>
    <t>AA0731D47109</t>
  </si>
  <si>
    <t>AA0731D47112</t>
  </si>
  <si>
    <t>AA0731D47106</t>
  </si>
  <si>
    <t>AA0731D47107</t>
  </si>
  <si>
    <t>AA0731D47111</t>
  </si>
  <si>
    <t>AA0731D48071</t>
  </si>
  <si>
    <t>AA0731D48072</t>
  </si>
  <si>
    <t>AA0731D48073</t>
  </si>
  <si>
    <t>AA0731D48074</t>
  </si>
  <si>
    <t>AA0731D48068</t>
  </si>
  <si>
    <t>AA0731D48105</t>
  </si>
  <si>
    <t>AA0731D48111</t>
  </si>
  <si>
    <t>AA0731D48112</t>
  </si>
  <si>
    <t>AA0731D48113</t>
  </si>
  <si>
    <t>AA0731D48114</t>
  </si>
  <si>
    <t>AA0731D48108</t>
  </si>
  <si>
    <t>AA0731D48109</t>
  </si>
  <si>
    <t>AA0731D48110</t>
  </si>
  <si>
    <t>AA0731D31575</t>
  </si>
  <si>
    <t>AA0731D33735</t>
  </si>
  <si>
    <t>AA0731D36416</t>
  </si>
  <si>
    <t>AA0731D37883</t>
  </si>
  <si>
    <t>AA0731D41499</t>
  </si>
  <si>
    <t>AA0731D33321</t>
  </si>
  <si>
    <t>AA0731D33415</t>
  </si>
  <si>
    <t>AA0731D36249</t>
  </si>
  <si>
    <t>AA0731D37145</t>
  </si>
  <si>
    <t>AA0731D33523</t>
  </si>
  <si>
    <t>AA0731D31464</t>
  </si>
  <si>
    <t>AA0731D33187</t>
  </si>
  <si>
    <t>AA0731D32066</t>
  </si>
  <si>
    <t>AA0731D33680</t>
  </si>
  <si>
    <t>AA0731D46528</t>
  </si>
  <si>
    <t>AA0731D47443</t>
  </si>
  <si>
    <t>AA0731D47470</t>
  </si>
  <si>
    <t>AA0731D47445</t>
  </si>
  <si>
    <t>AA0731D35390</t>
  </si>
  <si>
    <t>AA0731D36909</t>
  </si>
  <si>
    <t>AA0731D38277</t>
  </si>
  <si>
    <t>AA0731D37119</t>
  </si>
  <si>
    <t>AA0731D47411</t>
  </si>
  <si>
    <t>AA0731D39767</t>
  </si>
  <si>
    <t>AA0731D39526</t>
  </si>
  <si>
    <t>AA0731D44460</t>
  </si>
  <si>
    <t>AA0731D48160</t>
  </si>
  <si>
    <t>AA0731D48161</t>
  </si>
  <si>
    <t>AA0731D48162</t>
  </si>
  <si>
    <t>AA0731D48154</t>
  </si>
  <si>
    <t>AA0731D48155</t>
  </si>
  <si>
    <t>AA0731D48156</t>
  </si>
  <si>
    <t>AA0731D48157</t>
  </si>
  <si>
    <t>AA0731D48158</t>
  </si>
  <si>
    <t>AA0731D48159</t>
  </si>
  <si>
    <t>AA0731D33108</t>
  </si>
  <si>
    <t>AA0731D42168</t>
  </si>
  <si>
    <t>AA0731D35548</t>
  </si>
  <si>
    <t>AA0731D35551</t>
  </si>
  <si>
    <t>AA0731D35552</t>
  </si>
  <si>
    <t>AA0731D35847</t>
  </si>
  <si>
    <t>AA0731D45678</t>
  </si>
  <si>
    <t>AA0731D36792</t>
  </si>
  <si>
    <t>AA0731D37418</t>
  </si>
  <si>
    <t>AA0731D38609</t>
  </si>
  <si>
    <t>AA0731D41709</t>
  </si>
  <si>
    <t>AA0731D45856</t>
  </si>
  <si>
    <t>AA0731D43468</t>
  </si>
  <si>
    <t>AA0731D44427</t>
  </si>
  <si>
    <t>AA0731D44642</t>
  </si>
  <si>
    <t>AA0731D44975</t>
  </si>
  <si>
    <t>AA0731D37286</t>
  </si>
  <si>
    <t>AA0731D47224</t>
  </si>
  <si>
    <t>AA0731D43039</t>
  </si>
  <si>
    <t>AA0731D47576</t>
  </si>
  <si>
    <t>AA0731D48168</t>
  </si>
  <si>
    <t>AA0731D45376</t>
  </si>
  <si>
    <t>AA0731D35198</t>
  </si>
  <si>
    <t>AA0731D46838</t>
  </si>
  <si>
    <t>AA0731D39548</t>
  </si>
  <si>
    <t>AA0731D39528</t>
  </si>
  <si>
    <t>AA0731D42669</t>
  </si>
  <si>
    <t>AA0731D32450</t>
  </si>
  <si>
    <t>AA0731D48605</t>
  </si>
  <si>
    <t>AA0731D30256</t>
  </si>
  <si>
    <t>AA0731D30265</t>
  </si>
  <si>
    <t>AA0731D35985</t>
  </si>
  <si>
    <t>AA0731D36333</t>
  </si>
  <si>
    <t>AA0731D37431</t>
  </si>
  <si>
    <t>AA0731D37839</t>
  </si>
  <si>
    <t>AA0731D38536</t>
  </si>
  <si>
    <t>AA0731D39492</t>
  </si>
  <si>
    <t>AA0731D46654</t>
  </si>
  <si>
    <t>AA0731D37569</t>
  </si>
  <si>
    <t>AA0731D37580</t>
  </si>
  <si>
    <t>AA0731D37581</t>
  </si>
  <si>
    <t>AA0731D37649</t>
  </si>
  <si>
    <t>AA0731D36541</t>
  </si>
  <si>
    <t>AA0731D37573</t>
  </si>
  <si>
    <t>AA0731D46401</t>
  </si>
  <si>
    <t>AA0731D37594</t>
  </si>
  <si>
    <t>AA0731D47184</t>
  </si>
  <si>
    <t>AA0731D48839</t>
  </si>
  <si>
    <t>AA0731D48828</t>
  </si>
  <si>
    <t>AA0731D48830</t>
  </si>
  <si>
    <t>AA0731D48831</t>
  </si>
  <si>
    <t>AA0731D48832</t>
  </si>
  <si>
    <t>AA0731D48833</t>
  </si>
  <si>
    <t>AA0731D48834</t>
  </si>
  <si>
    <t>AA0731D48818</t>
  </si>
  <si>
    <t>AA0731D48819</t>
  </si>
  <si>
    <t>AA0731D48820</t>
  </si>
  <si>
    <t>AA0731D48821</t>
  </si>
  <si>
    <t>AA0731D48822</t>
  </si>
  <si>
    <t>AA0731D48823</t>
  </si>
  <si>
    <t>AA0731D48824</t>
  </si>
  <si>
    <t>AA0731D48825</t>
  </si>
  <si>
    <t>AA0731D48826</t>
  </si>
  <si>
    <t>AA0731D48827</t>
  </si>
  <si>
    <t>AA0731D48815</t>
  </si>
  <si>
    <t>AA0731D48814</t>
  </si>
  <si>
    <t>AA0731D48816</t>
  </si>
  <si>
    <t>AA0731D48817</t>
  </si>
  <si>
    <t>AA0731D48845</t>
  </si>
  <si>
    <t>AA0731D48864</t>
  </si>
  <si>
    <t>AA0731D48865</t>
  </si>
  <si>
    <t>AA0731D45174</t>
  </si>
  <si>
    <t>AA0731D27810</t>
  </si>
  <si>
    <t>AA0731D42373</t>
  </si>
  <si>
    <t>AA0731D45177</t>
  </si>
  <si>
    <t>AA0731D45215</t>
  </si>
  <si>
    <t>AA0731D30828</t>
  </si>
  <si>
    <t>AA0731D31428</t>
  </si>
  <si>
    <t>AA0731D38047</t>
  </si>
  <si>
    <t>AA0731D38121</t>
  </si>
  <si>
    <t>AA0731D46874</t>
  </si>
  <si>
    <t>AA0731D43297</t>
  </si>
  <si>
    <t>AA0731D27137</t>
  </si>
  <si>
    <t>AA0731D30826</t>
  </si>
  <si>
    <t>AA0731D43284</t>
  </si>
  <si>
    <t>AA0731D43287</t>
  </si>
  <si>
    <t>AA0731D45175</t>
  </si>
  <si>
    <t>AA0731D42334</t>
  </si>
  <si>
    <t>AA0731D42369</t>
  </si>
  <si>
    <t>AA0731D46871</t>
  </si>
  <si>
    <t>AA0731D46881</t>
  </si>
  <si>
    <t>AA0731D43309</t>
  </si>
  <si>
    <t>AA0731D30706</t>
  </si>
  <si>
    <t>AA0731D35838</t>
  </si>
  <si>
    <t>AA0731D48253</t>
  </si>
  <si>
    <t>AA0731D48254</t>
  </si>
  <si>
    <t>AA0731D48256</t>
  </si>
  <si>
    <t>AA0731D28320</t>
  </si>
  <si>
    <t>AA0731D35130</t>
  </si>
  <si>
    <t>AA0731D37494</t>
  </si>
  <si>
    <t>AA0731D39983</t>
  </si>
  <si>
    <t>AA0731D40452</t>
  </si>
  <si>
    <t>AA0731D41405</t>
  </si>
  <si>
    <t>AA0731D43230</t>
  </si>
  <si>
    <t>AA0731D45159</t>
  </si>
  <si>
    <t>AA0731D39667</t>
  </si>
  <si>
    <t>AA0731D48335</t>
  </si>
  <si>
    <t>AA0731D49198</t>
  </si>
  <si>
    <t>AA0731D38511</t>
  </si>
  <si>
    <t>AA0731D46790</t>
  </si>
  <si>
    <t>AA0731D46626</t>
  </si>
  <si>
    <t>AA0731D46633</t>
  </si>
  <si>
    <t>AA0731D49083</t>
  </si>
  <si>
    <t>AA0731D48507</t>
  </si>
  <si>
    <t>AA0731D48259</t>
  </si>
  <si>
    <t>AA0731D48334</t>
  </si>
  <si>
    <t>AA0731D49217</t>
  </si>
  <si>
    <t>AA0731D49218</t>
  </si>
  <si>
    <t>AA0731D49219</t>
  </si>
  <si>
    <t>AA0731D49220</t>
  </si>
  <si>
    <t>AA0731D49216</t>
  </si>
  <si>
    <t>AA0731D49243</t>
  </si>
  <si>
    <t>AA0731D49033</t>
  </si>
  <si>
    <t>AA0731D49046</t>
  </si>
  <si>
    <t>AA0731D49084</t>
  </si>
  <si>
    <t>AA0731D49043</t>
  </si>
  <si>
    <t>AA0731D49044</t>
  </si>
  <si>
    <t>AA0731D49040</t>
  </si>
  <si>
    <t>AA0731D49038</t>
  </si>
  <si>
    <t>AA0731D49041</t>
  </si>
  <si>
    <t>AA0731D49042</t>
  </si>
  <si>
    <t>AA0731D49029</t>
  </si>
  <si>
    <t>AA0731D49030</t>
  </si>
  <si>
    <t>AA0731D49031</t>
  </si>
  <si>
    <t>AA0731D49032</t>
  </si>
  <si>
    <t>AA0731D49047</t>
  </si>
  <si>
    <t>AA0731D49048</t>
  </si>
  <si>
    <t>AA0731D49036</t>
  </si>
  <si>
    <t>AA0731D49049</t>
  </si>
  <si>
    <t>AA0731D49171</t>
  </si>
  <si>
    <t>AA0731D49045</t>
  </si>
  <si>
    <t>AA0731D49228</t>
  </si>
  <si>
    <t>AA0731D30632</t>
  </si>
  <si>
    <t>AA0731D30738</t>
  </si>
  <si>
    <t>AA0731D35215</t>
  </si>
  <si>
    <t>AA0731D35753</t>
  </si>
  <si>
    <t>AA0731D38307</t>
  </si>
  <si>
    <t>AA0731D39525</t>
  </si>
  <si>
    <t>AA0731D35774</t>
  </si>
  <si>
    <t>AA0731D36486</t>
  </si>
  <si>
    <t>AA0731D36496</t>
  </si>
  <si>
    <t>AA0731D37345</t>
  </si>
  <si>
    <t>AA0731D38326</t>
  </si>
  <si>
    <t>AA0731D39209</t>
  </si>
  <si>
    <t>AA0731D48119</t>
  </si>
  <si>
    <t>AA0731D39542</t>
  </si>
  <si>
    <t>AA0731D41394</t>
  </si>
  <si>
    <t>AA0731D29629</t>
  </si>
  <si>
    <t>AA0731D38303</t>
  </si>
  <si>
    <t>AA0731D41783</t>
  </si>
  <si>
    <t>AA0731D38317</t>
  </si>
  <si>
    <t>AA0731D39137</t>
  </si>
  <si>
    <t>AA0731D39204</t>
  </si>
  <si>
    <t>AA0731D40205</t>
  </si>
  <si>
    <t>AA0731D41782</t>
  </si>
  <si>
    <t>AA0731D48550</t>
  </si>
  <si>
    <t>AA0731D41785</t>
  </si>
  <si>
    <t>AA0731D44351</t>
  </si>
  <si>
    <t>AA0731D44397</t>
  </si>
  <si>
    <t>AA0731D44402</t>
  </si>
  <si>
    <t>AA0731D48093</t>
  </si>
  <si>
    <t>AA0731D46663</t>
  </si>
  <si>
    <t>AA0731D27271</t>
  </si>
  <si>
    <t>AA0731D46383</t>
  </si>
  <si>
    <t>AA0731D46388</t>
  </si>
  <si>
    <t>AA0731D46625</t>
  </si>
  <si>
    <t>AA0731D46478</t>
  </si>
  <si>
    <t>AA0731D39580</t>
  </si>
  <si>
    <t>AA0731D39841</t>
  </si>
  <si>
    <t>AA0731D46825</t>
  </si>
  <si>
    <t>AA0731D46477</t>
  </si>
  <si>
    <t>AA0731D47220</t>
  </si>
  <si>
    <t>AA0731D46479</t>
  </si>
  <si>
    <t>AA0731D46785</t>
  </si>
  <si>
    <t>AA0731D47221</t>
  </si>
  <si>
    <t>AA0731D47119</t>
  </si>
  <si>
    <t>AA0731D47185</t>
  </si>
  <si>
    <t>AA0731D47118</t>
  </si>
  <si>
    <t>AA0731D47193</t>
  </si>
  <si>
    <t>AA0731D37566</t>
  </si>
  <si>
    <t>AA0731D37433</t>
  </si>
  <si>
    <t>AA0731D37582</t>
  </si>
  <si>
    <t>AA0731D32772</t>
  </si>
  <si>
    <t>AA0731D34580</t>
  </si>
  <si>
    <t>AA0731D37071</t>
  </si>
  <si>
    <t>AA0731D40023</t>
  </si>
  <si>
    <t>AA0731D37844</t>
  </si>
  <si>
    <t>AA0731D36824</t>
  </si>
  <si>
    <t>AA0731D46827</t>
  </si>
  <si>
    <t>AA0731D32997</t>
  </si>
  <si>
    <t>AA0731D34639</t>
  </si>
  <si>
    <t>AA0731D35372</t>
  </si>
  <si>
    <t>AA0731D38534</t>
  </si>
  <si>
    <t>AA0731D37069</t>
  </si>
  <si>
    <t>AA0731D37437</t>
  </si>
  <si>
    <t>AA0731D37575</t>
  </si>
  <si>
    <t>AA0731D37577</t>
  </si>
  <si>
    <t>AA0731D38506</t>
  </si>
  <si>
    <t>AA0731D39468</t>
  </si>
  <si>
    <t>AA0731D39573</t>
  </si>
  <si>
    <t>AA0731D39585</t>
  </si>
  <si>
    <t>AA0731D40362</t>
  </si>
  <si>
    <t>AA0731D40368</t>
  </si>
  <si>
    <t>AA0731D46628</t>
  </si>
  <si>
    <t>AA0731D32422</t>
  </si>
  <si>
    <t>AA0731D34028</t>
  </si>
  <si>
    <t>AA0731D36096</t>
  </si>
  <si>
    <t>AA0731D36340</t>
  </si>
  <si>
    <t>AA0731D30080</t>
  </si>
  <si>
    <t>AA0731D33739</t>
  </si>
  <si>
    <t>AA0731D37085</t>
  </si>
  <si>
    <t>AA0731D40073</t>
  </si>
  <si>
    <t>AA0731D46824</t>
  </si>
  <si>
    <t>AA0731D35973</t>
  </si>
  <si>
    <t>AA0731D49247</t>
  </si>
  <si>
    <t>AA0731D49248</t>
  </si>
  <si>
    <t>AA0731D49249</t>
  </si>
  <si>
    <t>AA0731D49267</t>
  </si>
  <si>
    <t>AA0731D49268</t>
  </si>
  <si>
    <t>AA0731D49269</t>
  </si>
  <si>
    <t>AA0731D49270</t>
  </si>
  <si>
    <t>AA0731D49271</t>
  </si>
  <si>
    <t>AA0731D48676</t>
  </si>
  <si>
    <t>AA0731D48694</t>
  </si>
  <si>
    <t>AA0731D48696</t>
  </si>
  <si>
    <t>AA0731D48697</t>
  </si>
  <si>
    <t>AA0731D48698</t>
  </si>
  <si>
    <t>AA0731D48699</t>
  </si>
  <si>
    <t>AA0731D48705</t>
  </si>
  <si>
    <t>AA0731D48706</t>
  </si>
  <si>
    <t>AA0731D48708</t>
  </si>
  <si>
    <t>AA0731D48710</t>
  </si>
  <si>
    <t>AA0731D48712</t>
  </si>
  <si>
    <t>AA0731D48713</t>
  </si>
  <si>
    <t>AA0731D48714</t>
  </si>
  <si>
    <t>AA0731D48766</t>
  </si>
  <si>
    <t>AA0731D48700</t>
  </si>
  <si>
    <t>AA0731D48702</t>
  </si>
  <si>
    <t>AA0731D48704</t>
  </si>
  <si>
    <t>AA0731D48715</t>
  </si>
  <si>
    <t>AA0731D48716</t>
  </si>
  <si>
    <t>AA0731D48750</t>
  </si>
  <si>
    <t>AA0731D48751</t>
  </si>
  <si>
    <t>AA0731D48753</t>
  </si>
  <si>
    <t>AA0731D48758</t>
  </si>
  <si>
    <t>AA0731D48759</t>
  </si>
  <si>
    <t>AA0731D48765</t>
  </si>
  <si>
    <t>AA0731D48767</t>
  </si>
  <si>
    <t>AA0731D48755</t>
  </si>
  <si>
    <t>AA0731D48756</t>
  </si>
  <si>
    <t>AA0731D48757</t>
  </si>
  <si>
    <t>AA0731D48810</t>
  </si>
  <si>
    <t>AA0731D48811</t>
  </si>
  <si>
    <t>AA0731D48760</t>
  </si>
  <si>
    <t>AA0731D48762</t>
  </si>
  <si>
    <t>AA0731D48763</t>
  </si>
  <si>
    <t>AA0731D48812</t>
  </si>
  <si>
    <t>AA0731D48813</t>
  </si>
  <si>
    <t>AA0731D48768</t>
  </si>
  <si>
    <t>AA0731D48769</t>
  </si>
  <si>
    <t>AA0731D48794</t>
  </si>
  <si>
    <t>AA0731D48809</t>
  </si>
  <si>
    <t>AA0731D47850</t>
  </si>
  <si>
    <t>AA0731D48473</t>
  </si>
  <si>
    <t>AA0731D48835</t>
  </si>
  <si>
    <t>AA0731D48836</t>
  </si>
  <si>
    <t>AA0731D48837</t>
  </si>
  <si>
    <t>AA0731D48838</t>
  </si>
  <si>
    <t>AA0731D48840</t>
  </si>
  <si>
    <t>AA0731D48841</t>
  </si>
  <si>
    <t>AA0731D48842</t>
  </si>
  <si>
    <t>AA0731D48843</t>
  </si>
  <si>
    <t>AA0731D48860</t>
  </si>
  <si>
    <t>AA0731D48861</t>
  </si>
  <si>
    <t>AA0731D48862</t>
  </si>
  <si>
    <t>AA0731D48863</t>
  </si>
  <si>
    <t>AA0731D48893</t>
  </si>
  <si>
    <t>AA0731D48894</t>
  </si>
  <si>
    <t>AA0731D48895</t>
  </si>
  <si>
    <t>AA0731D48899</t>
  </si>
  <si>
    <t>AA0731D48948</t>
  </si>
  <si>
    <t>AA0731D48956</t>
  </si>
  <si>
    <t>AA0731D48957</t>
  </si>
  <si>
    <t>AA0731D48958</t>
  </si>
  <si>
    <t>AA0731D48982</t>
  </si>
  <si>
    <t>AA0731D49064</t>
  </si>
  <si>
    <t>AA0731D31572</t>
  </si>
  <si>
    <t>AA0731D31816</t>
  </si>
  <si>
    <t>AA0731D32141</t>
  </si>
  <si>
    <t>AA0731D33946</t>
  </si>
  <si>
    <t>AA0731D35002</t>
  </si>
  <si>
    <t>AA0731D36912</t>
  </si>
  <si>
    <t>AA0731D38487</t>
  </si>
  <si>
    <t>AA0731D46497</t>
  </si>
  <si>
    <t>AA0731D49284</t>
  </si>
  <si>
    <t>AA0731D49299</t>
  </si>
  <si>
    <t>AA0731D49300</t>
  </si>
  <si>
    <t>AA0731D30434</t>
  </si>
  <si>
    <t>AA0731D34595</t>
  </si>
  <si>
    <t>AA0731D34599</t>
  </si>
  <si>
    <t>AA0731D34628</t>
  </si>
  <si>
    <t>AA0731D35681</t>
  </si>
  <si>
    <t>AA0731D37332</t>
  </si>
  <si>
    <t>AA0731D37342</t>
  </si>
  <si>
    <t>AA0731D39140</t>
  </si>
  <si>
    <t>AA0731D40445</t>
  </si>
  <si>
    <t>AA0731D41778</t>
  </si>
  <si>
    <t>AA0731D43185</t>
  </si>
  <si>
    <t>AA0731D45384</t>
  </si>
  <si>
    <t>AA0731D46816</t>
  </si>
  <si>
    <t>AA0731D37334</t>
  </si>
  <si>
    <t>AA0731D37337</t>
  </si>
  <si>
    <t>AA0731D39676</t>
  </si>
  <si>
    <t>AA0731D38078</t>
  </si>
  <si>
    <t>AA0731D38314</t>
  </si>
  <si>
    <t>AA0731D39539</t>
  </si>
  <si>
    <t>AA0731D39889</t>
  </si>
  <si>
    <t>AA0731D43169</t>
  </si>
  <si>
    <t>AA0731D38305</t>
  </si>
  <si>
    <t>AA0731D30583</t>
  </si>
  <si>
    <t>AA0731D41399</t>
  </si>
  <si>
    <t>AA0731D38083</t>
  </si>
  <si>
    <t>AA0731D38080</t>
  </si>
  <si>
    <t>AA0731D45385</t>
  </si>
  <si>
    <t>AA0731D41773</t>
  </si>
  <si>
    <t>AA0731D35758</t>
  </si>
  <si>
    <t>AA0731D37029</t>
  </si>
  <si>
    <t>AA0731D44354</t>
  </si>
  <si>
    <t>AA0731D41400</t>
  </si>
  <si>
    <t>AA0731D42674</t>
  </si>
  <si>
    <t>AA0731D43380</t>
  </si>
  <si>
    <t>AA0731D39141</t>
  </si>
  <si>
    <t>AA0731D42666</t>
  </si>
  <si>
    <t>AA0731D39891</t>
  </si>
  <si>
    <t>AA0731D39202</t>
  </si>
  <si>
    <t>AA0731D49035</t>
  </si>
  <si>
    <t>AA0731D49037</t>
  </si>
  <si>
    <t>AA0731D30762</t>
  </si>
  <si>
    <t>AA0731D30421</t>
  </si>
  <si>
    <t>AA0731D34596</t>
  </si>
  <si>
    <t>AA0731D48120</t>
  </si>
  <si>
    <t>AA0731D39781</t>
  </si>
  <si>
    <t>AA0731D43740</t>
  </si>
  <si>
    <t>AA0731D41428</t>
  </si>
  <si>
    <t>AA0731D48549</t>
  </si>
  <si>
    <t>AA0731D33253</t>
  </si>
  <si>
    <t>AA0731D34610</t>
  </si>
  <si>
    <t>AA0731D43738</t>
  </si>
  <si>
    <t>AA0731D38329</t>
  </si>
  <si>
    <t>AA0731D48543</t>
  </si>
  <si>
    <t>AA0731D43764</t>
  </si>
  <si>
    <t>AA0731D48277</t>
  </si>
  <si>
    <t>AA0731D48280</t>
  </si>
  <si>
    <t>AA0731D47693</t>
  </si>
  <si>
    <t>AA0731D48506</t>
  </si>
  <si>
    <t>AA0731D48482</t>
  </si>
  <si>
    <t>AA0731D48388</t>
  </si>
  <si>
    <t>AA0731D47777</t>
  </si>
  <si>
    <t>AA0731D48276</t>
  </si>
  <si>
    <t>AA0731D36153</t>
  </si>
  <si>
    <t>AA0731D36319</t>
  </si>
  <si>
    <t>AA0731D36384</t>
  </si>
  <si>
    <t>AA0731D36714</t>
  </si>
  <si>
    <t>AA0731D36715</t>
  </si>
  <si>
    <t>AA0731D36717</t>
  </si>
  <si>
    <t>AA0731D36966</t>
  </si>
  <si>
    <t>AA0731D37443</t>
  </si>
  <si>
    <t>AA0731D41710</t>
  </si>
  <si>
    <t>AA0731D41989</t>
  </si>
  <si>
    <t>AA0731D43374</t>
  </si>
  <si>
    <t>AA0731D44426</t>
  </si>
  <si>
    <t>AA0731D45231</t>
  </si>
  <si>
    <t>AA0731D45262</t>
  </si>
  <si>
    <t>AA0731D45519</t>
  </si>
  <si>
    <t>AA0731D45564</t>
  </si>
  <si>
    <t>AA0731D45854</t>
  </si>
  <si>
    <t>AA0731D32787</t>
  </si>
  <si>
    <t>AA0731D33626</t>
  </si>
  <si>
    <t>AA0731D48896</t>
  </si>
  <si>
    <t>AA0731D33621</t>
  </si>
  <si>
    <t>AA0731D47773</t>
  </si>
  <si>
    <t>AA0731D47798</t>
  </si>
  <si>
    <t>AA0731D47799</t>
  </si>
  <si>
    <t>AA0731D47800</t>
  </si>
  <si>
    <t>AA0731D47868</t>
  </si>
  <si>
    <t>AA0731D47947</t>
  </si>
  <si>
    <t>AA0731D47948</t>
  </si>
  <si>
    <t>AA0731D47967</t>
  </si>
  <si>
    <t>AA0731D43736</t>
  </si>
  <si>
    <t>AA0731D39538</t>
  </si>
  <si>
    <t>AA0731D42678</t>
  </si>
  <si>
    <t>AA0731D43383</t>
  </si>
  <si>
    <t>AA0731D39779</t>
  </si>
  <si>
    <t>AA0731D43372</t>
  </si>
  <si>
    <t>AA0731D40266</t>
  </si>
  <si>
    <t>AA0731D43371</t>
  </si>
  <si>
    <t>AA0731D43376</t>
  </si>
  <si>
    <t>AA0731D46833</t>
  </si>
  <si>
    <t>AA0731D32698</t>
  </si>
  <si>
    <t>AA0731D32921</t>
  </si>
  <si>
    <t>AA0731D33106</t>
  </si>
  <si>
    <t>AA0731D36143</t>
  </si>
  <si>
    <t>AA0731D36807</t>
  </si>
  <si>
    <t>AA0731D36967</t>
  </si>
  <si>
    <t>AA0731D37825</t>
  </si>
  <si>
    <t>AA0731D44115</t>
  </si>
  <si>
    <t>AA0731D44150</t>
  </si>
  <si>
    <t>AA0731D37350</t>
  </si>
  <si>
    <t>AA0731D37351</t>
  </si>
  <si>
    <t>AA0731D37416</t>
  </si>
  <si>
    <t>AA0731D37824</t>
  </si>
  <si>
    <t>AA0731D44564</t>
  </si>
  <si>
    <t>AA0731D44715</t>
  </si>
  <si>
    <t>AA0731D41361</t>
  </si>
  <si>
    <t>AA0731D43466</t>
  </si>
  <si>
    <t>AA0731D43529</t>
  </si>
  <si>
    <t>AA0731D43961</t>
  </si>
  <si>
    <t>AA0731D38288</t>
  </si>
  <si>
    <t>AA0731D42580</t>
  </si>
  <si>
    <t>AA0731D42411</t>
  </si>
  <si>
    <t>AA0731D48900</t>
  </si>
  <si>
    <t>AA0731D48915</t>
  </si>
  <si>
    <t>AA0731D47141</t>
  </si>
  <si>
    <t>AA0731D48000</t>
  </si>
  <si>
    <t>AA0731D47178</t>
  </si>
  <si>
    <t>AA0731D47477</t>
  </si>
  <si>
    <t>AA0731D47895</t>
  </si>
  <si>
    <t>AA0731D47896</t>
  </si>
  <si>
    <t>AA0731D47974</t>
  </si>
  <si>
    <t>AA0731D48924</t>
  </si>
  <si>
    <t>AA0731D48918</t>
  </si>
  <si>
    <t>AA0731D48919</t>
  </si>
  <si>
    <t>AA0731D48921</t>
  </si>
  <si>
    <t>AA0731D28900</t>
  </si>
  <si>
    <t>AA0731D39966</t>
  </si>
  <si>
    <t>AA0731D37916</t>
  </si>
  <si>
    <t>AA0731D31934</t>
  </si>
  <si>
    <t>AA0731D37879</t>
  </si>
  <si>
    <t>AA0731D27980</t>
  </si>
  <si>
    <t>AA0731D31750</t>
  </si>
  <si>
    <t>AA0731D33998</t>
  </si>
  <si>
    <t>AA0731D34115</t>
  </si>
  <si>
    <t>AA0731D41191</t>
  </si>
  <si>
    <t>AA0731D46491</t>
  </si>
  <si>
    <t>AA0731D44160</t>
  </si>
  <si>
    <t>AA0731D42081</t>
  </si>
  <si>
    <t>AA0731D49097</t>
  </si>
  <si>
    <t>AA0731D49093</t>
  </si>
  <si>
    <t>AA0731D49094</t>
  </si>
  <si>
    <t>AA0731D49095</t>
  </si>
  <si>
    <t>AA0731D49096</t>
  </si>
  <si>
    <t>AA0731D49106</t>
  </si>
  <si>
    <t>AA0731D49107</t>
  </si>
  <si>
    <t>AA0731D49098</t>
  </si>
  <si>
    <t>AA0731D49099</t>
  </si>
  <si>
    <t>AA0731D49100</t>
  </si>
  <si>
    <t>AA0731D49103</t>
  </si>
  <si>
    <t>AA0731D49104</t>
  </si>
  <si>
    <t>AA0731D49105</t>
  </si>
  <si>
    <t>AA0731D48844</t>
  </si>
  <si>
    <t>AA0731D49140</t>
  </si>
  <si>
    <t>AA0731D49141</t>
  </si>
  <si>
    <t>AA0731D49142</t>
  </si>
  <si>
    <t>AA0731D49143</t>
  </si>
  <si>
    <t>AA0731D49134</t>
  </si>
  <si>
    <t>AA0731D49135</t>
  </si>
  <si>
    <t>AA0731D49136</t>
  </si>
  <si>
    <t>AA0731D49137</t>
  </si>
  <si>
    <t>AA0731D49138</t>
  </si>
  <si>
    <t>AA0731D49139</t>
  </si>
  <si>
    <t>AA0731D49146</t>
  </si>
  <si>
    <t>AA0731D49147</t>
  </si>
  <si>
    <t>AA0731D49150</t>
  </si>
  <si>
    <t>AA0731D34053</t>
  </si>
  <si>
    <t>AA0731D34268</t>
  </si>
  <si>
    <t>AA0731D35631</t>
  </si>
  <si>
    <t>AA0731D37276</t>
  </si>
  <si>
    <t>AA0731D37279</t>
  </si>
  <si>
    <t>AA0731D38120</t>
  </si>
  <si>
    <t>AA0731D42420</t>
  </si>
  <si>
    <t>AA0731D42438</t>
  </si>
  <si>
    <t>AA0731D42475</t>
  </si>
  <si>
    <t>AA0731D42513</t>
  </si>
  <si>
    <t>AA0731D42574</t>
  </si>
  <si>
    <t>AA0731D45222</t>
  </si>
  <si>
    <t>AA0731D45928</t>
  </si>
  <si>
    <t>AA0731D46759</t>
  </si>
  <si>
    <t>AA0731D38129</t>
  </si>
  <si>
    <t>AA0731D49028</t>
  </si>
  <si>
    <t>AA0731D49034</t>
  </si>
  <si>
    <t>AA0731D32957</t>
  </si>
  <si>
    <t>AA0731D40753</t>
  </si>
  <si>
    <t>AA0731D39599</t>
  </si>
  <si>
    <t>AA0731D40265</t>
  </si>
  <si>
    <t>AA0731D30045</t>
  </si>
  <si>
    <t>AA0731D36434</t>
  </si>
  <si>
    <t>AA0731D42907</t>
  </si>
  <si>
    <t>AA0731D45158</t>
  </si>
  <si>
    <t>AA0731D46101</t>
  </si>
  <si>
    <t>AA0731D40750</t>
  </si>
  <si>
    <t>AA0731D38433</t>
  </si>
  <si>
    <t>AA0731D45160</t>
  </si>
  <si>
    <t>AA0731D45161</t>
  </si>
  <si>
    <t>AA0731D32160</t>
  </si>
  <si>
    <t>AA0731D37497</t>
  </si>
  <si>
    <t>AA0731D40262</t>
  </si>
  <si>
    <t>AA0731D40744</t>
  </si>
  <si>
    <t>AA0731D38550</t>
  </si>
  <si>
    <t>AA0731D40726</t>
  </si>
  <si>
    <t>AA0731D35310</t>
  </si>
  <si>
    <t>AA0731D42919</t>
  </si>
  <si>
    <t>AA0731D43031</t>
  </si>
  <si>
    <t>AA0731D42915</t>
  </si>
  <si>
    <t>AA0731D43040</t>
  </si>
  <si>
    <t>AA0731D43225</t>
  </si>
  <si>
    <t>AA0731D40755</t>
  </si>
  <si>
    <t>AA0731D42906</t>
  </si>
  <si>
    <t>AA0731D43229</t>
  </si>
  <si>
    <t>AA0731D45152</t>
  </si>
  <si>
    <t>AA0731D45990</t>
  </si>
  <si>
    <t>AA0731D46426</t>
  </si>
  <si>
    <t>AA0731D46438</t>
  </si>
  <si>
    <t>AA0731D46000</t>
  </si>
  <si>
    <t>AA0731D46007</t>
  </si>
  <si>
    <t>AA0731D46367</t>
  </si>
  <si>
    <t>AA0731D46368</t>
  </si>
  <si>
    <t>AA0731D45998</t>
  </si>
  <si>
    <t>AA0731D46375</t>
  </si>
  <si>
    <t>AA0731D46975</t>
  </si>
  <si>
    <t>AA0731D40463</t>
  </si>
  <si>
    <t>AA0731D45992</t>
  </si>
  <si>
    <t>AA0731D45994</t>
  </si>
  <si>
    <t>AA0731D45995</t>
  </si>
  <si>
    <t>AA0731D46025</t>
  </si>
  <si>
    <t>AA0731D46377</t>
  </si>
  <si>
    <t>AA0731D46009</t>
  </si>
  <si>
    <t>AA0731D46022</t>
  </si>
  <si>
    <t>AA0731D46966</t>
  </si>
  <si>
    <t>AA0731D46974</t>
  </si>
  <si>
    <t>AA0731D29630</t>
  </si>
  <si>
    <t>AA0731D40739</t>
  </si>
  <si>
    <t>AA0731D41425</t>
  </si>
  <si>
    <t>AA0731D42911</t>
  </si>
  <si>
    <t>AA0731D40732</t>
  </si>
  <si>
    <t>AA0731D40737</t>
  </si>
  <si>
    <t>AA0731D43233</t>
  </si>
  <si>
    <t>AA0731D42952</t>
  </si>
  <si>
    <t>AA0731D31406</t>
  </si>
  <si>
    <t>AA0731D32955</t>
  </si>
  <si>
    <t>AA0731D41409</t>
  </si>
  <si>
    <t>AA0731D45986</t>
  </si>
  <si>
    <t>AA0731D33219</t>
  </si>
  <si>
    <t>AA0731D31414</t>
  </si>
  <si>
    <t>AA0731D49186</t>
  </si>
  <si>
    <t>AA0731D49187</t>
  </si>
  <si>
    <t>AA0731D49188</t>
  </si>
  <si>
    <t>AA0731D49190</t>
  </si>
  <si>
    <t>AA0731D49189</t>
  </si>
  <si>
    <t>AA0731D49176</t>
  </si>
  <si>
    <t>AA0731D49177</t>
  </si>
  <si>
    <t>AA0731D49178</t>
  </si>
  <si>
    <t>AA0731D49179</t>
  </si>
  <si>
    <t>AA0731D49180</t>
  </si>
  <si>
    <t>AA0731D49181</t>
  </si>
  <si>
    <t>AA0731D49182</t>
  </si>
  <si>
    <t>AA0731D49183</t>
  </si>
  <si>
    <t>AA0731D49184</t>
  </si>
  <si>
    <t>AA0731D49185</t>
  </si>
  <si>
    <t>AA0731D49172</t>
  </si>
  <si>
    <t>AA0731D49173</t>
  </si>
  <si>
    <t>AA0731D49174</t>
  </si>
  <si>
    <t>AA0731D49175</t>
  </si>
  <si>
    <t>AA0731D49196</t>
  </si>
  <si>
    <t>AA0731D45996</t>
  </si>
  <si>
    <t>AA0731D46006</t>
  </si>
  <si>
    <t>AA0731D46372</t>
  </si>
  <si>
    <t>AA0731D46971</t>
  </si>
  <si>
    <t>AA0731D46980</t>
  </si>
  <si>
    <t>AA0731D46440</t>
  </si>
  <si>
    <t>AA0731D46441</t>
  </si>
  <si>
    <t>AA0731D46962</t>
  </si>
  <si>
    <t>AA0731D46963</t>
  </si>
  <si>
    <t>AA0731D46977</t>
  </si>
  <si>
    <t>AA0731D28942</t>
  </si>
  <si>
    <t>AA0731D40447</t>
  </si>
  <si>
    <t>AA0731D42899</t>
  </si>
  <si>
    <t>AA0731D42901</t>
  </si>
  <si>
    <t>AA0731D42905</t>
  </si>
  <si>
    <t>AA0731D42909</t>
  </si>
  <si>
    <t>AA0731D42920</t>
  </si>
  <si>
    <t>AA0731D45150</t>
  </si>
  <si>
    <t>AA0731D42918</t>
  </si>
  <si>
    <t>AA0731D45997</t>
  </si>
  <si>
    <t>AA0731D46026</t>
  </si>
  <si>
    <t>AA0731D46985</t>
  </si>
  <si>
    <t>AA0731D46008</t>
  </si>
  <si>
    <t>AA0731D46976</t>
  </si>
  <si>
    <t>AA0731D46108</t>
  </si>
  <si>
    <t>AA0731D48257</t>
  </si>
  <si>
    <t>AA0731D34796</t>
  </si>
  <si>
    <t>AA0731D40258</t>
  </si>
  <si>
    <t>AA0731D48264</t>
  </si>
  <si>
    <t>AA0731D42922</t>
  </si>
  <si>
    <t>AA0731D43023</t>
  </si>
  <si>
    <t>AA0731D45377</t>
  </si>
  <si>
    <t>AA0731D29809</t>
  </si>
  <si>
    <t>AA0731D32200</t>
  </si>
  <si>
    <t>AA0731D32546</t>
  </si>
  <si>
    <t>AA0731D40003</t>
  </si>
  <si>
    <t>AA0731D41414</t>
  </si>
  <si>
    <t>AA0731D42897</t>
  </si>
  <si>
    <t>AA0731D35538</t>
  </si>
  <si>
    <t>AA0731D35950</t>
  </si>
  <si>
    <t>AA0731D43240</t>
  </si>
  <si>
    <t>AA0731D45156</t>
  </si>
  <si>
    <t>AA0731D40013</t>
  </si>
  <si>
    <t>AA0731D41413</t>
  </si>
  <si>
    <t>AA0731D48261</t>
  </si>
  <si>
    <t>AA0731D42923</t>
  </si>
  <si>
    <t>AA0731D35172</t>
  </si>
  <si>
    <t>AA0731D35522</t>
  </si>
  <si>
    <t>AA0731D39996</t>
  </si>
  <si>
    <t>AA0731D37036</t>
  </si>
  <si>
    <t>AA0731D39992</t>
  </si>
  <si>
    <t>AA0731D40430</t>
  </si>
  <si>
    <t>AA0731D43064</t>
  </si>
  <si>
    <t>AA0731D48267</t>
  </si>
  <si>
    <t>AA0731D39998</t>
  </si>
  <si>
    <t>AA0731D43236</t>
  </si>
  <si>
    <t>CC0731D0401</t>
  </si>
  <si>
    <t>Labels</t>
  </si>
  <si>
    <t>Counts</t>
  </si>
  <si>
    <t>Percentage</t>
  </si>
  <si>
    <t>Issue Resolution</t>
  </si>
  <si>
    <t>Complete and Accurate Information</t>
  </si>
  <si>
    <t>Call Handling Efficiency</t>
  </si>
  <si>
    <t>Communication</t>
  </si>
  <si>
    <t>Empathy</t>
  </si>
  <si>
    <t>Courtesy</t>
  </si>
  <si>
    <t>Pareto Chart – built from Pareto sheet (Labels/Counts/Cumulative %)</t>
  </si>
  <si>
    <t>Month</t>
  </si>
  <si>
    <t>Service Level</t>
  </si>
  <si>
    <t>Target</t>
  </si>
  <si>
    <t>Nov</t>
  </si>
  <si>
    <t>Dec</t>
  </si>
  <si>
    <t>Jan</t>
  </si>
  <si>
    <t>Feb</t>
  </si>
  <si>
    <t>Mar</t>
  </si>
  <si>
    <t>Apr</t>
  </si>
  <si>
    <t>May</t>
  </si>
  <si>
    <t>Jun</t>
  </si>
  <si>
    <t>Jul</t>
  </si>
  <si>
    <t>Aug</t>
  </si>
  <si>
    <t>Sept</t>
  </si>
  <si>
    <t>Oct</t>
  </si>
  <si>
    <t>IDs</t>
  </si>
  <si>
    <t xml:space="preserve"> TPH </t>
  </si>
  <si>
    <t xml:space="preserve"> TPH Target</t>
  </si>
  <si>
    <t>Bin (TPH range)</t>
  </si>
  <si>
    <t>Frequency</t>
  </si>
  <si>
    <t>achauh36@XYZ.com</t>
  </si>
  <si>
    <t>0.0 - 1.6</t>
  </si>
  <si>
    <t>adabra1@XYZ.com</t>
  </si>
  <si>
    <t>1.6 - 3.3</t>
  </si>
  <si>
    <t>kkumar149@XYZ.com</t>
  </si>
  <si>
    <t>3.3 - 4.9</t>
  </si>
  <si>
    <t>lupadh@XYZ.com</t>
  </si>
  <si>
    <t>4.9 - 6.5</t>
  </si>
  <si>
    <t>mriyan@XYZ.com</t>
  </si>
  <si>
    <t>6.5 - 8.2</t>
  </si>
  <si>
    <t>mroman6@XYZ.com</t>
  </si>
  <si>
    <t>8.2 - 9.8</t>
  </si>
  <si>
    <t>pshakt@XYZ.com</t>
  </si>
  <si>
    <t>9.8 - 11.4</t>
  </si>
  <si>
    <t>pvaish5@XYZ.com</t>
  </si>
  <si>
    <t>11.4 - 13.0</t>
  </si>
  <si>
    <t>rraghu11@XYZ.com</t>
  </si>
  <si>
    <t>vdabra@XYZ.com</t>
  </si>
  <si>
    <t>vgurja4@XYZ.com</t>
  </si>
  <si>
    <t>nniraj1@XYZ.com</t>
  </si>
  <si>
    <t>ksingh178@XYZ.com</t>
  </si>
  <si>
    <t>nyanth@XYZ.com</t>
  </si>
  <si>
    <t>nakele@XYZ.com</t>
  </si>
  <si>
    <t>nhasda@XYZ.com</t>
  </si>
  <si>
    <t>rrobin7@XYZ.com</t>
  </si>
  <si>
    <t>nbidya@XYZ.com</t>
  </si>
  <si>
    <t>apal28@XYZ.com</t>
  </si>
  <si>
    <t>pchauh20@XYZ.com</t>
  </si>
  <si>
    <t>thussa7@XYZ.com</t>
  </si>
  <si>
    <t>sgaur11@XYZ.com</t>
  </si>
  <si>
    <t>bsharm44@XYZ.com</t>
  </si>
  <si>
    <t>csingh33@XYZ.com</t>
  </si>
  <si>
    <t>pastha@XYZ.com</t>
  </si>
  <si>
    <t>spardh1@XYZ.com</t>
  </si>
  <si>
    <t>schhet4@XYZ.com</t>
  </si>
  <si>
    <t>rkath@XYZ.com</t>
  </si>
  <si>
    <t>nssumi@XYZ.com</t>
  </si>
  <si>
    <t>rsharm190@XYZ.com</t>
  </si>
  <si>
    <t>hkhato1@XYZ.com</t>
  </si>
  <si>
    <t>ddubey6@XYZ.com</t>
  </si>
  <si>
    <t>hjoshi7@XYZ.com</t>
  </si>
  <si>
    <t>mronal@XYZ.com</t>
  </si>
  <si>
    <t>rjangi6@XYZ.com</t>
  </si>
  <si>
    <t>nsharm130@XYZ.com</t>
  </si>
  <si>
    <t>mchoud15@XYZ.com</t>
  </si>
  <si>
    <t>amarak1@XYZ.com</t>
  </si>
  <si>
    <t>pchakr8@XYZ.com</t>
  </si>
  <si>
    <t>knewma@XYZ.com</t>
  </si>
  <si>
    <t>bkhana@XYZ.com</t>
  </si>
  <si>
    <t>sjain70@XYZ.com</t>
  </si>
  <si>
    <t>vthaku30@XYZ.com</t>
  </si>
  <si>
    <t>sa26@XYZ.com</t>
  </si>
  <si>
    <t>aahmed87@XYZ.com</t>
  </si>
  <si>
    <t>a48@XYZ.com</t>
  </si>
  <si>
    <t>j7@XYZ.com</t>
  </si>
  <si>
    <t>ylalwa@XYZ.com</t>
  </si>
  <si>
    <t>b3@XYZ.com</t>
  </si>
  <si>
    <t>pbadla@XYZ.com</t>
  </si>
  <si>
    <t>sdevi24@XYZ.com</t>
  </si>
  <si>
    <t>kthaku18@XYZ.com</t>
  </si>
  <si>
    <t>dsriva6@XYZ.com</t>
  </si>
  <si>
    <t>asarka15@XYZ.com</t>
  </si>
  <si>
    <t>apuroh5@XYZ.com</t>
  </si>
  <si>
    <t>pkumaw3@XYZ.com</t>
  </si>
  <si>
    <t>amech1@XYZ.com</t>
  </si>
  <si>
    <t>ndebna1@XYZ.com</t>
  </si>
  <si>
    <t>ayimch@XYZ.com</t>
  </si>
  <si>
    <t>vkhatr1@XYZ.com</t>
  </si>
  <si>
    <t>kkuba1@XYZ.com</t>
  </si>
  <si>
    <t>kkanga1@XYZ.com</t>
  </si>
  <si>
    <t>limson@XYZ.com</t>
  </si>
  <si>
    <t>csisod@XYZ.com</t>
  </si>
  <si>
    <t>ssalee14@XYZ.com</t>
  </si>
  <si>
    <t>arajpu29@XYZ.com</t>
  </si>
  <si>
    <t>mringk@XYZ.com</t>
  </si>
  <si>
    <t>vvasht@XYZ.com</t>
  </si>
  <si>
    <t>sshaw4@XYZ.com</t>
  </si>
  <si>
    <t>skhidi@XYZ.com</t>
  </si>
  <si>
    <t>pjawah@XYZ.com</t>
  </si>
  <si>
    <t>slodha1@XYZ.com</t>
  </si>
  <si>
    <t>ksingh185@XYZ.com</t>
  </si>
  <si>
    <t>rshriv7@XYZ.com</t>
  </si>
  <si>
    <t>blimbu1@XYZ.com</t>
  </si>
  <si>
    <t>hsoman1@XYZ.com</t>
  </si>
  <si>
    <t>nkumar227@XYZ.com</t>
  </si>
  <si>
    <t>dsharm88@XYZ.com</t>
  </si>
  <si>
    <t>rkumar413@XYZ.com</t>
  </si>
  <si>
    <t>rsharm192@XYZ.com</t>
  </si>
  <si>
    <t>nkabi@XYZ.com</t>
  </si>
  <si>
    <t>rahuja1@XYZ.com</t>
  </si>
  <si>
    <t>kroy3@XYZ.com</t>
  </si>
  <si>
    <t>kratho19@XYZ.com</t>
  </si>
  <si>
    <t>ameel@XYZ.com</t>
  </si>
  <si>
    <t>nkumar236@XYZ.com</t>
  </si>
  <si>
    <t>kkumar185@XYZ.com</t>
  </si>
  <si>
    <t>ssonal10@XYZ.com</t>
  </si>
  <si>
    <t>mzeesh19@XYZ.com</t>
  </si>
  <si>
    <t>akumar744@XYZ.com</t>
  </si>
  <si>
    <t>jkhan32@XYZ.com</t>
  </si>
  <si>
    <t>rsingh296@XYZ.com</t>
  </si>
  <si>
    <t>skasam@XYZ.com</t>
  </si>
  <si>
    <t>rkumar431@XYZ.com</t>
  </si>
  <si>
    <t>ckumar49@XYZ.com</t>
  </si>
  <si>
    <t>kkumar186@XYZ.com</t>
  </si>
  <si>
    <t>msharm142@XYZ.com</t>
  </si>
  <si>
    <t>jpraka6@XYZ.com</t>
  </si>
  <si>
    <t>jr9@XYZ.com</t>
  </si>
  <si>
    <t>Week</t>
  </si>
  <si>
    <t>LOB</t>
  </si>
  <si>
    <t>ACCM</t>
  </si>
  <si>
    <t>1 star%</t>
  </si>
  <si>
    <t>Select LOB:</t>
  </si>
  <si>
    <t>Consumer|Acc_EM</t>
  </si>
  <si>
    <t>Sandeep Kumar</t>
  </si>
  <si>
    <t>Quick pick:</t>
  </si>
  <si>
    <t>Rider|Eats Trip_EM</t>
  </si>
  <si>
    <t>SUMAN JOSEPH</t>
  </si>
  <si>
    <t>Gulshan Sirkeck</t>
  </si>
  <si>
    <t>Filtered Weekly Summary (driven by Select LOB above)</t>
  </si>
  <si>
    <t>TPH</t>
  </si>
  <si>
    <t>Agent</t>
  </si>
  <si>
    <t>Avg TPH</t>
  </si>
  <si>
    <t>VBA code to paste:</t>
  </si>
  <si>
    <t>Sub SetLOB_Consumer()</t>
  </si>
  <si>
    <t xml:space="preserve">    Sheets("Graphical Presentation").Range("I1").Value = "Consumer|Acc_EM"</t>
  </si>
  <si>
    <t>End Sub</t>
  </si>
  <si>
    <t>Sub SetLOB_Rider()</t>
  </si>
  <si>
    <t xml:space="preserve">    Sheets("Graphical Presentation").Range("I1").Value = "Rider|Eats Trip_EM"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</si>
</sst>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mmmmm\-yy;@"/>
    <numFmt numFmtId="165" formatCode="d\-mmm\-yy"/>
  </numFmts>
  <fonts count="20" x14ac:knownFonts="1">
    <font>
      <sz val="11"/>
      <color theme="1"/>
      <name val="Calibri"/>
      <family val="2"/>
      <charset val="1"/>
    </font>
    <font>
      <sz val="8"/>
      <color theme="1"/>
      <name val="Calibri"/>
      <family val="2"/>
      <charset val="1"/>
    </font>
    <font>
      <b/>
      <sz val="8"/>
      <color theme="1"/>
      <name val="Calibri"/>
      <family val="2"/>
      <charset val="1"/>
    </font>
    <font>
      <b/>
      <sz val="8"/>
      <color rgb="FFFFFFFF"/>
      <name val="Calibri"/>
      <family val="2"/>
      <charset val="1"/>
    </font>
    <font>
      <sz val="8"/>
      <color rgb="FF000000"/>
      <name val="Calibri"/>
      <family val="2"/>
      <charset val="1"/>
    </font>
    <font>
      <sz val="8"/>
      <color rgb="FF171F43"/>
      <name val="Calibri"/>
      <family val="2"/>
      <charset val="1"/>
    </font>
    <font>
      <sz val="11"/>
      <color theme="0"/>
      <name val="Calibri"/>
      <family val="2"/>
      <charset val="1"/>
    </font>
    <font>
      <b/>
      <sz val="12"/>
      <name val="Cambria"/>
      <charset val="1"/>
    </font>
    <font>
      <b/>
      <sz val="8"/>
      <color theme="0"/>
      <name val="Calibri"/>
      <family val="2"/>
      <charset val="1"/>
    </font>
    <font>
      <b/>
      <sz val="8"/>
      <name val="Calibri"/>
      <family val="2"/>
      <charset val="1"/>
    </font>
    <font>
      <sz val="8"/>
      <name val="Calibri"/>
      <family val="2"/>
      <charset val="1"/>
    </font>
    <font>
      <b/>
      <sz val="11"/>
      <color theme="1"/>
      <name val="Calibri"/>
      <family val="2"/>
      <charset val="1"/>
    </font>
    <font>
      <b/>
      <sz val="11"/>
      <name val="Cambria"/>
      <charset val="1"/>
    </font>
    <font>
      <b/>
      <sz val="11"/>
      <color rgb="FF9C5700"/>
      <name val="Cambria"/>
      <charset val="1"/>
    </font>
    <font>
      <sz val="9"/>
      <color theme="1"/>
      <name val="Calibri"/>
      <family val="2"/>
      <charset val="1"/>
    </font>
    <font>
      <b/>
      <sz val="11"/>
      <color rgb="FFFFFFFF"/>
      <name val="Cambria"/>
      <charset val="1"/>
    </font>
    <font>
      <i/>
      <sz val="9"/>
      <color rgb="FF808080"/>
      <name val="Cambria"/>
      <charset val="1"/>
    </font>
    <font>
      <sz val="10"/>
      <name val="Consolas"/>
      <charset val="1"/>
    </font>
    <font>
      <sz val="11"/>
      <color theme="1"/>
      <name val="Calibri"/>
      <family val="2"/>
      <charset val="1"/>
    </font>
    <font>
      <sz val="11"/>
      <color rgb="FF000000"/>
      <name val="Calibri"/>
    </font>
  </fonts>
  <fills count="12">
    <fill>
      <patternFill patternType="none"/>
    </fill>
    <fill>
      <patternFill patternType="gray125"/>
    </fill>
    <fill>
      <patternFill patternType="solid">
        <fgColor rgb="FFFFFF00"/>
        <bgColor rgb="FFFFFF00"/>
      </patternFill>
    </fill>
    <fill>
      <patternFill patternType="solid">
        <fgColor theme="7" tint="0.79979857783745845"/>
        <bgColor rgb="FFFFFFFF"/>
      </patternFill>
    </fill>
    <fill>
      <patternFill patternType="solid">
        <fgColor theme="0" tint="-0.249977111117893"/>
        <bgColor rgb="FFB3B3B3"/>
      </patternFill>
    </fill>
    <fill>
      <patternFill patternType="solid">
        <fgColor theme="5" tint="0.59978026673177287"/>
        <bgColor rgb="FFD9D9D9"/>
      </patternFill>
    </fill>
    <fill>
      <patternFill patternType="solid">
        <fgColor theme="1" tint="0.34977263710440382"/>
        <bgColor rgb="FF44546A"/>
      </patternFill>
    </fill>
    <fill>
      <patternFill patternType="solid">
        <fgColor rgb="FF002060"/>
        <bgColor rgb="FF171F43"/>
      </patternFill>
    </fill>
    <fill>
      <patternFill patternType="solid">
        <fgColor theme="4" tint="0.59978026673177287"/>
        <bgColor rgb="FFBFBFBF"/>
      </patternFill>
    </fill>
    <fill>
      <patternFill patternType="solid">
        <fgColor theme="3"/>
        <bgColor rgb="FF595959"/>
      </patternFill>
    </fill>
    <fill>
      <patternFill patternType="solid">
        <fgColor theme="4" tint="0.79979857783745845"/>
        <bgColor rgb="FFD9D9D9"/>
      </patternFill>
    </fill>
    <fill>
      <patternFill patternType="solid">
        <fgColor rgb="FF4472C4"/>
        <bgColor rgb="FF44546A"/>
      </patternFill>
    </fill>
  </fills>
  <borders count="1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auto="1"/>
      </left>
      <right style="thin">
        <color auto="1"/>
      </right>
      <top style="thin">
        <color auto="1"/>
      </top>
      <bottom style="thin">
        <color auto="1"/>
      </bottom>
      <diagonal/>
    </border>
    <border>
      <left style="thin">
        <color theme="0" tint="-0.249977111117893"/>
      </left>
      <right/>
      <top/>
      <bottom/>
      <diagonal/>
    </border>
    <border>
      <left style="medium">
        <color auto="1"/>
      </left>
      <right/>
      <top style="medium">
        <color auto="1"/>
      </top>
      <bottom/>
      <diagonal/>
    </border>
    <border>
      <left/>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right/>
      <top/>
      <bottom style="thin">
        <color theme="4" tint="0.39979247413556324"/>
      </bottom>
      <diagonal/>
    </border>
    <border>
      <left style="thin">
        <color rgb="FFBF8F00"/>
      </left>
      <right style="thin">
        <color rgb="FFBF8F00"/>
      </right>
      <top style="thin">
        <color rgb="FFBF8F00"/>
      </top>
      <bottom style="thin">
        <color rgb="FFBF8F00"/>
      </bottom>
      <diagonal/>
    </border>
  </borders>
  <cellStyleXfs count="3">
    <xf numFmtId="0" fontId="0" fillId="0" borderId="0"/>
    <xf numFmtId="0" fontId="18" fillId="0" borderId="0"/>
    <xf numFmtId="0" fontId="18" fillId="0" borderId="0"/>
  </cellStyleXfs>
  <cellXfs count="57">
    <xf numFmtId="0" fontId="0" fillId="0" borderId="0" xfId="0"/>
    <xf numFmtId="0" fontId="7" fillId="8" borderId="4" xfId="0" applyFont="1" applyFill="1" applyBorder="1" applyAlignment="1">
      <alignment horizontal="center"/>
    </xf>
    <xf numFmtId="0" fontId="1" fillId="0" borderId="0" xfId="0" applyFont="1" applyAlignment="1"/>
    <xf numFmtId="0" fontId="1" fillId="0" borderId="0" xfId="0" applyFont="1" applyAlignment="1">
      <alignment horizontal="center"/>
    </xf>
    <xf numFmtId="0" fontId="1" fillId="2" borderId="0" xfId="0" applyFont="1" applyFill="1" applyAlignment="1"/>
    <xf numFmtId="0" fontId="1" fillId="3" borderId="0" xfId="0" applyFont="1" applyFill="1" applyAlignment="1"/>
    <xf numFmtId="0" fontId="2" fillId="4" borderId="1" xfId="0" applyFont="1" applyFill="1" applyBorder="1" applyAlignment="1">
      <alignment horizontal="center"/>
    </xf>
    <xf numFmtId="0" fontId="1" fillId="0" borderId="1" xfId="0" applyFont="1" applyBorder="1" applyAlignment="1">
      <alignment horizontal="center"/>
    </xf>
    <xf numFmtId="2" fontId="1" fillId="2" borderId="0" xfId="0" applyNumberFormat="1" applyFont="1" applyFill="1" applyAlignment="1">
      <alignment horizontal="center"/>
    </xf>
    <xf numFmtId="2" fontId="1" fillId="2" borderId="1" xfId="0" applyNumberFormat="1" applyFont="1" applyFill="1" applyBorder="1" applyAlignment="1">
      <alignment horizontal="center"/>
    </xf>
    <xf numFmtId="9" fontId="1" fillId="0" borderId="1" xfId="0" applyNumberFormat="1" applyFont="1" applyBorder="1" applyAlignment="1">
      <alignment horizontal="center"/>
    </xf>
    <xf numFmtId="1" fontId="1" fillId="2" borderId="1" xfId="0" applyNumberFormat="1" applyFont="1" applyFill="1" applyBorder="1" applyAlignment="1">
      <alignment horizontal="center"/>
    </xf>
    <xf numFmtId="9" fontId="1" fillId="2" borderId="1" xfId="0" applyNumberFormat="1" applyFont="1" applyFill="1" applyBorder="1" applyAlignment="1">
      <alignment horizontal="center"/>
    </xf>
    <xf numFmtId="0" fontId="1" fillId="0" borderId="1" xfId="0" applyFont="1" applyBorder="1" applyAlignment="1">
      <alignment horizontal="center" wrapText="1"/>
    </xf>
    <xf numFmtId="9" fontId="1" fillId="0" borderId="0" xfId="0" applyNumberFormat="1" applyFont="1" applyAlignment="1">
      <alignment horizontal="center"/>
    </xf>
    <xf numFmtId="4" fontId="1" fillId="2" borderId="1" xfId="0" applyNumberFormat="1" applyFont="1" applyFill="1" applyBorder="1" applyAlignment="1">
      <alignment horizontal="center"/>
    </xf>
    <xf numFmtId="2" fontId="1" fillId="0" borderId="0" xfId="0" applyNumberFormat="1" applyFont="1" applyAlignment="1">
      <alignment horizontal="center"/>
    </xf>
    <xf numFmtId="0" fontId="1" fillId="5" borderId="0" xfId="0" applyFont="1" applyFill="1" applyAlignment="1">
      <alignment horizontal="center"/>
    </xf>
    <xf numFmtId="0" fontId="3" fillId="6" borderId="2" xfId="0" applyFont="1" applyFill="1" applyBorder="1" applyAlignment="1">
      <alignment horizontal="center" vertical="center"/>
    </xf>
    <xf numFmtId="0" fontId="4" fillId="0" borderId="2" xfId="0" applyFont="1" applyBorder="1" applyAlignment="1">
      <alignment horizontal="center"/>
    </xf>
    <xf numFmtId="0" fontId="1" fillId="0" borderId="2" xfId="0" applyFont="1" applyBorder="1" applyAlignment="1">
      <alignment horizontal="center"/>
    </xf>
    <xf numFmtId="0" fontId="0" fillId="0" borderId="0" xfId="0" applyAlignment="1"/>
    <xf numFmtId="0" fontId="5" fillId="0" borderId="2" xfId="0" applyFont="1" applyBorder="1" applyAlignment="1">
      <alignment horizontal="center"/>
    </xf>
    <xf numFmtId="4" fontId="1" fillId="0" borderId="0" xfId="0" applyNumberFormat="1" applyFont="1" applyAlignment="1">
      <alignment horizontal="center"/>
    </xf>
    <xf numFmtId="0" fontId="3" fillId="6" borderId="3" xfId="0" applyFont="1" applyFill="1" applyBorder="1" applyAlignment="1">
      <alignment horizontal="center" vertical="center"/>
    </xf>
    <xf numFmtId="0" fontId="4" fillId="0" borderId="3" xfId="0" applyFont="1" applyBorder="1" applyAlignment="1">
      <alignment horizontal="center"/>
    </xf>
    <xf numFmtId="0" fontId="5" fillId="0" borderId="3" xfId="0" applyFont="1" applyBorder="1" applyAlignment="1">
      <alignment horizontal="center"/>
    </xf>
    <xf numFmtId="0" fontId="6" fillId="7" borderId="0" xfId="0" applyFont="1" applyFill="1" applyAlignment="1"/>
    <xf numFmtId="9" fontId="0" fillId="0" borderId="0" xfId="0" applyNumberFormat="1" applyAlignment="1"/>
    <xf numFmtId="0" fontId="1" fillId="0" borderId="1" xfId="0" applyFont="1" applyBorder="1" applyAlignment="1"/>
    <xf numFmtId="0" fontId="1" fillId="2" borderId="1" xfId="0" applyFont="1" applyFill="1" applyBorder="1" applyAlignment="1"/>
    <xf numFmtId="0" fontId="8" fillId="9" borderId="5" xfId="0" applyFont="1" applyFill="1" applyBorder="1" applyAlignment="1">
      <alignment horizontal="center" vertical="center" wrapText="1"/>
    </xf>
    <xf numFmtId="0" fontId="8" fillId="9" borderId="6" xfId="0" applyFont="1" applyFill="1" applyBorder="1" applyAlignment="1">
      <alignment horizontal="center" vertical="center" wrapText="1"/>
    </xf>
    <xf numFmtId="164" fontId="9" fillId="0" borderId="7" xfId="0" applyNumberFormat="1" applyFont="1" applyBorder="1" applyAlignment="1">
      <alignment horizontal="left"/>
    </xf>
    <xf numFmtId="9" fontId="10" fillId="0" borderId="8" xfId="0" applyNumberFormat="1" applyFont="1" applyBorder="1" applyAlignment="1">
      <alignment horizontal="center"/>
    </xf>
    <xf numFmtId="164" fontId="9" fillId="0" borderId="9" xfId="0" applyNumberFormat="1" applyFont="1" applyBorder="1" applyAlignment="1">
      <alignment horizontal="left"/>
    </xf>
    <xf numFmtId="9" fontId="10" fillId="0" borderId="3" xfId="0" applyNumberFormat="1" applyFont="1" applyBorder="1" applyAlignment="1">
      <alignment horizontal="center"/>
    </xf>
    <xf numFmtId="164" fontId="9" fillId="0" borderId="10" xfId="0" applyNumberFormat="1" applyFont="1" applyBorder="1" applyAlignment="1">
      <alignment horizontal="left"/>
    </xf>
    <xf numFmtId="9" fontId="10" fillId="0" borderId="11" xfId="0" applyNumberFormat="1" applyFont="1" applyBorder="1" applyAlignment="1">
      <alignment horizontal="center"/>
    </xf>
    <xf numFmtId="0" fontId="11" fillId="10" borderId="12" xfId="0" applyFont="1" applyFill="1" applyBorder="1" applyAlignment="1"/>
    <xf numFmtId="0" fontId="11" fillId="10" borderId="12" xfId="0" applyFont="1" applyFill="1" applyBorder="1" applyAlignment="1">
      <alignment horizontal="right"/>
    </xf>
    <xf numFmtId="0" fontId="0" fillId="0" borderId="0" xfId="0" applyFont="1" applyAlignment="1">
      <alignment horizontal="left"/>
    </xf>
    <xf numFmtId="2" fontId="0" fillId="0" borderId="0" xfId="0" applyNumberFormat="1" applyAlignment="1"/>
    <xf numFmtId="10" fontId="0" fillId="0" borderId="0" xfId="0" applyNumberFormat="1" applyAlignment="1"/>
    <xf numFmtId="0" fontId="11" fillId="10" borderId="12" xfId="0" applyFont="1" applyFill="1" applyBorder="1" applyAlignment="1">
      <alignment horizontal="center"/>
    </xf>
    <xf numFmtId="10" fontId="11" fillId="10" borderId="12" xfId="0" applyNumberFormat="1" applyFont="1" applyFill="1" applyBorder="1" applyAlignment="1">
      <alignment horizontal="center"/>
    </xf>
    <xf numFmtId="0" fontId="12" fillId="0" borderId="0" xfId="0" applyFont="1" applyAlignment="1"/>
    <xf numFmtId="0" fontId="13" fillId="3" borderId="13" xfId="0" applyFont="1" applyFill="1" applyBorder="1" applyAlignment="1"/>
    <xf numFmtId="165" fontId="0" fillId="0" borderId="0" xfId="0" applyNumberFormat="1" applyAlignment="1">
      <alignment horizontal="center"/>
    </xf>
    <xf numFmtId="0" fontId="14" fillId="0" borderId="0" xfId="0" applyFont="1" applyAlignment="1">
      <alignment horizontal="center"/>
    </xf>
    <xf numFmtId="2" fontId="0" fillId="0" borderId="0" xfId="0" applyNumberFormat="1" applyAlignment="1">
      <alignment horizontal="center"/>
    </xf>
    <xf numFmtId="10" fontId="0" fillId="0" borderId="0" xfId="0" applyNumberFormat="1" applyAlignment="1">
      <alignment horizontal="center"/>
    </xf>
    <xf numFmtId="0" fontId="15" fillId="11" borderId="13" xfId="0" applyFont="1" applyFill="1" applyBorder="1" applyAlignment="1">
      <alignment horizontal="center"/>
    </xf>
    <xf numFmtId="0" fontId="16" fillId="0" borderId="0" xfId="0" applyFont="1" applyAlignment="1"/>
    <xf numFmtId="0" fontId="0" fillId="0" borderId="0" xfId="0" applyFont="1" applyAlignment="1">
      <alignment horizontal="center"/>
    </xf>
    <xf numFmtId="0" fontId="7" fillId="0" borderId="0" xfId="0" applyFont="1" applyAlignment="1"/>
    <xf numFmtId="0" fontId="17" fillId="0" borderId="0" xfId="0" applyFont="1" applyAlignment="1"/>
  </cellXfs>
  <cellStyles count="3">
    <cellStyle name="Normal" xfId="0" builtinId="0"/>
    <cellStyle name="Normal 10" xfId="1" xr:uid="{00000000-0005-0000-0000-000006000000}"/>
    <cellStyle name="Normal 5" xfId="2" xr:uid="{00000000-0005-0000-0000-00000700000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8FAADC"/>
      <rgbColor rgb="FF993366"/>
      <rgbColor rgb="FFFFF2CC"/>
      <rgbColor rgb="FFDAE3F3"/>
      <rgbColor rgb="FF660066"/>
      <rgbColor rgb="FFFF8080"/>
      <rgbColor rgb="FF0066CC"/>
      <rgbColor rgb="FFB4C7E7"/>
      <rgbColor rgb="FF000080"/>
      <rgbColor rgb="FFFF00FF"/>
      <rgbColor rgb="FFFFFF00"/>
      <rgbColor rgb="FF00FFFF"/>
      <rgbColor rgb="FF800080"/>
      <rgbColor rgb="FF800000"/>
      <rgbColor rgb="FF008080"/>
      <rgbColor rgb="FF0000FF"/>
      <rgbColor rgb="FF00CCFF"/>
      <rgbColor rgb="FFCCFFFF"/>
      <rgbColor rgb="FFD9D9D9"/>
      <rgbColor rgb="FFFFFF99"/>
      <rgbColor rgb="FFB3B3B3"/>
      <rgbColor rgb="FFFF99CC"/>
      <rgbColor rgb="FFCC99FF"/>
      <rgbColor rgb="FFF8CBAD"/>
      <rgbColor rgb="FF4472C4"/>
      <rgbColor rgb="FF33CCCC"/>
      <rgbColor rgb="FF99CC00"/>
      <rgbColor rgb="FFFFCC00"/>
      <rgbColor rgb="FFBF8F00"/>
      <rgbColor rgb="FFED7D31"/>
      <rgbColor rgb="FF595959"/>
      <rgbColor rgb="FFA5A5A5"/>
      <rgbColor rgb="FF002060"/>
      <rgbColor rgb="FF339966"/>
      <rgbColor rgb="FF003300"/>
      <rgbColor rgb="FF333300"/>
      <rgbColor rgb="FF9C5700"/>
      <rgbColor rgb="FF993366"/>
      <rgbColor rgb="FF44546A"/>
      <rgbColor rgb="FF171F4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IN" sz="1800" b="1" strike="noStrike" spc="-1">
                <a:solidFill>
                  <a:srgbClr val="000000"/>
                </a:solidFill>
                <a:latin typeface="Calibri"/>
              </a:defRPr>
            </a:pPr>
            <a:r>
              <a:rPr lang="en-IN" sz="1800" b="1" strike="noStrike" spc="-1">
                <a:solidFill>
                  <a:srgbClr val="000000"/>
                </a:solidFill>
                <a:latin typeface="Calibri"/>
              </a:rPr>
              <a:t>QA Deduction Reasons – Pareto Chart</a:t>
            </a:r>
          </a:p>
        </c:rich>
      </c:tx>
      <c:overlay val="0"/>
      <c:spPr>
        <a:noFill/>
        <a:ln w="0">
          <a:noFill/>
        </a:ln>
      </c:spPr>
    </c:title>
    <c:autoTitleDeleted val="0"/>
    <c:plotArea>
      <c:layout/>
      <c:barChart>
        <c:barDir val="col"/>
        <c:grouping val="clustered"/>
        <c:varyColors val="0"/>
        <c:ser>
          <c:idx val="0"/>
          <c:order val="0"/>
          <c:tx>
            <c:strRef>
              <c:f>Pareto!$E$2</c:f>
              <c:strCache>
                <c:ptCount val="1"/>
                <c:pt idx="0">
                  <c:v>Counts</c:v>
                </c:pt>
              </c:strCache>
            </c:strRef>
          </c:tx>
          <c:spPr>
            <a:solidFill>
              <a:srgbClr val="4472C4"/>
            </a:solidFill>
            <a:ln w="0">
              <a:noFill/>
            </a:ln>
          </c:spPr>
          <c:invertIfNegative val="0"/>
          <c:dLbls>
            <c:spPr>
              <a:noFill/>
              <a:ln>
                <a:noFill/>
              </a:ln>
              <a:effectLst/>
            </c:spPr>
            <c:txPr>
              <a:bodyPr wrap="square"/>
              <a:lstStyle/>
              <a:p>
                <a:pPr>
                  <a:defRPr sz="1000" b="0" strike="noStrike" spc="-1">
                    <a:solidFill>
                      <a:srgbClr val="000000"/>
                    </a:solidFill>
                    <a:latin typeface="Arial"/>
                  </a:defRPr>
                </a:pPr>
                <a:endParaRPr lang="en-US"/>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Pareto!$D$3:$D$8</c:f>
              <c:strCache>
                <c:ptCount val="6"/>
                <c:pt idx="0">
                  <c:v>Issue Resolution</c:v>
                </c:pt>
                <c:pt idx="1">
                  <c:v>Complete and Accurate Information</c:v>
                </c:pt>
                <c:pt idx="2">
                  <c:v>Call Handling Efficiency</c:v>
                </c:pt>
                <c:pt idx="3">
                  <c:v>Communication</c:v>
                </c:pt>
                <c:pt idx="4">
                  <c:v>Empathy</c:v>
                </c:pt>
                <c:pt idx="5">
                  <c:v>Courtesy</c:v>
                </c:pt>
              </c:strCache>
            </c:strRef>
          </c:cat>
          <c:val>
            <c:numRef>
              <c:f>Pareto!$E$3:$E$8</c:f>
              <c:numCache>
                <c:formatCode>General</c:formatCode>
                <c:ptCount val="6"/>
                <c:pt idx="0">
                  <c:v>45</c:v>
                </c:pt>
                <c:pt idx="1">
                  <c:v>37</c:v>
                </c:pt>
                <c:pt idx="2">
                  <c:v>29</c:v>
                </c:pt>
                <c:pt idx="3">
                  <c:v>19</c:v>
                </c:pt>
                <c:pt idx="4">
                  <c:v>19</c:v>
                </c:pt>
                <c:pt idx="5">
                  <c:v>8</c:v>
                </c:pt>
              </c:numCache>
            </c:numRef>
          </c:val>
          <c:extLst>
            <c:ext xmlns:c16="http://schemas.microsoft.com/office/drawing/2014/chart" uri="{C3380CC4-5D6E-409C-BE32-E72D297353CC}">
              <c16:uniqueId val="{00000000-C53F-4279-B17E-5418929846F3}"/>
            </c:ext>
          </c:extLst>
        </c:ser>
        <c:dLbls>
          <c:showLegendKey val="0"/>
          <c:showVal val="0"/>
          <c:showCatName val="0"/>
          <c:showSerName val="0"/>
          <c:showPercent val="0"/>
          <c:showBubbleSize val="0"/>
        </c:dLbls>
        <c:gapWidth val="150"/>
        <c:axId val="49935921"/>
        <c:axId val="86165467"/>
      </c:barChart>
      <c:lineChart>
        <c:grouping val="standard"/>
        <c:varyColors val="0"/>
        <c:ser>
          <c:idx val="1"/>
          <c:order val="1"/>
          <c:tx>
            <c:strRef>
              <c:f>Pareto!$F$2</c:f>
              <c:strCache>
                <c:ptCount val="1"/>
                <c:pt idx="0">
                  <c:v>Percentage</c:v>
                </c:pt>
              </c:strCache>
            </c:strRef>
          </c:tx>
          <c:spPr>
            <a:ln w="0">
              <a:solidFill>
                <a:srgbClr val="FFFFFF"/>
              </a:solidFill>
            </a:ln>
          </c:spPr>
          <c:marker>
            <c:symbol val="none"/>
          </c:marker>
          <c:dLbls>
            <c:spPr>
              <a:noFill/>
              <a:ln>
                <a:noFill/>
              </a:ln>
              <a:effectLst/>
            </c:spPr>
            <c:txPr>
              <a:bodyPr wrap="square"/>
              <a:lstStyle/>
              <a:p>
                <a:pPr>
                  <a:defRPr sz="1000" b="0" strike="noStrike" spc="-1">
                    <a:solidFill>
                      <a:srgbClr val="000000"/>
                    </a:solidFill>
                    <a:latin typeface="Arial"/>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Pareto!$D$3:$D$8</c:f>
              <c:strCache>
                <c:ptCount val="6"/>
                <c:pt idx="0">
                  <c:v>Issue Resolution</c:v>
                </c:pt>
                <c:pt idx="1">
                  <c:v>Complete and Accurate Information</c:v>
                </c:pt>
                <c:pt idx="2">
                  <c:v>Call Handling Efficiency</c:v>
                </c:pt>
                <c:pt idx="3">
                  <c:v>Communication</c:v>
                </c:pt>
                <c:pt idx="4">
                  <c:v>Empathy</c:v>
                </c:pt>
                <c:pt idx="5">
                  <c:v>Courtesy</c:v>
                </c:pt>
              </c:strCache>
            </c:strRef>
          </c:cat>
          <c:val>
            <c:numRef>
              <c:f>Pareto!$F$3:$F$8</c:f>
              <c:numCache>
                <c:formatCode>0%</c:formatCode>
                <c:ptCount val="6"/>
                <c:pt idx="0">
                  <c:v>0.28662420382165604</c:v>
                </c:pt>
                <c:pt idx="1">
                  <c:v>0.52229299363057324</c:v>
                </c:pt>
                <c:pt idx="2">
                  <c:v>0.70700636942675155</c:v>
                </c:pt>
                <c:pt idx="3">
                  <c:v>0.82802547770700641</c:v>
                </c:pt>
                <c:pt idx="4">
                  <c:v>0.94904458598726116</c:v>
                </c:pt>
                <c:pt idx="5">
                  <c:v>1</c:v>
                </c:pt>
              </c:numCache>
            </c:numRef>
          </c:val>
          <c:smooth val="0"/>
          <c:extLst>
            <c:ext xmlns:c16="http://schemas.microsoft.com/office/drawing/2014/chart" uri="{C3380CC4-5D6E-409C-BE32-E72D297353CC}">
              <c16:uniqueId val="{00000001-C53F-4279-B17E-5418929846F3}"/>
            </c:ext>
          </c:extLst>
        </c:ser>
        <c:dLbls>
          <c:showLegendKey val="0"/>
          <c:showVal val="0"/>
          <c:showCatName val="0"/>
          <c:showSerName val="0"/>
          <c:showPercent val="0"/>
          <c:showBubbleSize val="0"/>
        </c:dLbls>
        <c:hiLowLines>
          <c:spPr>
            <a:ln w="0">
              <a:noFill/>
            </a:ln>
          </c:spPr>
        </c:hiLowLines>
        <c:marker val="1"/>
        <c:smooth val="0"/>
        <c:axId val="26693087"/>
        <c:axId val="99793878"/>
      </c:lineChart>
      <c:catAx>
        <c:axId val="49935921"/>
        <c:scaling>
          <c:orientation val="minMax"/>
        </c:scaling>
        <c:delete val="0"/>
        <c:axPos val="b"/>
        <c:title>
          <c:tx>
            <c:rich>
              <a:bodyPr rot="0"/>
              <a:lstStyle/>
              <a:p>
                <a:pPr>
                  <a:defRPr lang="en-IN" sz="1000" b="1" strike="noStrike" spc="-1">
                    <a:solidFill>
                      <a:srgbClr val="000000"/>
                    </a:solidFill>
                    <a:latin typeface="Calibri"/>
                  </a:defRPr>
                </a:pPr>
                <a:r>
                  <a:rPr lang="en-IN" sz="1000" b="1" strike="noStrike" spc="-1">
                    <a:solidFill>
                      <a:srgbClr val="000000"/>
                    </a:solidFill>
                    <a:latin typeface="Calibri"/>
                  </a:rPr>
                  <a:t>Deduction Reason</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86165467"/>
        <c:crosses val="autoZero"/>
        <c:auto val="1"/>
        <c:lblAlgn val="ctr"/>
        <c:lblOffset val="100"/>
        <c:noMultiLvlLbl val="0"/>
      </c:catAx>
      <c:valAx>
        <c:axId val="86165467"/>
        <c:scaling>
          <c:orientation val="minMax"/>
        </c:scaling>
        <c:delete val="0"/>
        <c:axPos val="l"/>
        <c:title>
          <c:tx>
            <c:rich>
              <a:bodyPr rot="-5400000"/>
              <a:lstStyle/>
              <a:p>
                <a:pPr>
                  <a:defRPr lang="en-IN" sz="1000" b="1" strike="noStrike" spc="-1">
                    <a:solidFill>
                      <a:srgbClr val="000000"/>
                    </a:solidFill>
                    <a:latin typeface="Calibri"/>
                  </a:defRPr>
                </a:pPr>
                <a:r>
                  <a:rPr lang="en-IN" sz="1000" b="1" strike="noStrike" spc="-1">
                    <a:solidFill>
                      <a:srgbClr val="000000"/>
                    </a:solidFill>
                    <a:latin typeface="Calibri"/>
                  </a:rPr>
                  <a:t>Count</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49935921"/>
        <c:crosses val="autoZero"/>
        <c:crossBetween val="between"/>
      </c:valAx>
      <c:catAx>
        <c:axId val="26693087"/>
        <c:scaling>
          <c:orientation val="minMax"/>
        </c:scaling>
        <c:delete val="0"/>
        <c:axPos val="b"/>
        <c:title>
          <c:tx>
            <c:rich>
              <a:bodyPr rot="0"/>
              <a:lstStyle/>
              <a:p>
                <a:pPr>
                  <a:defRPr lang="en-IN" sz="1000" b="1" strike="noStrike" spc="-1">
                    <a:solidFill>
                      <a:srgbClr val="000000"/>
                    </a:solidFill>
                    <a:latin typeface="Calibri"/>
                  </a:defRPr>
                </a:pPr>
                <a:r>
                  <a:rPr lang="en-IN" sz="1000" b="1" strike="noStrike" spc="-1">
                    <a:solidFill>
                      <a:srgbClr val="000000"/>
                    </a:solidFill>
                    <a:latin typeface="Calibri"/>
                  </a:rPr>
                  <a:t>Deduction Reason</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99793878"/>
        <c:crosses val="autoZero"/>
        <c:auto val="1"/>
        <c:lblAlgn val="ctr"/>
        <c:lblOffset val="100"/>
        <c:noMultiLvlLbl val="0"/>
      </c:catAx>
      <c:valAx>
        <c:axId val="99793878"/>
        <c:scaling>
          <c:orientation val="minMax"/>
        </c:scaling>
        <c:delete val="0"/>
        <c:axPos val="r"/>
        <c:title>
          <c:tx>
            <c:rich>
              <a:bodyPr rot="-5400000"/>
              <a:lstStyle/>
              <a:p>
                <a:pPr>
                  <a:defRPr lang="en-IN" sz="1000" b="1" strike="noStrike" spc="-1">
                    <a:solidFill>
                      <a:srgbClr val="000000"/>
                    </a:solidFill>
                    <a:latin typeface="Calibri"/>
                  </a:defRPr>
                </a:pPr>
                <a:r>
                  <a:rPr lang="en-IN" sz="1000" b="1" strike="noStrike" spc="-1">
                    <a:solidFill>
                      <a:srgbClr val="000000"/>
                    </a:solidFill>
                    <a:latin typeface="Calibri"/>
                  </a:rPr>
                  <a:t>Cumulative %</a:t>
                </a:r>
              </a:p>
            </c:rich>
          </c:tx>
          <c:overlay val="0"/>
          <c:spPr>
            <a:noFill/>
            <a:ln w="0">
              <a:noFill/>
            </a:ln>
          </c:spPr>
        </c:title>
        <c:numFmt formatCode="0%"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26693087"/>
        <c:crosses val="max"/>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lang="en-IN" sz="1400" b="0" strike="noStrike" spc="-1">
                <a:solidFill>
                  <a:srgbClr val="595959"/>
                </a:solidFill>
                <a:latin typeface="Calibri"/>
              </a:defRPr>
            </a:pPr>
            <a:r>
              <a:rPr lang="en-IN" sz="1400" b="0" strike="noStrike" spc="-1">
                <a:solidFill>
                  <a:srgbClr val="595959"/>
                </a:solidFill>
                <a:latin typeface="Calibri"/>
              </a:rPr>
              <a:t>Month chart
</a:t>
            </a:r>
          </a:p>
        </c:rich>
      </c:tx>
      <c:layout>
        <c:manualLayout>
          <c:xMode val="edge"/>
          <c:yMode val="edge"/>
          <c:x val="0.406025717703349"/>
          <c:y val="0"/>
        </c:manualLayout>
      </c:layout>
      <c:overlay val="0"/>
      <c:spPr>
        <a:noFill/>
        <a:ln w="0">
          <a:noFill/>
        </a:ln>
      </c:spPr>
    </c:title>
    <c:autoTitleDeleted val="0"/>
    <c:plotArea>
      <c:layout>
        <c:manualLayout>
          <c:layoutTarget val="inner"/>
          <c:xMode val="edge"/>
          <c:yMode val="edge"/>
          <c:x val="9.7114234449760806E-2"/>
          <c:y val="0.121132323897301"/>
          <c:w val="0.87193480861243999"/>
          <c:h val="0.66517445687952603"/>
        </c:manualLayout>
      </c:layout>
      <c:lineChart>
        <c:grouping val="standard"/>
        <c:varyColors val="0"/>
        <c:ser>
          <c:idx val="0"/>
          <c:order val="0"/>
          <c:tx>
            <c:strRef>
              <c:f>'Run Chart'!$C$2</c:f>
              <c:strCache>
                <c:ptCount val="1"/>
                <c:pt idx="0">
                  <c:v>Service Level</c:v>
                </c:pt>
              </c:strCache>
            </c:strRef>
          </c:tx>
          <c:spPr>
            <a:ln w="28440" cap="rnd">
              <a:solidFill>
                <a:srgbClr val="4472C4"/>
              </a:solidFill>
              <a:round/>
            </a:ln>
          </c:spPr>
          <c:marker>
            <c:symbol val="none"/>
          </c:marker>
          <c:dLbls>
            <c:spPr>
              <a:noFill/>
              <a:ln>
                <a:noFill/>
              </a:ln>
              <a:effectLst/>
            </c:spPr>
            <c:txPr>
              <a:bodyPr wrap="square"/>
              <a:lstStyle/>
              <a:p>
                <a:pPr>
                  <a:defRPr sz="1000" b="0" strike="noStrike" spc="-1">
                    <a:solidFill>
                      <a:srgbClr val="000000"/>
                    </a:solidFill>
                    <a:latin typeface="Calibri"/>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'Run Chart'!$B$3:$B$14</c:f>
              <c:strCache>
                <c:ptCount val="12"/>
                <c:pt idx="0">
                  <c:v>Nov</c:v>
                </c:pt>
                <c:pt idx="1">
                  <c:v>Dec</c:v>
                </c:pt>
                <c:pt idx="2">
                  <c:v>Jan</c:v>
                </c:pt>
                <c:pt idx="3">
                  <c:v>Feb</c:v>
                </c:pt>
                <c:pt idx="4">
                  <c:v>Mar</c:v>
                </c:pt>
                <c:pt idx="5">
                  <c:v>Apr</c:v>
                </c:pt>
                <c:pt idx="6">
                  <c:v>May</c:v>
                </c:pt>
                <c:pt idx="7">
                  <c:v>Jun</c:v>
                </c:pt>
                <c:pt idx="8">
                  <c:v>Jul</c:v>
                </c:pt>
                <c:pt idx="9">
                  <c:v>Aug</c:v>
                </c:pt>
                <c:pt idx="10">
                  <c:v>Sept</c:v>
                </c:pt>
                <c:pt idx="11">
                  <c:v>Oct</c:v>
                </c:pt>
              </c:strCache>
            </c:strRef>
          </c:cat>
          <c:val>
            <c:numRef>
              <c:f>'Run Chart'!$C$3:$C$14</c:f>
              <c:numCache>
                <c:formatCode>0%</c:formatCode>
                <c:ptCount val="12"/>
                <c:pt idx="0">
                  <c:v>0.63</c:v>
                </c:pt>
                <c:pt idx="1">
                  <c:v>0.45</c:v>
                </c:pt>
                <c:pt idx="2">
                  <c:v>0.48982232829488198</c:v>
                </c:pt>
                <c:pt idx="3">
                  <c:v>0.60159596856495501</c:v>
                </c:pt>
                <c:pt idx="4">
                  <c:v>0.958623558151388</c:v>
                </c:pt>
                <c:pt idx="5">
                  <c:v>0.90662135795062104</c:v>
                </c:pt>
                <c:pt idx="6">
                  <c:v>0.79126155197933101</c:v>
                </c:pt>
                <c:pt idx="7">
                  <c:v>0.69318143882490402</c:v>
                </c:pt>
                <c:pt idx="8">
                  <c:v>0.78169972214237804</c:v>
                </c:pt>
                <c:pt idx="9">
                  <c:v>0.71798778773600802</c:v>
                </c:pt>
                <c:pt idx="10">
                  <c:v>0.7056</c:v>
                </c:pt>
                <c:pt idx="11">
                  <c:v>0.823484154888942</c:v>
                </c:pt>
              </c:numCache>
            </c:numRef>
          </c:val>
          <c:smooth val="0"/>
          <c:extLst>
            <c:ext xmlns:c16="http://schemas.microsoft.com/office/drawing/2014/chart" uri="{C3380CC4-5D6E-409C-BE32-E72D297353CC}">
              <c16:uniqueId val="{00000000-1845-486C-8DF3-A5990A1A8E08}"/>
            </c:ext>
          </c:extLst>
        </c:ser>
        <c:ser>
          <c:idx val="1"/>
          <c:order val="1"/>
          <c:tx>
            <c:strRef>
              <c:f>'Run Chart'!$D$2</c:f>
              <c:strCache>
                <c:ptCount val="1"/>
                <c:pt idx="0">
                  <c:v>Target</c:v>
                </c:pt>
              </c:strCache>
            </c:strRef>
          </c:tx>
          <c:spPr>
            <a:ln w="28440" cap="rnd">
              <a:solidFill>
                <a:srgbClr val="ED7D31"/>
              </a:solidFill>
              <a:round/>
            </a:ln>
          </c:spPr>
          <c:marker>
            <c:symbol val="none"/>
          </c:marker>
          <c:dLbls>
            <c:spPr>
              <a:noFill/>
              <a:ln>
                <a:noFill/>
              </a:ln>
              <a:effectLst/>
            </c:spPr>
            <c:txPr>
              <a:bodyPr wrap="square"/>
              <a:lstStyle/>
              <a:p>
                <a:pPr>
                  <a:defRPr sz="1000" b="0" strike="noStrike" spc="-1">
                    <a:solidFill>
                      <a:srgbClr val="000000"/>
                    </a:solidFill>
                    <a:latin typeface="Calibri"/>
                  </a:defRPr>
                </a:pPr>
                <a:endParaRPr lang="en-US"/>
              </a:p>
            </c:txPr>
            <c:dLblPos val="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'Run Chart'!$B$3:$B$14</c:f>
              <c:strCache>
                <c:ptCount val="12"/>
                <c:pt idx="0">
                  <c:v>Nov</c:v>
                </c:pt>
                <c:pt idx="1">
                  <c:v>Dec</c:v>
                </c:pt>
                <c:pt idx="2">
                  <c:v>Jan</c:v>
                </c:pt>
                <c:pt idx="3">
                  <c:v>Feb</c:v>
                </c:pt>
                <c:pt idx="4">
                  <c:v>Mar</c:v>
                </c:pt>
                <c:pt idx="5">
                  <c:v>Apr</c:v>
                </c:pt>
                <c:pt idx="6">
                  <c:v>May</c:v>
                </c:pt>
                <c:pt idx="7">
                  <c:v>Jun</c:v>
                </c:pt>
                <c:pt idx="8">
                  <c:v>Jul</c:v>
                </c:pt>
                <c:pt idx="9">
                  <c:v>Aug</c:v>
                </c:pt>
                <c:pt idx="10">
                  <c:v>Sept</c:v>
                </c:pt>
                <c:pt idx="11">
                  <c:v>Oct</c:v>
                </c:pt>
              </c:strCache>
            </c:strRef>
          </c:cat>
          <c:val>
            <c:numRef>
              <c:f>'Run Chart'!$D$3:$D$14</c:f>
              <c:numCache>
                <c:formatCode>0%</c:formatCode>
                <c:ptCount val="12"/>
                <c:pt idx="0">
                  <c:v>0.75</c:v>
                </c:pt>
                <c:pt idx="1">
                  <c:v>0.75</c:v>
                </c:pt>
                <c:pt idx="2">
                  <c:v>0.75</c:v>
                </c:pt>
                <c:pt idx="3">
                  <c:v>0.75</c:v>
                </c:pt>
                <c:pt idx="4">
                  <c:v>0.75</c:v>
                </c:pt>
                <c:pt idx="5">
                  <c:v>0.75</c:v>
                </c:pt>
                <c:pt idx="6">
                  <c:v>0.75</c:v>
                </c:pt>
                <c:pt idx="7">
                  <c:v>0.75</c:v>
                </c:pt>
                <c:pt idx="8">
                  <c:v>0.75</c:v>
                </c:pt>
                <c:pt idx="9">
                  <c:v>0.75</c:v>
                </c:pt>
                <c:pt idx="10">
                  <c:v>0.75</c:v>
                </c:pt>
                <c:pt idx="11">
                  <c:v>0.75</c:v>
                </c:pt>
              </c:numCache>
            </c:numRef>
          </c:val>
          <c:smooth val="0"/>
          <c:extLst>
            <c:ext xmlns:c16="http://schemas.microsoft.com/office/drawing/2014/chart" uri="{C3380CC4-5D6E-409C-BE32-E72D297353CC}">
              <c16:uniqueId val="{00000001-1845-486C-8DF3-A5990A1A8E08}"/>
            </c:ext>
          </c:extLst>
        </c:ser>
        <c:dLbls>
          <c:showLegendKey val="0"/>
          <c:showVal val="0"/>
          <c:showCatName val="0"/>
          <c:showSerName val="0"/>
          <c:showPercent val="0"/>
          <c:showBubbleSize val="0"/>
        </c:dLbls>
        <c:hiLowLines>
          <c:spPr>
            <a:ln w="0">
              <a:noFill/>
            </a:ln>
          </c:spPr>
        </c:hiLowLines>
        <c:smooth val="0"/>
        <c:axId val="1478104"/>
        <c:axId val="93844037"/>
      </c:lineChart>
      <c:catAx>
        <c:axId val="1478104"/>
        <c:scaling>
          <c:orientation val="minMax"/>
        </c:scaling>
        <c:delete val="0"/>
        <c:axPos val="b"/>
        <c:numFmt formatCode="General" sourceLinked="0"/>
        <c:majorTickMark val="none"/>
        <c:minorTickMark val="none"/>
        <c:tickLblPos val="nextTo"/>
        <c:spPr>
          <a:ln w="9360">
            <a:solidFill>
              <a:srgbClr val="D9D9D9"/>
            </a:solidFill>
            <a:round/>
          </a:ln>
        </c:spPr>
        <c:txPr>
          <a:bodyPr/>
          <a:lstStyle/>
          <a:p>
            <a:pPr>
              <a:defRPr sz="900" b="0" strike="noStrike" spc="-1">
                <a:solidFill>
                  <a:srgbClr val="595959"/>
                </a:solidFill>
                <a:latin typeface="Calibri"/>
              </a:defRPr>
            </a:pPr>
            <a:endParaRPr lang="en-US"/>
          </a:p>
        </c:txPr>
        <c:crossAx val="93844037"/>
        <c:crosses val="autoZero"/>
        <c:auto val="1"/>
        <c:lblAlgn val="ctr"/>
        <c:lblOffset val="100"/>
        <c:noMultiLvlLbl val="0"/>
      </c:catAx>
      <c:valAx>
        <c:axId val="93844037"/>
        <c:scaling>
          <c:orientation val="minMax"/>
        </c:scaling>
        <c:delete val="0"/>
        <c:axPos val="l"/>
        <c:majorGridlines>
          <c:spPr>
            <a:ln w="9360">
              <a:solidFill>
                <a:srgbClr val="D9D9D9"/>
              </a:solidFill>
              <a:round/>
            </a:ln>
          </c:spPr>
        </c:majorGridlines>
        <c:numFmt formatCode="0%" sourceLinked="0"/>
        <c:majorTickMark val="none"/>
        <c:minorTickMark val="none"/>
        <c:tickLblPos val="nextTo"/>
        <c:spPr>
          <a:ln w="6480">
            <a:noFill/>
          </a:ln>
        </c:spPr>
        <c:txPr>
          <a:bodyPr/>
          <a:lstStyle/>
          <a:p>
            <a:pPr>
              <a:defRPr sz="900" b="0" strike="noStrike" spc="-1">
                <a:solidFill>
                  <a:srgbClr val="595959"/>
                </a:solidFill>
                <a:latin typeface="Calibri"/>
              </a:defRPr>
            </a:pPr>
            <a:endParaRPr lang="en-US"/>
          </a:p>
        </c:txPr>
        <c:crossAx val="1478104"/>
        <c:crosses val="autoZero"/>
        <c:crossBetween val="between"/>
      </c:valAx>
      <c:spPr>
        <a:noFill/>
        <a:ln w="0">
          <a:noFill/>
        </a:ln>
      </c:spPr>
    </c:plotArea>
    <c:legend>
      <c:legendPos val="b"/>
      <c:overlay val="0"/>
      <c:spPr>
        <a:noFill/>
        <a:ln w="0">
          <a:noFill/>
        </a:ln>
      </c:spPr>
      <c:txPr>
        <a:bodyPr/>
        <a:lstStyle/>
        <a:p>
          <a:pPr>
            <a:defRPr sz="900" b="0" strike="noStrike" spc="-1">
              <a:solidFill>
                <a:srgbClr val="595959"/>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sz="1800" b="1" strike="noStrike" spc="-1">
                <a:solidFill>
                  <a:srgbClr val="000000"/>
                </a:solidFill>
                <a:latin typeface="Calibri"/>
              </a:rPr>
              <a:t>Histogram – Distribution of Agent TPH</a:t>
            </a:r>
          </a:p>
        </c:rich>
      </c:tx>
      <c:overlay val="0"/>
      <c:spPr>
        <a:noFill/>
        <a:ln w="0">
          <a:noFill/>
        </a:ln>
      </c:spPr>
    </c:title>
    <c:autoTitleDeleted val="0"/>
    <c:plotArea>
      <c:layout/>
      <c:barChart>
        <c:barDir val="col"/>
        <c:grouping val="clustered"/>
        <c:varyColors val="0"/>
        <c:ser>
          <c:idx val="0"/>
          <c:order val="0"/>
          <c:tx>
            <c:strRef>
              <c:f>Histogram!$F$2</c:f>
              <c:strCache>
                <c:ptCount val="1"/>
                <c:pt idx="0">
                  <c:v>Frequency</c:v>
                </c:pt>
              </c:strCache>
            </c:strRef>
          </c:tx>
          <c:spPr>
            <a:solidFill>
              <a:srgbClr val="4472C4"/>
            </a:solidFill>
            <a:ln w="0">
              <a:noFill/>
            </a:ln>
          </c:spPr>
          <c:invertIfNegative val="0"/>
          <c:dLbls>
            <c:spPr>
              <a:noFill/>
              <a:ln>
                <a:noFill/>
              </a:ln>
              <a:effectLst/>
            </c:spPr>
            <c:txPr>
              <a:bodyPr wrap="square"/>
              <a:lstStyle/>
              <a:p>
                <a:pPr>
                  <a:defRPr sz="1000" b="0" strike="noStrike" spc="-1">
                    <a:solidFill>
                      <a:srgbClr val="000000"/>
                    </a:solidFill>
                    <a:latin typeface="Arial"/>
                  </a:defRPr>
                </a:pPr>
                <a:endParaRPr lang="en-US"/>
              </a:p>
            </c:txPr>
            <c:dLblPos val="outEnd"/>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Histogram!$E$3:$E$10</c:f>
              <c:strCache>
                <c:ptCount val="8"/>
                <c:pt idx="0">
                  <c:v>0.0 - 1.6</c:v>
                </c:pt>
                <c:pt idx="1">
                  <c:v>1.6 - 3.3</c:v>
                </c:pt>
                <c:pt idx="2">
                  <c:v>3.3 - 4.9</c:v>
                </c:pt>
                <c:pt idx="3">
                  <c:v>4.9 - 6.5</c:v>
                </c:pt>
                <c:pt idx="4">
                  <c:v>6.5 - 8.2</c:v>
                </c:pt>
                <c:pt idx="5">
                  <c:v>8.2 - 9.8</c:v>
                </c:pt>
                <c:pt idx="6">
                  <c:v>9.8 - 11.4</c:v>
                </c:pt>
                <c:pt idx="7">
                  <c:v>11.4 - 13.0</c:v>
                </c:pt>
              </c:strCache>
            </c:strRef>
          </c:cat>
          <c:val>
            <c:numRef>
              <c:f>Histogram!$F$3:$F$10</c:f>
              <c:numCache>
                <c:formatCode>General</c:formatCode>
                <c:ptCount val="8"/>
                <c:pt idx="0">
                  <c:v>5</c:v>
                </c:pt>
                <c:pt idx="1">
                  <c:v>2</c:v>
                </c:pt>
                <c:pt idx="2">
                  <c:v>1</c:v>
                </c:pt>
                <c:pt idx="3">
                  <c:v>7</c:v>
                </c:pt>
                <c:pt idx="4">
                  <c:v>19</c:v>
                </c:pt>
                <c:pt idx="5">
                  <c:v>31</c:v>
                </c:pt>
                <c:pt idx="6">
                  <c:v>21</c:v>
                </c:pt>
                <c:pt idx="7">
                  <c:v>10</c:v>
                </c:pt>
              </c:numCache>
            </c:numRef>
          </c:val>
          <c:extLst>
            <c:ext xmlns:c16="http://schemas.microsoft.com/office/drawing/2014/chart" uri="{C3380CC4-5D6E-409C-BE32-E72D297353CC}">
              <c16:uniqueId val="{00000000-0358-427E-88F5-40F9D29A527A}"/>
            </c:ext>
          </c:extLst>
        </c:ser>
        <c:dLbls>
          <c:showLegendKey val="0"/>
          <c:showVal val="0"/>
          <c:showCatName val="0"/>
          <c:showSerName val="0"/>
          <c:showPercent val="0"/>
          <c:showBubbleSize val="0"/>
        </c:dLbls>
        <c:gapWidth val="0"/>
        <c:axId val="78311762"/>
        <c:axId val="95490552"/>
      </c:barChart>
      <c:catAx>
        <c:axId val="78311762"/>
        <c:scaling>
          <c:orientation val="minMax"/>
        </c:scaling>
        <c:delete val="0"/>
        <c:axPos val="b"/>
        <c:title>
          <c:tx>
            <c:rich>
              <a:bodyPr rot="0"/>
              <a:lstStyle/>
              <a:p>
                <a:pPr>
                  <a:defRPr sz="1000" b="1" strike="noStrike" spc="-1">
                    <a:solidFill>
                      <a:srgbClr val="000000"/>
                    </a:solidFill>
                    <a:latin typeface="Calibri"/>
                  </a:defRPr>
                </a:pPr>
                <a:r>
                  <a:rPr sz="1000" b="1" strike="noStrike" spc="-1">
                    <a:solidFill>
                      <a:srgbClr val="000000"/>
                    </a:solidFill>
                    <a:latin typeface="Calibri"/>
                  </a:rPr>
                  <a:t>TPH Bucket</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95490552"/>
        <c:crosses val="autoZero"/>
        <c:auto val="1"/>
        <c:lblAlgn val="ctr"/>
        <c:lblOffset val="100"/>
        <c:noMultiLvlLbl val="0"/>
      </c:catAx>
      <c:valAx>
        <c:axId val="95490552"/>
        <c:scaling>
          <c:orientation val="minMax"/>
        </c:scaling>
        <c:delete val="0"/>
        <c:axPos val="l"/>
        <c:majorGridlines>
          <c:spPr>
            <a:ln w="0">
              <a:solidFill>
                <a:srgbClr val="B3B3B3"/>
              </a:solidFill>
            </a:ln>
          </c:spPr>
        </c:majorGridlines>
        <c:title>
          <c:tx>
            <c:rich>
              <a:bodyPr rot="-5400000"/>
              <a:lstStyle/>
              <a:p>
                <a:pPr>
                  <a:defRPr sz="1000" b="1" strike="noStrike" spc="-1">
                    <a:solidFill>
                      <a:srgbClr val="000000"/>
                    </a:solidFill>
                    <a:latin typeface="Calibri"/>
                  </a:defRPr>
                </a:pPr>
                <a:r>
                  <a:rPr sz="1000" b="1" strike="noStrike" spc="-1">
                    <a:solidFill>
                      <a:srgbClr val="000000"/>
                    </a:solidFill>
                    <a:latin typeface="Calibri"/>
                  </a:rPr>
                  <a:t>Number of Agents</a:t>
                </a:r>
              </a:p>
            </c:rich>
          </c:tx>
          <c:overlay val="0"/>
          <c:spPr>
            <a:noFill/>
            <a:ln w="0">
              <a:noFill/>
            </a:ln>
          </c:spPr>
        </c:title>
        <c:numFmt formatCode="General" sourceLinked="0"/>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78311762"/>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Weekly TPH Trend</a:t>
            </a:r>
          </a:p>
        </c:rich>
      </c:tx>
      <c:overlay val="0"/>
      <c:spPr>
        <a:noFill/>
        <a:ln w="0">
          <a:noFill/>
        </a:ln>
      </c:spPr>
    </c:title>
    <c:autoTitleDeleted val="0"/>
    <c:plotArea>
      <c:layout/>
      <c:lineChart>
        <c:grouping val="standard"/>
        <c:varyColors val="0"/>
        <c:ser>
          <c:idx val="0"/>
          <c:order val="0"/>
          <c:tx>
            <c:strRef>
              <c:f>'Graphical Presentation'!$B$28</c:f>
              <c:strCache>
                <c:ptCount val="1"/>
                <c:pt idx="0">
                  <c:v>TPH</c:v>
                </c:pt>
              </c:strCache>
            </c:strRef>
          </c:tx>
          <c:spPr>
            <a:ln w="0">
              <a:solidFill>
                <a:srgbClr val="FFFFFF"/>
              </a:solidFill>
            </a:ln>
          </c:spPr>
          <c:marker>
            <c:symbol val="none"/>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'Graphical Presentation'!$A$29:$A$39</c:f>
              <c:strCache>
                <c:ptCount val="11"/>
                <c:pt idx="0">
                  <c:v>27-Mar-23</c:v>
                </c:pt>
                <c:pt idx="1">
                  <c:v>03-Apr-23</c:v>
                </c:pt>
                <c:pt idx="2">
                  <c:v>10-Apr-23</c:v>
                </c:pt>
                <c:pt idx="3">
                  <c:v>17-Apr-23</c:v>
                </c:pt>
                <c:pt idx="4">
                  <c:v>24-Apr-23</c:v>
                </c:pt>
                <c:pt idx="5">
                  <c:v>01-May-23</c:v>
                </c:pt>
                <c:pt idx="6">
                  <c:v>08-May-23</c:v>
                </c:pt>
                <c:pt idx="7">
                  <c:v>15-May-23</c:v>
                </c:pt>
                <c:pt idx="8">
                  <c:v>22-May-23</c:v>
                </c:pt>
                <c:pt idx="9">
                  <c:v>29-May-23</c:v>
                </c:pt>
                <c:pt idx="10">
                  <c:v>05-Jun-23</c:v>
                </c:pt>
              </c:strCache>
            </c:strRef>
          </c:cat>
          <c:val>
            <c:numRef>
              <c:f>'Graphical Presentation'!$B$29:$B$39</c:f>
              <c:numCache>
                <c:formatCode>General</c:formatCode>
                <c:ptCount val="11"/>
                <c:pt idx="0">
                  <c:v>8.5693682381306395</c:v>
                </c:pt>
                <c:pt idx="1">
                  <c:v>9.6882250112939001</c:v>
                </c:pt>
                <c:pt idx="2">
                  <c:v>10.2285793232668</c:v>
                </c:pt>
                <c:pt idx="3">
                  <c:v>10.7569600386516</c:v>
                </c:pt>
                <c:pt idx="4">
                  <c:v>11.0940710197419</c:v>
                </c:pt>
                <c:pt idx="5">
                  <c:v>10.2285793232668</c:v>
                </c:pt>
                <c:pt idx="6">
                  <c:v>10.7569600386516</c:v>
                </c:pt>
                <c:pt idx="7">
                  <c:v>11.0940710197419</c:v>
                </c:pt>
                <c:pt idx="8">
                  <c:v>9.1701374191285598</c:v>
                </c:pt>
                <c:pt idx="9">
                  <c:v>10.4000504504793</c:v>
                </c:pt>
                <c:pt idx="10">
                  <c:v>9.0536222981429706</c:v>
                </c:pt>
              </c:numCache>
            </c:numRef>
          </c:val>
          <c:smooth val="1"/>
          <c:extLst>
            <c:ext xmlns:c16="http://schemas.microsoft.com/office/drawing/2014/chart" uri="{C3380CC4-5D6E-409C-BE32-E72D297353CC}">
              <c16:uniqueId val="{00000000-32DA-4E44-A1AC-387CC3A2EC1A}"/>
            </c:ext>
          </c:extLst>
        </c:ser>
        <c:dLbls>
          <c:showLegendKey val="0"/>
          <c:showVal val="0"/>
          <c:showCatName val="0"/>
          <c:showSerName val="0"/>
          <c:showPercent val="0"/>
          <c:showBubbleSize val="0"/>
        </c:dLbls>
        <c:hiLowLines>
          <c:spPr>
            <a:ln w="0">
              <a:noFill/>
            </a:ln>
          </c:spPr>
        </c:hiLowLines>
        <c:smooth val="0"/>
        <c:axId val="91914503"/>
        <c:axId val="24928562"/>
      </c:lineChart>
      <c:catAx>
        <c:axId val="91914503"/>
        <c:scaling>
          <c:orientation val="minMax"/>
        </c:scaling>
        <c:delete val="0"/>
        <c:axPos val="b"/>
        <c:title>
          <c:tx>
            <c:rich>
              <a:bodyPr rot="0"/>
              <a:lstStyle/>
              <a:p>
                <a:pPr>
                  <a:defRPr sz="1000" b="1" strike="noStrike" spc="-1">
                    <a:solidFill>
                      <a:srgbClr val="000000"/>
                    </a:solidFill>
                    <a:latin typeface="Calibri"/>
                  </a:defRPr>
                </a:pPr>
                <a:r>
                  <a:rPr lang="en-IN" sz="1000" b="1" strike="noStrike" spc="-1">
                    <a:solidFill>
                      <a:srgbClr val="000000"/>
                    </a:solidFill>
                    <a:latin typeface="Calibri"/>
                  </a:rPr>
                  <a:t>Week</a:t>
                </a:r>
              </a:p>
            </c:rich>
          </c:tx>
          <c:overlay val="0"/>
          <c:spPr>
            <a:noFill/>
            <a:ln w="0">
              <a:noFill/>
            </a:ln>
          </c:spPr>
        </c:title>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24928562"/>
        <c:crosses val="autoZero"/>
        <c:auto val="1"/>
        <c:lblAlgn val="ctr"/>
        <c:lblOffset val="100"/>
        <c:noMultiLvlLbl val="0"/>
      </c:catAx>
      <c:valAx>
        <c:axId val="24928562"/>
        <c:scaling>
          <c:orientation val="minMax"/>
        </c:scaling>
        <c:delete val="0"/>
        <c:axPos val="l"/>
        <c:majorGridlines>
          <c:spPr>
            <a:ln w="0">
              <a:solidFill>
                <a:srgbClr val="B3B3B3"/>
              </a:solidFill>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TPH</a:t>
                </a:r>
              </a:p>
            </c:rich>
          </c:tx>
          <c:overlay val="0"/>
          <c:spPr>
            <a:noFill/>
            <a:ln w="0">
              <a:noFill/>
            </a:ln>
          </c:spPr>
        </c:title>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91914503"/>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Weekly TPH vs 1-Star %</a:t>
            </a:r>
          </a:p>
        </c:rich>
      </c:tx>
      <c:overlay val="0"/>
      <c:spPr>
        <a:noFill/>
        <a:ln w="0">
          <a:noFill/>
        </a:ln>
      </c:spPr>
    </c:title>
    <c:autoTitleDeleted val="0"/>
    <c:plotArea>
      <c:layout/>
      <c:barChart>
        <c:barDir val="col"/>
        <c:grouping val="clustered"/>
        <c:varyColors val="0"/>
        <c:ser>
          <c:idx val="0"/>
          <c:order val="0"/>
          <c:tx>
            <c:strRef>
              <c:f>'Graphical Presentation'!$B$28</c:f>
              <c:strCache>
                <c:ptCount val="1"/>
                <c:pt idx="0">
                  <c:v>TPH</c:v>
                </c:pt>
              </c:strCache>
            </c:strRef>
          </c:tx>
          <c:spPr>
            <a:solidFill>
              <a:srgbClr val="4472C4"/>
            </a:solidFill>
            <a:ln w="0">
              <a:no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'Graphical Presentation'!$A$29:$A$39</c:f>
              <c:strCache>
                <c:ptCount val="11"/>
                <c:pt idx="0">
                  <c:v>27-Mar-23</c:v>
                </c:pt>
                <c:pt idx="1">
                  <c:v>03-Apr-23</c:v>
                </c:pt>
                <c:pt idx="2">
                  <c:v>10-Apr-23</c:v>
                </c:pt>
                <c:pt idx="3">
                  <c:v>17-Apr-23</c:v>
                </c:pt>
                <c:pt idx="4">
                  <c:v>24-Apr-23</c:v>
                </c:pt>
                <c:pt idx="5">
                  <c:v>01-May-23</c:v>
                </c:pt>
                <c:pt idx="6">
                  <c:v>08-May-23</c:v>
                </c:pt>
                <c:pt idx="7">
                  <c:v>15-May-23</c:v>
                </c:pt>
                <c:pt idx="8">
                  <c:v>22-May-23</c:v>
                </c:pt>
                <c:pt idx="9">
                  <c:v>29-May-23</c:v>
                </c:pt>
                <c:pt idx="10">
                  <c:v>05-Jun-23</c:v>
                </c:pt>
              </c:strCache>
            </c:strRef>
          </c:cat>
          <c:val>
            <c:numRef>
              <c:f>'Graphical Presentation'!$B$29:$B$39</c:f>
              <c:numCache>
                <c:formatCode>General</c:formatCode>
                <c:ptCount val="11"/>
                <c:pt idx="0">
                  <c:v>8.5693682381306395</c:v>
                </c:pt>
                <c:pt idx="1">
                  <c:v>9.6882250112939001</c:v>
                </c:pt>
                <c:pt idx="2">
                  <c:v>10.2285793232668</c:v>
                </c:pt>
                <c:pt idx="3">
                  <c:v>10.7569600386516</c:v>
                </c:pt>
                <c:pt idx="4">
                  <c:v>11.0940710197419</c:v>
                </c:pt>
                <c:pt idx="5">
                  <c:v>10.2285793232668</c:v>
                </c:pt>
                <c:pt idx="6">
                  <c:v>10.7569600386516</c:v>
                </c:pt>
                <c:pt idx="7">
                  <c:v>11.0940710197419</c:v>
                </c:pt>
                <c:pt idx="8">
                  <c:v>9.1701374191285598</c:v>
                </c:pt>
                <c:pt idx="9">
                  <c:v>10.4000504504793</c:v>
                </c:pt>
                <c:pt idx="10">
                  <c:v>9.0536222981429706</c:v>
                </c:pt>
              </c:numCache>
            </c:numRef>
          </c:val>
          <c:extLst>
            <c:ext xmlns:c16="http://schemas.microsoft.com/office/drawing/2014/chart" uri="{C3380CC4-5D6E-409C-BE32-E72D297353CC}">
              <c16:uniqueId val="{00000000-474E-4BB5-93C4-055612C61A95}"/>
            </c:ext>
          </c:extLst>
        </c:ser>
        <c:dLbls>
          <c:showLegendKey val="0"/>
          <c:showVal val="0"/>
          <c:showCatName val="0"/>
          <c:showSerName val="0"/>
          <c:showPercent val="0"/>
          <c:showBubbleSize val="0"/>
        </c:dLbls>
        <c:gapWidth val="150"/>
        <c:axId val="21378092"/>
        <c:axId val="93716972"/>
      </c:barChart>
      <c:lineChart>
        <c:grouping val="standard"/>
        <c:varyColors val="0"/>
        <c:ser>
          <c:idx val="1"/>
          <c:order val="1"/>
          <c:tx>
            <c:strRef>
              <c:f>'Graphical Presentation'!$C$28</c:f>
              <c:strCache>
                <c:ptCount val="1"/>
                <c:pt idx="0">
                  <c:v>1 star%</c:v>
                </c:pt>
              </c:strCache>
            </c:strRef>
          </c:tx>
          <c:spPr>
            <a:ln w="0">
              <a:solidFill>
                <a:srgbClr val="FFFFFF"/>
              </a:solidFill>
            </a:ln>
          </c:spPr>
          <c:marker>
            <c:symbol val="none"/>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'Graphical Presentation'!$A$29:$A$39</c:f>
              <c:strCache>
                <c:ptCount val="11"/>
                <c:pt idx="0">
                  <c:v>27-Mar-23</c:v>
                </c:pt>
                <c:pt idx="1">
                  <c:v>03-Apr-23</c:v>
                </c:pt>
                <c:pt idx="2">
                  <c:v>10-Apr-23</c:v>
                </c:pt>
                <c:pt idx="3">
                  <c:v>17-Apr-23</c:v>
                </c:pt>
                <c:pt idx="4">
                  <c:v>24-Apr-23</c:v>
                </c:pt>
                <c:pt idx="5">
                  <c:v>01-May-23</c:v>
                </c:pt>
                <c:pt idx="6">
                  <c:v>08-May-23</c:v>
                </c:pt>
                <c:pt idx="7">
                  <c:v>15-May-23</c:v>
                </c:pt>
                <c:pt idx="8">
                  <c:v>22-May-23</c:v>
                </c:pt>
                <c:pt idx="9">
                  <c:v>29-May-23</c:v>
                </c:pt>
                <c:pt idx="10">
                  <c:v>05-Jun-23</c:v>
                </c:pt>
              </c:strCache>
            </c:strRef>
          </c:cat>
          <c:val>
            <c:numRef>
              <c:f>'Graphical Presentation'!$C$29:$C$39</c:f>
              <c:numCache>
                <c:formatCode>General</c:formatCode>
                <c:ptCount val="11"/>
                <c:pt idx="0">
                  <c:v>1.5E-3</c:v>
                </c:pt>
                <c:pt idx="1">
                  <c:v>4.4999999999999997E-3</c:v>
                </c:pt>
                <c:pt idx="2">
                  <c:v>1.4E-3</c:v>
                </c:pt>
                <c:pt idx="3">
                  <c:v>5.0000000000000001E-4</c:v>
                </c:pt>
                <c:pt idx="4">
                  <c:v>6.9999999999999999E-4</c:v>
                </c:pt>
                <c:pt idx="5">
                  <c:v>5.0000000000000001E-3</c:v>
                </c:pt>
                <c:pt idx="6">
                  <c:v>5.0000000000000001E-3</c:v>
                </c:pt>
                <c:pt idx="7">
                  <c:v>1.5E-3</c:v>
                </c:pt>
                <c:pt idx="8">
                  <c:v>4.4999999999999997E-3</c:v>
                </c:pt>
                <c:pt idx="9">
                  <c:v>1.4E-3</c:v>
                </c:pt>
                <c:pt idx="10">
                  <c:v>5.0000000000000001E-4</c:v>
                </c:pt>
              </c:numCache>
            </c:numRef>
          </c:val>
          <c:smooth val="1"/>
          <c:extLst>
            <c:ext xmlns:c16="http://schemas.microsoft.com/office/drawing/2014/chart" uri="{C3380CC4-5D6E-409C-BE32-E72D297353CC}">
              <c16:uniqueId val="{00000001-474E-4BB5-93C4-055612C61A95}"/>
            </c:ext>
          </c:extLst>
        </c:ser>
        <c:dLbls>
          <c:showLegendKey val="0"/>
          <c:showVal val="0"/>
          <c:showCatName val="0"/>
          <c:showSerName val="0"/>
          <c:showPercent val="0"/>
          <c:showBubbleSize val="0"/>
        </c:dLbls>
        <c:hiLowLines>
          <c:spPr>
            <a:ln w="0">
              <a:noFill/>
            </a:ln>
          </c:spPr>
        </c:hiLowLines>
        <c:marker val="1"/>
        <c:smooth val="0"/>
        <c:axId val="52834153"/>
        <c:axId val="20369698"/>
      </c:lineChart>
      <c:catAx>
        <c:axId val="21378092"/>
        <c:scaling>
          <c:orientation val="minMax"/>
        </c:scaling>
        <c:delete val="0"/>
        <c:axPos val="b"/>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93716972"/>
        <c:crosses val="autoZero"/>
        <c:auto val="1"/>
        <c:lblAlgn val="ctr"/>
        <c:lblOffset val="100"/>
        <c:noMultiLvlLbl val="0"/>
      </c:catAx>
      <c:valAx>
        <c:axId val="93716972"/>
        <c:scaling>
          <c:orientation val="minMax"/>
        </c:scaling>
        <c:delete val="0"/>
        <c:axPos val="l"/>
        <c:majorGridlines>
          <c:spPr>
            <a:ln w="0">
              <a:solidFill>
                <a:srgbClr val="B3B3B3"/>
              </a:solidFill>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TPH</a:t>
                </a:r>
              </a:p>
            </c:rich>
          </c:tx>
          <c:overlay val="0"/>
          <c:spPr>
            <a:noFill/>
            <a:ln w="0">
              <a:noFill/>
            </a:ln>
          </c:spPr>
        </c:title>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21378092"/>
        <c:crosses val="autoZero"/>
        <c:crossBetween val="between"/>
      </c:valAx>
      <c:catAx>
        <c:axId val="52834153"/>
        <c:scaling>
          <c:orientation val="minMax"/>
        </c:scaling>
        <c:delete val="0"/>
        <c:axPos val="b"/>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20369698"/>
        <c:crosses val="autoZero"/>
        <c:auto val="1"/>
        <c:lblAlgn val="ctr"/>
        <c:lblOffset val="100"/>
        <c:noMultiLvlLbl val="0"/>
      </c:catAx>
      <c:valAx>
        <c:axId val="20369698"/>
        <c:scaling>
          <c:orientation val="minMax"/>
        </c:scaling>
        <c:delete val="0"/>
        <c:axPos val="r"/>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1 star %</a:t>
                </a:r>
              </a:p>
            </c:rich>
          </c:tx>
          <c:overlay val="0"/>
          <c:spPr>
            <a:noFill/>
            <a:ln w="0">
              <a:noFill/>
            </a:ln>
          </c:spPr>
        </c:title>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52834153"/>
        <c:crosses val="max"/>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Avg TPH by Agent (Selected LOB)</a:t>
            </a:r>
          </a:p>
        </c:rich>
      </c:tx>
      <c:overlay val="0"/>
      <c:spPr>
        <a:noFill/>
        <a:ln w="0">
          <a:noFill/>
        </a:ln>
      </c:spPr>
    </c:title>
    <c:autoTitleDeleted val="0"/>
    <c:plotArea>
      <c:layout/>
      <c:barChart>
        <c:barDir val="col"/>
        <c:grouping val="clustered"/>
        <c:varyColors val="0"/>
        <c:ser>
          <c:idx val="0"/>
          <c:order val="0"/>
          <c:tx>
            <c:strRef>
              <c:f>'Graphical Presentation'!$F$28</c:f>
              <c:strCache>
                <c:ptCount val="1"/>
                <c:pt idx="0">
                  <c:v>Avg TPH</c:v>
                </c:pt>
              </c:strCache>
            </c:strRef>
          </c:tx>
          <c:spPr>
            <a:solidFill>
              <a:srgbClr val="4472C4"/>
            </a:solidFill>
            <a:ln w="0">
              <a:noFill/>
            </a:ln>
          </c:spPr>
          <c:invertIfNegative val="0"/>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cat>
            <c:strRef>
              <c:f>'Graphical Presentation'!$E$29:$E$31</c:f>
              <c:strCache>
                <c:ptCount val="3"/>
                <c:pt idx="0">
                  <c:v>Sandeep Kumar</c:v>
                </c:pt>
                <c:pt idx="1">
                  <c:v>SUMAN JOSEPH</c:v>
                </c:pt>
                <c:pt idx="2">
                  <c:v>Gulshan Sirkeck</c:v>
                </c:pt>
              </c:strCache>
            </c:strRef>
          </c:cat>
          <c:val>
            <c:numRef>
              <c:f>'Graphical Presentation'!$F$29:$F$31</c:f>
              <c:numCache>
                <c:formatCode>General</c:formatCode>
                <c:ptCount val="3"/>
                <c:pt idx="0">
                  <c:v>9.3410136622509707</c:v>
                </c:pt>
                <c:pt idx="1">
                  <c:v>10.187594562416551</c:v>
                </c:pt>
                <c:pt idx="2">
                  <c:v>10.693203460553434</c:v>
                </c:pt>
              </c:numCache>
            </c:numRef>
          </c:val>
          <c:extLst>
            <c:ext xmlns:c16="http://schemas.microsoft.com/office/drawing/2014/chart" uri="{C3380CC4-5D6E-409C-BE32-E72D297353CC}">
              <c16:uniqueId val="{00000000-7623-4E38-A15A-1B9F681C28EC}"/>
            </c:ext>
          </c:extLst>
        </c:ser>
        <c:dLbls>
          <c:showLegendKey val="0"/>
          <c:showVal val="0"/>
          <c:showCatName val="0"/>
          <c:showSerName val="0"/>
          <c:showPercent val="0"/>
          <c:showBubbleSize val="0"/>
        </c:dLbls>
        <c:gapWidth val="150"/>
        <c:axId val="87560753"/>
        <c:axId val="92911462"/>
      </c:barChart>
      <c:catAx>
        <c:axId val="87560753"/>
        <c:scaling>
          <c:orientation val="minMax"/>
        </c:scaling>
        <c:delete val="0"/>
        <c:axPos val="b"/>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92911462"/>
        <c:crosses val="autoZero"/>
        <c:auto val="1"/>
        <c:lblAlgn val="ctr"/>
        <c:lblOffset val="100"/>
        <c:noMultiLvlLbl val="0"/>
      </c:catAx>
      <c:valAx>
        <c:axId val="92911462"/>
        <c:scaling>
          <c:orientation val="minMax"/>
        </c:scaling>
        <c:delete val="0"/>
        <c:axPos val="l"/>
        <c:majorGridlines>
          <c:spPr>
            <a:ln w="0">
              <a:solidFill>
                <a:srgbClr val="B3B3B3"/>
              </a:solidFill>
            </a:ln>
          </c:spPr>
        </c:majorGridlines>
        <c:title>
          <c:tx>
            <c:rich>
              <a:bodyPr rot="-5400000"/>
              <a:lstStyle/>
              <a:p>
                <a:pPr>
                  <a:defRPr sz="1000" b="1" strike="noStrike" spc="-1">
                    <a:solidFill>
                      <a:srgbClr val="000000"/>
                    </a:solidFill>
                    <a:latin typeface="Calibri"/>
                  </a:defRPr>
                </a:pPr>
                <a:r>
                  <a:rPr lang="en-IN" sz="1000" b="1" strike="noStrike" spc="-1">
                    <a:solidFill>
                      <a:srgbClr val="000000"/>
                    </a:solidFill>
                    <a:latin typeface="Calibri"/>
                  </a:rPr>
                  <a:t>Avg TPH</a:t>
                </a:r>
              </a:p>
            </c:rich>
          </c:tx>
          <c:overlay val="0"/>
          <c:spPr>
            <a:noFill/>
            <a:ln w="0">
              <a:noFill/>
            </a:ln>
          </c:spPr>
        </c:title>
        <c:numFmt formatCode="General" sourceLinked="1"/>
        <c:majorTickMark val="none"/>
        <c:minorTickMark val="none"/>
        <c:tickLblPos val="nextTo"/>
        <c:spPr>
          <a:ln w="0">
            <a:solidFill>
              <a:srgbClr val="B3B3B3"/>
            </a:solidFill>
          </a:ln>
        </c:spPr>
        <c:txPr>
          <a:bodyPr/>
          <a:lstStyle/>
          <a:p>
            <a:pPr>
              <a:defRPr sz="1000" b="0" strike="noStrike" spc="-1">
                <a:solidFill>
                  <a:srgbClr val="000000"/>
                </a:solidFill>
                <a:latin typeface="Calibri"/>
              </a:defRPr>
            </a:pPr>
            <a:endParaRPr lang="en-US"/>
          </a:p>
        </c:txPr>
        <c:crossAx val="87560753"/>
        <c:crosses val="autoZero"/>
        <c:crossBetween val="between"/>
      </c:valAx>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800" b="1" strike="noStrike" spc="-1">
                <a:solidFill>
                  <a:srgbClr val="000000"/>
                </a:solidFill>
                <a:latin typeface="Calibri"/>
              </a:defRPr>
            </a:pPr>
            <a:r>
              <a:rPr lang="en-IN" sz="1800" b="1" strike="noStrike" spc="-1">
                <a:solidFill>
                  <a:srgbClr val="000000"/>
                </a:solidFill>
                <a:latin typeface="Calibri"/>
              </a:rPr>
              <a:t>TPH Share by Agent (Selected LOB)</a:t>
            </a:r>
          </a:p>
        </c:rich>
      </c:tx>
      <c:overlay val="0"/>
      <c:spPr>
        <a:noFill/>
        <a:ln w="0">
          <a:noFill/>
        </a:ln>
      </c:spPr>
    </c:title>
    <c:autoTitleDeleted val="0"/>
    <c:plotArea>
      <c:layout/>
      <c:pieChart>
        <c:varyColors val="1"/>
        <c:ser>
          <c:idx val="0"/>
          <c:order val="0"/>
          <c:tx>
            <c:strRef>
              <c:f>'Graphical Presentation'!$F$28</c:f>
              <c:strCache>
                <c:ptCount val="1"/>
                <c:pt idx="0">
                  <c:v>Avg TPH</c:v>
                </c:pt>
              </c:strCache>
            </c:strRef>
          </c:tx>
          <c:spPr>
            <a:solidFill>
              <a:srgbClr val="4472C4"/>
            </a:solidFill>
            <a:ln w="0">
              <a:noFill/>
            </a:ln>
          </c:spPr>
          <c:dPt>
            <c:idx val="0"/>
            <c:bubble3D val="0"/>
            <c:spPr>
              <a:solidFill>
                <a:srgbClr val="4472C4"/>
              </a:solidFill>
              <a:ln w="0">
                <a:noFill/>
              </a:ln>
            </c:spPr>
            <c:extLst>
              <c:ext xmlns:c16="http://schemas.microsoft.com/office/drawing/2014/chart" uri="{C3380CC4-5D6E-409C-BE32-E72D297353CC}">
                <c16:uniqueId val="{00000001-4B83-42D3-846D-322A2FA668AE}"/>
              </c:ext>
            </c:extLst>
          </c:dPt>
          <c:dPt>
            <c:idx val="1"/>
            <c:bubble3D val="0"/>
            <c:spPr>
              <a:solidFill>
                <a:srgbClr val="ED7D31"/>
              </a:solidFill>
              <a:ln w="0">
                <a:noFill/>
              </a:ln>
            </c:spPr>
            <c:extLst>
              <c:ext xmlns:c16="http://schemas.microsoft.com/office/drawing/2014/chart" uri="{C3380CC4-5D6E-409C-BE32-E72D297353CC}">
                <c16:uniqueId val="{00000003-4B83-42D3-846D-322A2FA668AE}"/>
              </c:ext>
            </c:extLst>
          </c:dPt>
          <c:dPt>
            <c:idx val="2"/>
            <c:bubble3D val="0"/>
            <c:spPr>
              <a:solidFill>
                <a:srgbClr val="A5A5A5"/>
              </a:solidFill>
              <a:ln w="0">
                <a:noFill/>
              </a:ln>
            </c:spPr>
            <c:extLst>
              <c:ext xmlns:c16="http://schemas.microsoft.com/office/drawing/2014/chart" uri="{C3380CC4-5D6E-409C-BE32-E72D297353CC}">
                <c16:uniqueId val="{00000005-4B83-42D3-846D-322A2FA668AE}"/>
              </c:ext>
            </c:extLst>
          </c:dPt>
          <c:dLbls>
            <c:dLbl>
              <c:idx val="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6="http://schemas.microsoft.com/office/drawing/2014/chart" uri="{C3380CC4-5D6E-409C-BE32-E72D297353CC}">
                  <c16:uniqueId val="{00000001-4B83-42D3-846D-322A2FA668AE}"/>
                </c:ext>
              </c:extLst>
            </c:dLbl>
            <c:dLbl>
              <c:idx val="1"/>
              <c:spPr/>
              <c:txPr>
                <a:bodyPr wrap="none"/>
                <a:lstStyle/>
                <a:p>
                  <a:pPr>
                    <a:defRPr sz="1000" b="0" strike="noStrike" spc="-1">
                      <a:latin typeface="Arial"/>
                    </a:defRPr>
                  </a:pPr>
                  <a:endParaRPr lang="en-US"/>
                </a:p>
              </c:txPr>
              <c:showLegendKey val="0"/>
              <c:showVal val="0"/>
              <c:showCatName val="0"/>
              <c:showSerName val="0"/>
              <c:showPercent val="0"/>
              <c:showBubbleSize val="1"/>
              <c:extLst>
                <c:ext xmlns:c16="http://schemas.microsoft.com/office/drawing/2014/chart" uri="{C3380CC4-5D6E-409C-BE32-E72D297353CC}">
                  <c16:uniqueId val="{00000003-4B83-42D3-846D-322A2FA668AE}"/>
                </c:ext>
              </c:extLst>
            </c:dLbl>
            <c:dLbl>
              <c:idx val="2"/>
              <c:spPr/>
              <c:txPr>
                <a:bodyPr wrap="none"/>
                <a:lstStyle/>
                <a:p>
                  <a:pPr>
                    <a:defRPr sz="1000" b="0" strike="noStrike" spc="-1">
                      <a:latin typeface="Arial"/>
                    </a:defRPr>
                  </a:pPr>
                  <a:endParaRPr lang="en-US"/>
                </a:p>
              </c:txPr>
              <c:showLegendKey val="0"/>
              <c:showVal val="0"/>
              <c:showCatName val="0"/>
              <c:showSerName val="0"/>
              <c:showPercent val="0"/>
              <c:showBubbleSize val="1"/>
              <c:extLst>
                <c:ext xmlns:c16="http://schemas.microsoft.com/office/drawing/2014/chart" uri="{C3380CC4-5D6E-409C-BE32-E72D297353CC}">
                  <c16:uniqueId val="{00000005-4B83-42D3-846D-322A2FA668AE}"/>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1"/>
            <c:extLst>
              <c:ext xmlns:c15="http://schemas.microsoft.com/office/drawing/2012/chart" uri="{CE6537A1-D6FC-4f65-9D91-7224C49458BB}"/>
            </c:extLst>
          </c:dLbls>
          <c:cat>
            <c:strRef>
              <c:f>'Graphical Presentation'!$E$29:$E$31</c:f>
              <c:strCache>
                <c:ptCount val="3"/>
                <c:pt idx="0">
                  <c:v>Sandeep Kumar</c:v>
                </c:pt>
                <c:pt idx="1">
                  <c:v>SUMAN JOSEPH</c:v>
                </c:pt>
                <c:pt idx="2">
                  <c:v>Gulshan Sirkeck</c:v>
                </c:pt>
              </c:strCache>
            </c:strRef>
          </c:cat>
          <c:val>
            <c:numRef>
              <c:f>'Graphical Presentation'!$F$29:$F$31</c:f>
              <c:numCache>
                <c:formatCode>General</c:formatCode>
                <c:ptCount val="3"/>
                <c:pt idx="0">
                  <c:v>9.3410136622509707</c:v>
                </c:pt>
                <c:pt idx="1">
                  <c:v>10.187594562416551</c:v>
                </c:pt>
                <c:pt idx="2">
                  <c:v>10.693203460553434</c:v>
                </c:pt>
              </c:numCache>
            </c:numRef>
          </c:val>
          <c:extLst>
            <c:ext xmlns:c16="http://schemas.microsoft.com/office/drawing/2014/chart" uri="{C3380CC4-5D6E-409C-BE32-E72D297353CC}">
              <c16:uniqueId val="{00000006-4B83-42D3-846D-322A2FA668AE}"/>
            </c:ext>
          </c:extLst>
        </c:ser>
        <c:dLbls>
          <c:showLegendKey val="0"/>
          <c:showVal val="0"/>
          <c:showCatName val="0"/>
          <c:showSerName val="0"/>
          <c:showPercent val="0"/>
          <c:showBubbleSize val="0"/>
          <c:showLeaderLines val="1"/>
        </c:dLbls>
        <c:firstSliceAng val="0"/>
      </c:pieChart>
      <c:spPr>
        <a:noFill/>
        <a:ln w="0">
          <a:noFill/>
        </a:ln>
      </c:spPr>
    </c:plotArea>
    <c:legend>
      <c:legendPos val="r"/>
      <c:overlay val="0"/>
      <c:spPr>
        <a:noFill/>
        <a:ln w="0">
          <a:noFill/>
        </a:ln>
      </c:spPr>
      <c:txPr>
        <a:bodyPr/>
        <a:lstStyle/>
        <a:p>
          <a:pPr>
            <a:defRPr sz="1000" b="0" strike="noStrike" spc="-1">
              <a:solidFill>
                <a:srgbClr val="000000"/>
              </a:solidFill>
              <a:latin typeface="Calibri"/>
            </a:defRPr>
          </a:pPr>
          <a:endParaRPr lang="en-US"/>
        </a:p>
      </c:txPr>
    </c:legend>
    <c:plotVisOnly val="1"/>
    <c:dispBlanksAs val="gap"/>
    <c:showDLblsOverMax val="1"/>
  </c:chart>
  <c:spPr>
    <a:solidFill>
      <a:srgbClr val="FFFFFF"/>
    </a:solidFill>
    <a:ln w="9360">
      <a:solidFill>
        <a:srgbClr val="D9D9D9"/>
      </a:solidFill>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523875</xdr:colOff>
      <xdr:row>3</xdr:row>
      <xdr:rowOff>28770</xdr:rowOff>
    </xdr:from>
    <xdr:to>
      <xdr:col>11</xdr:col>
      <xdr:colOff>81330</xdr:colOff>
      <xdr:row>28</xdr:row>
      <xdr:rowOff>55050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299880</xdr:colOff>
      <xdr:row>0</xdr:row>
      <xdr:rowOff>52560</xdr:rowOff>
    </xdr:from>
    <xdr:to>
      <xdr:col>11</xdr:col>
      <xdr:colOff>603000</xdr:colOff>
      <xdr:row>18</xdr:row>
      <xdr:rowOff>100440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103</xdr:row>
      <xdr:rowOff>0</xdr:rowOff>
    </xdr:from>
    <xdr:to>
      <xdr:col>8</xdr:col>
      <xdr:colOff>481680</xdr:colOff>
      <xdr:row>119</xdr:row>
      <xdr:rowOff>190440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80332</xdr:colOff>
      <xdr:row>9</xdr:row>
      <xdr:rowOff>57380</xdr:rowOff>
    </xdr:from>
    <xdr:to>
      <xdr:col>13</xdr:col>
      <xdr:colOff>222687</xdr:colOff>
      <xdr:row>24</xdr:row>
      <xdr:rowOff>79699</xdr:rowOff>
    </xdr:to>
    <xdr:graphicFrame macro="">
      <xdr:nvGraphicFramePr>
        <xdr:cNvPr id="3" name="Chart 1">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539369</xdr:colOff>
      <xdr:row>9</xdr:row>
      <xdr:rowOff>57381</xdr:rowOff>
    </xdr:from>
    <xdr:to>
      <xdr:col>23</xdr:col>
      <xdr:colOff>165308</xdr:colOff>
      <xdr:row>24</xdr:row>
      <xdr:rowOff>79700</xdr:rowOff>
    </xdr:to>
    <xdr:graphicFrame macro="">
      <xdr:nvGraphicFramePr>
        <xdr:cNvPr id="4" name="Chart 2">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80330</xdr:colOff>
      <xdr:row>24</xdr:row>
      <xdr:rowOff>57378</xdr:rowOff>
    </xdr:from>
    <xdr:to>
      <xdr:col>13</xdr:col>
      <xdr:colOff>222685</xdr:colOff>
      <xdr:row>39</xdr:row>
      <xdr:rowOff>79339</xdr:rowOff>
    </xdr:to>
    <xdr:graphicFrame macro="">
      <xdr:nvGraphicFramePr>
        <xdr:cNvPr id="5" name="Chart 3">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13</xdr:col>
      <xdr:colOff>539367</xdr:colOff>
      <xdr:row>24</xdr:row>
      <xdr:rowOff>68855</xdr:rowOff>
    </xdr:from>
    <xdr:to>
      <xdr:col>23</xdr:col>
      <xdr:colOff>165306</xdr:colOff>
      <xdr:row>39</xdr:row>
      <xdr:rowOff>91176</xdr:rowOff>
    </xdr:to>
    <xdr:graphicFrame macro="">
      <xdr:nvGraphicFramePr>
        <xdr:cNvPr id="6" name="Chart 4">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180975</xdr:colOff>
          <xdr:row>6</xdr:row>
          <xdr:rowOff>76200</xdr:rowOff>
        </xdr:from>
        <xdr:to>
          <xdr:col>13</xdr:col>
          <xdr:colOff>180975</xdr:colOff>
          <xdr:row>8</xdr:row>
          <xdr:rowOff>9525</xdr:rowOff>
        </xdr:to>
        <xdr:sp macro="" textlink="">
          <xdr:nvSpPr>
            <xdr:cNvPr id="1001" name="Button 2" descr="Consumer" hidden="1">
              <a:extLst>
                <a:ext uri="{63B3BB69-23CF-44E3-9099-C40C66FF867C}">
                  <a14:compatExt spid="_x0000_s1001"/>
                </a:ext>
                <a:ext uri="{FF2B5EF4-FFF2-40B4-BE49-F238E27FC236}">
                  <a16:creationId xmlns:a16="http://schemas.microsoft.com/office/drawing/2014/main" id="{00000000-0008-0000-0700-0000E9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IN" sz="1100" b="0" i="0" u="none" strike="noStrike" baseline="0">
                  <a:solidFill>
                    <a:srgbClr val="000000"/>
                  </a:solidFill>
                  <a:latin typeface="Calibri"/>
                  <a:cs typeface="Calibri"/>
                </a:rPr>
                <a:t>Consumer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514350</xdr:colOff>
          <xdr:row>6</xdr:row>
          <xdr:rowOff>76200</xdr:rowOff>
        </xdr:from>
        <xdr:to>
          <xdr:col>15</xdr:col>
          <xdr:colOff>342900</xdr:colOff>
          <xdr:row>8</xdr:row>
          <xdr:rowOff>9525</xdr:rowOff>
        </xdr:to>
        <xdr:sp macro="" textlink="">
          <xdr:nvSpPr>
            <xdr:cNvPr id="1002" name="Button 3" descr="Rider" hidden="1">
              <a:extLst>
                <a:ext uri="{63B3BB69-23CF-44E3-9099-C40C66FF867C}">
                  <a14:compatExt spid="_x0000_s1002"/>
                </a:ext>
                <a:ext uri="{FF2B5EF4-FFF2-40B4-BE49-F238E27FC236}">
                  <a16:creationId xmlns:a16="http://schemas.microsoft.com/office/drawing/2014/main" id="{00000000-0008-0000-0700-0000EA03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27432" anchor="ctr" upright="1"/>
            <a:lstStyle/>
            <a:p>
              <a:pPr algn="l" rtl="0">
                <a:defRPr sz="1000"/>
              </a:pPr>
              <a:r>
                <a:rPr lang="en-IN" sz="1100" b="0" i="0" u="none" strike="noStrike" baseline="0">
                  <a:solidFill>
                    <a:srgbClr val="000000"/>
                  </a:solidFill>
                  <a:latin typeface="Calibri"/>
                  <a:cs typeface="Calibri"/>
                </a:rPr>
                <a:t>Rider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180975</xdr:colOff>
          <xdr:row>6</xdr:row>
          <xdr:rowOff>76200</xdr:rowOff>
        </xdr:from>
        <xdr:to>
          <xdr:col>13</xdr:col>
          <xdr:colOff>180975</xdr:colOff>
          <xdr:row>8</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Consumer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514350</xdr:colOff>
          <xdr:row>6</xdr:row>
          <xdr:rowOff>76200</xdr:rowOff>
        </xdr:from>
        <xdr:to>
          <xdr:col>15</xdr:col>
          <xdr:colOff>342900</xdr:colOff>
          <xdr:row>8</xdr:row>
          <xdr:rowOff>9525</xdr:rowOff>
        </xdr:to>
        <xdr:sp macro="" textlink="">
          <xdr:nvSpPr>
            <xdr:cNvPr id="4097" name="Button 3"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IN" sz="1100" b="0" i="0" u="none" strike="noStrike" baseline="0">
                  <a:solidFill>
                    <a:srgbClr val="000000"/>
                  </a:solidFill>
                  <a:latin typeface="Calibri"/>
                  <a:cs typeface="Calibri"/>
                </a:rPr>
                <a:t>Rider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N38"/>
  <sheetViews>
    <sheetView showGridLines="0" topLeftCell="D1" zoomScale="120" zoomScaleNormal="120" workbookViewId="0">
      <pane ySplit="4" topLeftCell="A5" activePane="bottomLeft" state="frozen"/>
      <selection activeCell="D1" sqref="D1"/>
      <selection pane="bottomLeft" activeCell="C34" sqref="C34"/>
    </sheetView>
  </sheetViews>
  <sheetFormatPr defaultColWidth="9.140625" defaultRowHeight="11.25" x14ac:dyDescent="0.2"/>
  <cols>
    <col min="1" max="1" width="27.5703125" style="2" customWidth="1"/>
    <col min="2" max="2" width="8.140625" style="2" customWidth="1"/>
    <col min="3" max="3" width="106.28515625" style="3" customWidth="1"/>
    <col min="4" max="4" width="9.85546875" style="2" customWidth="1"/>
    <col min="5" max="5" width="8.42578125" style="2" customWidth="1"/>
    <col min="6" max="6" width="0.85546875" style="2" customWidth="1"/>
    <col min="7" max="7" width="10.85546875" style="3" customWidth="1"/>
    <col min="8" max="8" width="11.7109375" style="3" customWidth="1"/>
    <col min="9" max="9" width="9.140625" style="2"/>
    <col min="10" max="10" width="15" style="2" customWidth="1"/>
    <col min="11" max="11" width="9.42578125" style="2" customWidth="1"/>
    <col min="12" max="12" width="9.140625" style="2"/>
    <col min="13" max="13" width="15" style="2" customWidth="1"/>
    <col min="14" max="14" width="7.42578125" style="2" customWidth="1"/>
    <col min="15" max="16384" width="9.140625" style="2"/>
  </cols>
  <sheetData>
    <row r="1" spans="1:14" ht="11.25" customHeight="1" x14ac:dyDescent="0.2">
      <c r="A1" s="4" t="s">
        <v>0</v>
      </c>
    </row>
    <row r="2" spans="1:14" ht="11.25" customHeight="1" x14ac:dyDescent="0.2">
      <c r="A2" s="5"/>
    </row>
    <row r="4" spans="1:14" ht="11.25" customHeight="1" x14ac:dyDescent="0.2">
      <c r="B4" s="6" t="s">
        <v>1</v>
      </c>
      <c r="C4" s="6" t="s">
        <v>2</v>
      </c>
      <c r="D4" s="6" t="s">
        <v>3</v>
      </c>
      <c r="E4" s="6" t="s">
        <v>4</v>
      </c>
    </row>
    <row r="5" spans="1:14" ht="11.25" customHeight="1" x14ac:dyDescent="0.2">
      <c r="B5" s="7">
        <v>1</v>
      </c>
      <c r="C5" s="7" t="s">
        <v>5</v>
      </c>
      <c r="D5" s="7"/>
      <c r="E5" s="7">
        <v>5</v>
      </c>
      <c r="G5" s="7" t="s">
        <v>6</v>
      </c>
      <c r="H5" s="8">
        <f>65/(1+0.55)</f>
        <v>41.935483870967744</v>
      </c>
      <c r="J5" s="7" t="s">
        <v>7</v>
      </c>
      <c r="K5" s="7">
        <v>50000</v>
      </c>
      <c r="M5" s="7" t="s">
        <v>8</v>
      </c>
      <c r="N5" s="9">
        <f>(N11 * N8 * (1 - N9) * N10 * N7 * 3600) / N6</f>
        <v>69392.125984251965</v>
      </c>
    </row>
    <row r="6" spans="1:14" ht="11.25" customHeight="1" x14ac:dyDescent="0.2">
      <c r="B6" s="7">
        <v>2</v>
      </c>
      <c r="C6" s="7" t="s">
        <v>9</v>
      </c>
      <c r="D6" s="7"/>
      <c r="E6" s="7">
        <v>5</v>
      </c>
      <c r="J6" s="7" t="s">
        <v>10</v>
      </c>
      <c r="K6" s="7">
        <v>635</v>
      </c>
      <c r="M6" s="7" t="s">
        <v>10</v>
      </c>
      <c r="N6" s="7">
        <v>635</v>
      </c>
    </row>
    <row r="7" spans="1:14" ht="11.25" customHeight="1" x14ac:dyDescent="0.2">
      <c r="B7" s="7">
        <v>3</v>
      </c>
      <c r="C7" s="7" t="s">
        <v>11</v>
      </c>
      <c r="D7" s="7"/>
      <c r="E7" s="7">
        <v>5</v>
      </c>
      <c r="G7" s="7" t="s">
        <v>12</v>
      </c>
      <c r="H7" s="7">
        <v>15</v>
      </c>
      <c r="J7" s="7" t="s">
        <v>13</v>
      </c>
      <c r="K7" s="7">
        <v>1.2</v>
      </c>
      <c r="M7" s="7" t="s">
        <v>13</v>
      </c>
      <c r="N7" s="7">
        <v>1.2</v>
      </c>
    </row>
    <row r="8" spans="1:14" ht="11.25" customHeight="1" x14ac:dyDescent="0.2">
      <c r="B8" s="7">
        <v>4</v>
      </c>
      <c r="C8" s="7" t="s">
        <v>14</v>
      </c>
      <c r="D8" s="7"/>
      <c r="E8" s="7">
        <v>5</v>
      </c>
      <c r="G8" s="7" t="s">
        <v>15</v>
      </c>
      <c r="H8" s="7">
        <v>5</v>
      </c>
      <c r="J8" s="7" t="s">
        <v>16</v>
      </c>
      <c r="K8" s="7">
        <v>40</v>
      </c>
      <c r="M8" s="7" t="s">
        <v>16</v>
      </c>
      <c r="N8" s="7">
        <v>40</v>
      </c>
    </row>
    <row r="9" spans="1:14" ht="11.25" customHeight="1" x14ac:dyDescent="0.2">
      <c r="B9" s="7">
        <v>5</v>
      </c>
      <c r="C9" s="7" t="s">
        <v>17</v>
      </c>
      <c r="D9" s="7"/>
      <c r="E9" s="7">
        <v>10</v>
      </c>
      <c r="G9" s="7" t="s">
        <v>18</v>
      </c>
      <c r="H9" s="7">
        <v>18</v>
      </c>
      <c r="J9" s="7" t="s">
        <v>19</v>
      </c>
      <c r="K9" s="10">
        <v>0.15</v>
      </c>
      <c r="M9" s="7" t="s">
        <v>19</v>
      </c>
      <c r="N9" s="10">
        <v>0.15</v>
      </c>
    </row>
    <row r="10" spans="1:14" ht="11.25" customHeight="1" x14ac:dyDescent="0.2">
      <c r="B10" s="7">
        <v>6</v>
      </c>
      <c r="C10" s="7" t="s">
        <v>20</v>
      </c>
      <c r="D10" s="7"/>
      <c r="E10" s="7">
        <v>10</v>
      </c>
      <c r="G10" s="7" t="s">
        <v>21</v>
      </c>
      <c r="H10" s="11">
        <f>(H7+H8)-H9</f>
        <v>2</v>
      </c>
      <c r="J10" s="7" t="s">
        <v>22</v>
      </c>
      <c r="K10" s="10">
        <v>0.6</v>
      </c>
      <c r="M10" s="7" t="s">
        <v>22</v>
      </c>
      <c r="N10" s="10">
        <v>0.6</v>
      </c>
    </row>
    <row r="11" spans="1:14" ht="11.25" customHeight="1" x14ac:dyDescent="0.2">
      <c r="B11" s="7">
        <v>7</v>
      </c>
      <c r="C11" s="7" t="s">
        <v>23</v>
      </c>
      <c r="D11" s="7"/>
      <c r="E11" s="7">
        <v>10</v>
      </c>
      <c r="G11" s="7" t="s">
        <v>24</v>
      </c>
      <c r="H11" s="12">
        <f>H10/AVERAGE(H7,H9)</f>
        <v>0.12121212121212122</v>
      </c>
      <c r="J11" s="7" t="s">
        <v>25</v>
      </c>
      <c r="K11" s="9">
        <f>((K5*K6)/(3600*K7)) / (K8 * K10 * (1 - K9))</f>
        <v>360.27142338416854</v>
      </c>
      <c r="M11" s="7" t="s">
        <v>25</v>
      </c>
      <c r="N11" s="7">
        <v>500</v>
      </c>
    </row>
    <row r="12" spans="1:14" ht="11.25" customHeight="1" x14ac:dyDescent="0.2">
      <c r="B12" s="7">
        <v>8</v>
      </c>
      <c r="C12" s="7" t="s">
        <v>26</v>
      </c>
      <c r="D12" s="7"/>
      <c r="E12" s="7">
        <v>10</v>
      </c>
    </row>
    <row r="13" spans="1:14" ht="11.25" customHeight="1" x14ac:dyDescent="0.2">
      <c r="B13" s="7">
        <v>9</v>
      </c>
      <c r="C13" s="7" t="s">
        <v>27</v>
      </c>
      <c r="D13" s="7"/>
      <c r="E13" s="7">
        <v>10</v>
      </c>
    </row>
    <row r="14" spans="1:14" ht="33" customHeight="1" x14ac:dyDescent="0.2">
      <c r="B14" s="7">
        <v>10</v>
      </c>
      <c r="C14" s="13" t="s">
        <v>28</v>
      </c>
      <c r="D14" s="7"/>
      <c r="E14" s="7">
        <v>30</v>
      </c>
    </row>
    <row r="15" spans="1:14" ht="11.25" customHeight="1" x14ac:dyDescent="0.2">
      <c r="B15" s="7" t="s">
        <v>29</v>
      </c>
      <c r="C15" s="7"/>
      <c r="D15" s="7">
        <f>SUM(D5:D14)</f>
        <v>0</v>
      </c>
      <c r="E15" s="7">
        <f>SUM(E5:E14)</f>
        <v>100</v>
      </c>
      <c r="G15" s="7" t="s">
        <v>30</v>
      </c>
      <c r="H15" s="7" t="s">
        <v>10</v>
      </c>
    </row>
    <row r="16" spans="1:14" ht="11.25" customHeight="1" x14ac:dyDescent="0.2">
      <c r="D16" s="14">
        <f>D15/E15</f>
        <v>0</v>
      </c>
      <c r="G16" s="7">
        <v>60</v>
      </c>
      <c r="H16" s="7">
        <v>127</v>
      </c>
    </row>
    <row r="17" spans="7:8" ht="11.25" customHeight="1" x14ac:dyDescent="0.2">
      <c r="G17" s="7">
        <v>100</v>
      </c>
      <c r="H17" s="7">
        <v>75</v>
      </c>
    </row>
    <row r="18" spans="7:8" ht="11.25" customHeight="1" x14ac:dyDescent="0.2">
      <c r="G18" s="7">
        <v>150</v>
      </c>
      <c r="H18" s="7">
        <v>66</v>
      </c>
    </row>
    <row r="19" spans="7:8" ht="11.25" customHeight="1" x14ac:dyDescent="0.2">
      <c r="G19" s="7">
        <v>200</v>
      </c>
      <c r="H19" s="7">
        <v>57</v>
      </c>
    </row>
    <row r="20" spans="7:8" ht="11.25" customHeight="1" x14ac:dyDescent="0.2">
      <c r="G20" s="7">
        <v>125</v>
      </c>
      <c r="H20" s="7">
        <v>54</v>
      </c>
    </row>
    <row r="21" spans="7:8" ht="11.25" customHeight="1" x14ac:dyDescent="0.2">
      <c r="G21" s="7" t="s">
        <v>31</v>
      </c>
      <c r="H21" s="15">
        <f>SUMPRODUCT(G16:G20, H16:H20) / SUM(G16:G20)</f>
        <v>67.984251968503941</v>
      </c>
    </row>
    <row r="24" spans="7:8" ht="11.25" customHeight="1" x14ac:dyDescent="0.2">
      <c r="G24" s="16"/>
    </row>
    <row r="34" spans="1:3" ht="11.25" customHeight="1" x14ac:dyDescent="0.2">
      <c r="A34" s="2" t="s">
        <v>32</v>
      </c>
      <c r="B34" s="2" t="s">
        <v>33</v>
      </c>
    </row>
    <row r="36" spans="1:3" ht="11.25" customHeight="1" x14ac:dyDescent="0.2">
      <c r="B36" s="2" t="s">
        <v>34</v>
      </c>
      <c r="C36" s="3">
        <v>65</v>
      </c>
    </row>
    <row r="37" spans="1:3" ht="11.25" customHeight="1" x14ac:dyDescent="0.2">
      <c r="C37" s="3">
        <f>1+55/100</f>
        <v>1.55</v>
      </c>
    </row>
    <row r="38" spans="1:3" ht="11.25" customHeight="1" x14ac:dyDescent="0.2">
      <c r="C38" s="8">
        <f>C36/C37</f>
        <v>41.935483870967744</v>
      </c>
    </row>
  </sheetData>
  <pageMargins left="0.7" right="0.7" top="0.75" bottom="0.75" header="0.511811023622047" footer="0.511811023622047"/>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2747"/>
  <sheetViews>
    <sheetView zoomScaleNormal="100" workbookViewId="0">
      <selection activeCell="C20" sqref="C20"/>
    </sheetView>
  </sheetViews>
  <sheetFormatPr defaultColWidth="9.140625" defaultRowHeight="11.25" x14ac:dyDescent="0.2"/>
  <cols>
    <col min="1" max="1" width="13.28515625" style="2" customWidth="1"/>
    <col min="2" max="2" width="35.5703125" style="3" customWidth="1"/>
    <col min="3" max="3" width="34" style="3" customWidth="1"/>
    <col min="4" max="4" width="11.85546875" style="2" customWidth="1"/>
    <col min="5" max="16384" width="9.140625" style="2"/>
  </cols>
  <sheetData>
    <row r="1" spans="1:4" ht="11.25" customHeight="1" x14ac:dyDescent="0.2">
      <c r="A1" s="2">
        <v>1</v>
      </c>
      <c r="B1" s="17" t="s">
        <v>35</v>
      </c>
      <c r="C1" s="17" t="s">
        <v>36</v>
      </c>
    </row>
    <row r="2" spans="1:4" ht="11.25" customHeight="1" x14ac:dyDescent="0.2">
      <c r="A2" s="18" t="s">
        <v>37</v>
      </c>
      <c r="B2" s="18" t="s">
        <v>38</v>
      </c>
      <c r="C2" s="18" t="s">
        <v>39</v>
      </c>
    </row>
    <row r="3" spans="1:4" ht="11.25" customHeight="1" x14ac:dyDescent="0.25">
      <c r="A3" s="19" t="s">
        <v>40</v>
      </c>
      <c r="B3" s="20">
        <f ca="1">INDIRECT(ADDRESS(MATCH(A3,Raw!$A:$A,0),2,1,1,"Raw"))</f>
        <v>0</v>
      </c>
      <c r="C3" s="20">
        <f>INDEX(Raw!$C:$C,MATCH(A3,Raw!$A:$A,0))</f>
        <v>0</v>
      </c>
      <c r="D3" s="21"/>
    </row>
    <row r="4" spans="1:4" ht="11.25" customHeight="1" x14ac:dyDescent="0.25">
      <c r="A4" s="22" t="s">
        <v>41</v>
      </c>
      <c r="B4" s="20">
        <f ca="1">INDIRECT(ADDRESS(MATCH(A4,Raw!$A:$A,0),2,1,1,"Raw"))</f>
        <v>0</v>
      </c>
      <c r="C4" s="20">
        <f>INDEX(Raw!$C:$C,MATCH(A4,Raw!$A:$A,0))</f>
        <v>0</v>
      </c>
      <c r="D4" s="21"/>
    </row>
    <row r="5" spans="1:4" ht="11.25" customHeight="1" x14ac:dyDescent="0.25">
      <c r="A5" s="19" t="s">
        <v>42</v>
      </c>
      <c r="B5" s="20">
        <f ca="1">INDIRECT(ADDRESS(MATCH(A5,Raw!$A:$A,0),2,1,1,"Raw"))</f>
        <v>0</v>
      </c>
      <c r="C5" s="20">
        <f>INDEX(Raw!$C:$C,MATCH(A5,Raw!$A:$A,0))</f>
        <v>0</v>
      </c>
      <c r="D5" s="21"/>
    </row>
    <row r="6" spans="1:4" ht="11.25" customHeight="1" x14ac:dyDescent="0.25">
      <c r="A6" s="19" t="s">
        <v>43</v>
      </c>
      <c r="B6" s="20">
        <f ca="1">INDIRECT(ADDRESS(MATCH(A6,Raw!$A:$A,0),2,1,1,"Raw"))</f>
        <v>0</v>
      </c>
      <c r="C6" s="20">
        <f>INDEX(Raw!$C:$C,MATCH(A6,Raw!$A:$A,0))</f>
        <v>0</v>
      </c>
      <c r="D6" s="21"/>
    </row>
    <row r="7" spans="1:4" ht="11.25" customHeight="1" x14ac:dyDescent="0.25">
      <c r="A7" s="22" t="s">
        <v>44</v>
      </c>
      <c r="B7" s="20">
        <f ca="1">INDIRECT(ADDRESS(MATCH(A7,Raw!$A:$A,0),2,1,1,"Raw"))</f>
        <v>0</v>
      </c>
      <c r="C7" s="20">
        <f>INDEX(Raw!$C:$C,MATCH(A7,Raw!$A:$A,0))</f>
        <v>0</v>
      </c>
      <c r="D7" s="21"/>
    </row>
    <row r="8" spans="1:4" ht="11.25" customHeight="1" x14ac:dyDescent="0.25">
      <c r="A8" s="19" t="s">
        <v>45</v>
      </c>
      <c r="B8" s="20">
        <f ca="1">INDIRECT(ADDRESS(MATCH(A8,Raw!$A:$A,0),2,1,1,"Raw"))</f>
        <v>0</v>
      </c>
      <c r="C8" s="20">
        <f>INDEX(Raw!$C:$C,MATCH(A8,Raw!$A:$A,0))</f>
        <v>0</v>
      </c>
      <c r="D8" s="21"/>
    </row>
    <row r="9" spans="1:4" ht="11.25" customHeight="1" x14ac:dyDescent="0.25">
      <c r="A9" s="22" t="s">
        <v>46</v>
      </c>
      <c r="B9" s="20">
        <f ca="1">INDIRECT(ADDRESS(MATCH(A9,Raw!$A:$A,0),2,1,1,"Raw"))</f>
        <v>0</v>
      </c>
      <c r="C9" s="20">
        <f>INDEX(Raw!$C:$C,MATCH(A9,Raw!$A:$A,0))</f>
        <v>0</v>
      </c>
      <c r="D9" s="21"/>
    </row>
    <row r="10" spans="1:4" ht="11.25" customHeight="1" x14ac:dyDescent="0.25">
      <c r="A10" s="22" t="s">
        <v>47</v>
      </c>
      <c r="B10" s="20">
        <f ca="1">INDIRECT(ADDRESS(MATCH(A10,Raw!$A:$A,0),2,1,1,"Raw"))</f>
        <v>0</v>
      </c>
      <c r="C10" s="20">
        <f>INDEX(Raw!$C:$C,MATCH(A10,Raw!$A:$A,0))</f>
        <v>0</v>
      </c>
      <c r="D10" s="21"/>
    </row>
    <row r="11" spans="1:4" ht="11.25" customHeight="1" x14ac:dyDescent="0.25">
      <c r="A11" s="22" t="s">
        <v>48</v>
      </c>
      <c r="B11" s="20">
        <f ca="1">INDIRECT(ADDRESS(MATCH(A11,Raw!$A:$A,0),2,1,1,"Raw"))</f>
        <v>0</v>
      </c>
      <c r="C11" s="20">
        <f>INDEX(Raw!$C:$C,MATCH(A11,Raw!$A:$A,0))</f>
        <v>0</v>
      </c>
      <c r="D11" s="21"/>
    </row>
    <row r="12" spans="1:4" ht="11.25" customHeight="1" x14ac:dyDescent="0.25">
      <c r="A12" s="19" t="s">
        <v>49</v>
      </c>
      <c r="B12" s="20">
        <f ca="1">INDIRECT(ADDRESS(MATCH(A12,Raw!$A:$A,0),2,1,1,"Raw"))</f>
        <v>0</v>
      </c>
      <c r="C12" s="20">
        <f>INDEX(Raw!$C:$C,MATCH(A12,Raw!$A:$A,0))</f>
        <v>0</v>
      </c>
      <c r="D12" s="21"/>
    </row>
    <row r="13" spans="1:4" ht="11.25" customHeight="1" x14ac:dyDescent="0.25">
      <c r="A13" s="22" t="s">
        <v>50</v>
      </c>
      <c r="B13" s="20">
        <f ca="1">INDIRECT(ADDRESS(MATCH(A13,Raw!$A:$A,0),2,1,1,"Raw"))</f>
        <v>0</v>
      </c>
      <c r="C13" s="20">
        <f>INDEX(Raw!$C:$C,MATCH(A13,Raw!$A:$A,0))</f>
        <v>0</v>
      </c>
      <c r="D13" s="21"/>
    </row>
    <row r="14" spans="1:4" ht="11.25" customHeight="1" x14ac:dyDescent="0.25">
      <c r="A14" s="19" t="s">
        <v>51</v>
      </c>
      <c r="B14" s="20">
        <f ca="1">INDIRECT(ADDRESS(MATCH(A14,Raw!$A:$A,0),2,1,1,"Raw"))</f>
        <v>0</v>
      </c>
      <c r="C14" s="20">
        <f>INDEX(Raw!$C:$C,MATCH(A14,Raw!$A:$A,0))</f>
        <v>0</v>
      </c>
      <c r="D14" s="21"/>
    </row>
    <row r="15" spans="1:4" ht="11.25" customHeight="1" x14ac:dyDescent="0.25">
      <c r="A15" s="22" t="s">
        <v>52</v>
      </c>
      <c r="B15" s="20">
        <f ca="1">INDIRECT(ADDRESS(MATCH(A15,Raw!$A:$A,0),2,1,1,"Raw"))</f>
        <v>0</v>
      </c>
      <c r="C15" s="20">
        <f>INDEX(Raw!$C:$C,MATCH(A15,Raw!$A:$A,0))</f>
        <v>0</v>
      </c>
      <c r="D15" s="21"/>
    </row>
    <row r="16" spans="1:4" ht="11.25" customHeight="1" x14ac:dyDescent="0.25">
      <c r="A16" s="22" t="s">
        <v>53</v>
      </c>
      <c r="B16" s="20">
        <f ca="1">INDIRECT(ADDRESS(MATCH(A16,Raw!$A:$A,0),2,1,1,"Raw"))</f>
        <v>0</v>
      </c>
      <c r="C16" s="20">
        <f>INDEX(Raw!$C:$C,MATCH(A16,Raw!$A:$A,0))</f>
        <v>0</v>
      </c>
      <c r="D16" s="21"/>
    </row>
    <row r="17" spans="1:4" ht="11.25" customHeight="1" x14ac:dyDescent="0.25">
      <c r="A17" s="19" t="s">
        <v>54</v>
      </c>
      <c r="B17" s="20">
        <f ca="1">INDIRECT(ADDRESS(MATCH(A17,Raw!$A:$A,0),2,1,1,"Raw"))</f>
        <v>0</v>
      </c>
      <c r="C17" s="20">
        <f>INDEX(Raw!$C:$C,MATCH(A17,Raw!$A:$A,0))</f>
        <v>0</v>
      </c>
      <c r="D17" s="21"/>
    </row>
    <row r="18" spans="1:4" ht="11.25" customHeight="1" x14ac:dyDescent="0.25">
      <c r="A18" s="22" t="s">
        <v>55</v>
      </c>
      <c r="B18" s="20">
        <f ca="1">INDIRECT(ADDRESS(MATCH(A18,Raw!$A:$A,0),2,1,1,"Raw"))</f>
        <v>0</v>
      </c>
      <c r="C18" s="20">
        <f>INDEX(Raw!$C:$C,MATCH(A18,Raw!$A:$A,0))</f>
        <v>0</v>
      </c>
      <c r="D18" s="21"/>
    </row>
    <row r="19" spans="1:4" ht="11.25" customHeight="1" x14ac:dyDescent="0.25">
      <c r="A19" s="22" t="s">
        <v>56</v>
      </c>
      <c r="B19" s="20">
        <f ca="1">INDIRECT(ADDRESS(MATCH(A19,Raw!$A:$A,0),2,1,1,"Raw"))</f>
        <v>0</v>
      </c>
      <c r="C19" s="20">
        <f>INDEX(Raw!$C:$C,MATCH(A19,Raw!$A:$A,0))</f>
        <v>0</v>
      </c>
      <c r="D19" s="21"/>
    </row>
    <row r="20" spans="1:4" ht="11.25" customHeight="1" x14ac:dyDescent="0.25">
      <c r="A20" s="19" t="s">
        <v>57</v>
      </c>
      <c r="B20" s="20">
        <f ca="1">INDIRECT(ADDRESS(MATCH(A20,Raw!$A:$A,0),2,1,1,"Raw"))</f>
        <v>0</v>
      </c>
      <c r="C20" s="20">
        <f>INDEX(Raw!$C:$C,MATCH(A20,Raw!$A:$A,0))</f>
        <v>0</v>
      </c>
      <c r="D20" s="21"/>
    </row>
    <row r="21" spans="1:4" ht="11.25" customHeight="1" x14ac:dyDescent="0.25">
      <c r="A21" s="22" t="s">
        <v>58</v>
      </c>
      <c r="B21" s="20">
        <f ca="1">INDIRECT(ADDRESS(MATCH(A21,Raw!$A:$A,0),2,1,1,"Raw"))</f>
        <v>0</v>
      </c>
      <c r="C21" s="20">
        <f>INDEX(Raw!$C:$C,MATCH(A21,Raw!$A:$A,0))</f>
        <v>0</v>
      </c>
      <c r="D21" s="21"/>
    </row>
    <row r="22" spans="1:4" ht="11.25" customHeight="1" x14ac:dyDescent="0.25">
      <c r="A22" s="19" t="s">
        <v>59</v>
      </c>
      <c r="B22" s="20">
        <f ca="1">INDIRECT(ADDRESS(MATCH(A22,Raw!$A:$A,0),2,1,1,"Raw"))</f>
        <v>0</v>
      </c>
      <c r="C22" s="20">
        <f>INDEX(Raw!$C:$C,MATCH(A22,Raw!$A:$A,0))</f>
        <v>0</v>
      </c>
      <c r="D22" s="21"/>
    </row>
    <row r="23" spans="1:4" ht="11.25" customHeight="1" x14ac:dyDescent="0.25">
      <c r="A23" s="22" t="s">
        <v>60</v>
      </c>
      <c r="B23" s="20">
        <f ca="1">INDIRECT(ADDRESS(MATCH(A23,Raw!$A:$A,0),2,1,1,"Raw"))</f>
        <v>0</v>
      </c>
      <c r="C23" s="20">
        <f>INDEX(Raw!$C:$C,MATCH(A23,Raw!$A:$A,0))</f>
        <v>0</v>
      </c>
      <c r="D23" s="21"/>
    </row>
    <row r="24" spans="1:4" ht="11.25" customHeight="1" x14ac:dyDescent="0.25">
      <c r="A24" s="19" t="s">
        <v>61</v>
      </c>
      <c r="B24" s="20">
        <f ca="1">INDIRECT(ADDRESS(MATCH(A24,Raw!$A:$A,0),2,1,1,"Raw"))</f>
        <v>0</v>
      </c>
      <c r="C24" s="20">
        <f>INDEX(Raw!$C:$C,MATCH(A24,Raw!$A:$A,0))</f>
        <v>0</v>
      </c>
      <c r="D24" s="21"/>
    </row>
    <row r="25" spans="1:4" ht="11.25" customHeight="1" x14ac:dyDescent="0.25">
      <c r="A25" s="19" t="s">
        <v>62</v>
      </c>
      <c r="B25" s="20">
        <f ca="1">INDIRECT(ADDRESS(MATCH(A25,Raw!$A:$A,0),2,1,1,"Raw"))</f>
        <v>0</v>
      </c>
      <c r="C25" s="20">
        <f>INDEX(Raw!$C:$C,MATCH(A25,Raw!$A:$A,0))</f>
        <v>0</v>
      </c>
      <c r="D25" s="21"/>
    </row>
    <row r="26" spans="1:4" ht="11.25" customHeight="1" x14ac:dyDescent="0.25">
      <c r="A26" s="19" t="s">
        <v>63</v>
      </c>
      <c r="B26" s="20">
        <f ca="1">INDIRECT(ADDRESS(MATCH(A26,Raw!$A:$A,0),2,1,1,"Raw"))</f>
        <v>0</v>
      </c>
      <c r="C26" s="20">
        <f>INDEX(Raw!$C:$C,MATCH(A26,Raw!$A:$A,0))</f>
        <v>0</v>
      </c>
      <c r="D26" s="21"/>
    </row>
    <row r="27" spans="1:4" ht="11.25" customHeight="1" x14ac:dyDescent="0.25">
      <c r="A27" s="19" t="s">
        <v>64</v>
      </c>
      <c r="B27" s="20">
        <f ca="1">INDIRECT(ADDRESS(MATCH(A27,Raw!$A:$A,0),2,1,1,"Raw"))</f>
        <v>0</v>
      </c>
      <c r="C27" s="20">
        <f>INDEX(Raw!$C:$C,MATCH(A27,Raw!$A:$A,0))</f>
        <v>0</v>
      </c>
      <c r="D27" s="21"/>
    </row>
    <row r="28" spans="1:4" ht="11.25" customHeight="1" x14ac:dyDescent="0.25">
      <c r="A28" s="22" t="s">
        <v>65</v>
      </c>
      <c r="B28" s="20">
        <f ca="1">INDIRECT(ADDRESS(MATCH(A28,Raw!$A:$A,0),2,1,1,"Raw"))</f>
        <v>0</v>
      </c>
      <c r="C28" s="20">
        <f>INDEX(Raw!$C:$C,MATCH(A28,Raw!$A:$A,0))</f>
        <v>0</v>
      </c>
      <c r="D28" s="21"/>
    </row>
    <row r="29" spans="1:4" ht="11.25" customHeight="1" x14ac:dyDescent="0.25">
      <c r="A29" s="19" t="s">
        <v>66</v>
      </c>
      <c r="B29" s="20">
        <f ca="1">INDIRECT(ADDRESS(MATCH(A29,Raw!$A:$A,0),2,1,1,"Raw"))</f>
        <v>0</v>
      </c>
      <c r="C29" s="20">
        <f>INDEX(Raw!$C:$C,MATCH(A29,Raw!$A:$A,0))</f>
        <v>0</v>
      </c>
      <c r="D29" s="21"/>
    </row>
    <row r="30" spans="1:4" ht="11.25" customHeight="1" x14ac:dyDescent="0.25">
      <c r="A30" s="22" t="s">
        <v>67</v>
      </c>
      <c r="B30" s="20">
        <f ca="1">INDIRECT(ADDRESS(MATCH(A30,Raw!$A:$A,0),2,1,1,"Raw"))</f>
        <v>0</v>
      </c>
      <c r="C30" s="20">
        <f>INDEX(Raw!$C:$C,MATCH(A30,Raw!$A:$A,0))</f>
        <v>0</v>
      </c>
      <c r="D30" s="21"/>
    </row>
    <row r="31" spans="1:4" ht="11.25" customHeight="1" x14ac:dyDescent="0.25">
      <c r="A31" s="19" t="s">
        <v>68</v>
      </c>
      <c r="B31" s="20">
        <f ca="1">INDIRECT(ADDRESS(MATCH(A31,Raw!$A:$A,0),2,1,1,"Raw"))</f>
        <v>0</v>
      </c>
      <c r="C31" s="20">
        <f>INDEX(Raw!$C:$C,MATCH(A31,Raw!$A:$A,0))</f>
        <v>0</v>
      </c>
      <c r="D31" s="21"/>
    </row>
    <row r="32" spans="1:4" ht="11.25" customHeight="1" x14ac:dyDescent="0.25">
      <c r="A32" s="22" t="s">
        <v>69</v>
      </c>
      <c r="B32" s="20">
        <f ca="1">INDIRECT(ADDRESS(MATCH(A32,Raw!$A:$A,0),2,1,1,"Raw"))</f>
        <v>0</v>
      </c>
      <c r="C32" s="20">
        <f>INDEX(Raw!$C:$C,MATCH(A32,Raw!$A:$A,0))</f>
        <v>0</v>
      </c>
      <c r="D32" s="21"/>
    </row>
    <row r="33" spans="1:4" ht="11.25" customHeight="1" x14ac:dyDescent="0.25">
      <c r="A33" s="22" t="s">
        <v>70</v>
      </c>
      <c r="B33" s="20">
        <f ca="1">INDIRECT(ADDRESS(MATCH(A33,Raw!$A:$A,0),2,1,1,"Raw"))</f>
        <v>0</v>
      </c>
      <c r="C33" s="20">
        <f>INDEX(Raw!$C:$C,MATCH(A33,Raw!$A:$A,0))</f>
        <v>0</v>
      </c>
      <c r="D33" s="21"/>
    </row>
    <row r="34" spans="1:4" ht="11.25" customHeight="1" x14ac:dyDescent="0.25">
      <c r="A34" s="22" t="s">
        <v>71</v>
      </c>
      <c r="B34" s="20">
        <f ca="1">INDIRECT(ADDRESS(MATCH(A34,Raw!$A:$A,0),2,1,1,"Raw"))</f>
        <v>0</v>
      </c>
      <c r="C34" s="20">
        <f>INDEX(Raw!$C:$C,MATCH(A34,Raw!$A:$A,0))</f>
        <v>0</v>
      </c>
      <c r="D34" s="21"/>
    </row>
    <row r="35" spans="1:4" ht="11.25" customHeight="1" x14ac:dyDescent="0.25">
      <c r="A35" s="22" t="s">
        <v>72</v>
      </c>
      <c r="B35" s="20">
        <f ca="1">INDIRECT(ADDRESS(MATCH(A35,Raw!$A:$A,0),2,1,1,"Raw"))</f>
        <v>0</v>
      </c>
      <c r="C35" s="20">
        <f>INDEX(Raw!$C:$C,MATCH(A35,Raw!$A:$A,0))</f>
        <v>0</v>
      </c>
      <c r="D35" s="21"/>
    </row>
    <row r="36" spans="1:4" ht="11.25" customHeight="1" x14ac:dyDescent="0.25">
      <c r="A36" s="19" t="s">
        <v>73</v>
      </c>
      <c r="B36" s="20">
        <f ca="1">INDIRECT(ADDRESS(MATCH(A36,Raw!$A:$A,0),2,1,1,"Raw"))</f>
        <v>0</v>
      </c>
      <c r="C36" s="20">
        <f>INDEX(Raw!$C:$C,MATCH(A36,Raw!$A:$A,0))</f>
        <v>0</v>
      </c>
      <c r="D36" s="21"/>
    </row>
    <row r="37" spans="1:4" ht="11.25" customHeight="1" x14ac:dyDescent="0.25">
      <c r="A37" s="22" t="s">
        <v>74</v>
      </c>
      <c r="B37" s="20">
        <f ca="1">INDIRECT(ADDRESS(MATCH(A37,Raw!$A:$A,0),2,1,1,"Raw"))</f>
        <v>0</v>
      </c>
      <c r="C37" s="20">
        <f>INDEX(Raw!$C:$C,MATCH(A37,Raw!$A:$A,0))</f>
        <v>0</v>
      </c>
      <c r="D37" s="21"/>
    </row>
    <row r="38" spans="1:4" ht="11.25" customHeight="1" x14ac:dyDescent="0.25">
      <c r="A38" s="19" t="s">
        <v>75</v>
      </c>
      <c r="B38" s="20">
        <f ca="1">INDIRECT(ADDRESS(MATCH(A38,Raw!$A:$A,0),2,1,1,"Raw"))</f>
        <v>0</v>
      </c>
      <c r="C38" s="20">
        <f>INDEX(Raw!$C:$C,MATCH(A38,Raw!$A:$A,0))</f>
        <v>0</v>
      </c>
      <c r="D38" s="21"/>
    </row>
    <row r="39" spans="1:4" ht="11.25" customHeight="1" x14ac:dyDescent="0.25">
      <c r="A39" s="22" t="s">
        <v>76</v>
      </c>
      <c r="B39" s="20">
        <f ca="1">INDIRECT(ADDRESS(MATCH(A39,Raw!$A:$A,0),2,1,1,"Raw"))</f>
        <v>0</v>
      </c>
      <c r="C39" s="20">
        <f>INDEX(Raw!$C:$C,MATCH(A39,Raw!$A:$A,0))</f>
        <v>0</v>
      </c>
      <c r="D39" s="21"/>
    </row>
    <row r="40" spans="1:4" ht="11.25" customHeight="1" x14ac:dyDescent="0.25">
      <c r="A40" s="19" t="s">
        <v>77</v>
      </c>
      <c r="B40" s="20">
        <f ca="1">INDIRECT(ADDRESS(MATCH(A40,Raw!$A:$A,0),2,1,1,"Raw"))</f>
        <v>0</v>
      </c>
      <c r="C40" s="20">
        <f>INDEX(Raw!$C:$C,MATCH(A40,Raw!$A:$A,0))</f>
        <v>0</v>
      </c>
      <c r="D40" s="21"/>
    </row>
    <row r="41" spans="1:4" ht="11.25" customHeight="1" x14ac:dyDescent="0.25">
      <c r="A41" s="22" t="s">
        <v>78</v>
      </c>
      <c r="B41" s="20">
        <f ca="1">INDIRECT(ADDRESS(MATCH(A41,Raw!$A:$A,0),2,1,1,"Raw"))</f>
        <v>0</v>
      </c>
      <c r="C41" s="20">
        <f>INDEX(Raw!$C:$C,MATCH(A41,Raw!$A:$A,0))</f>
        <v>0</v>
      </c>
      <c r="D41" s="21"/>
    </row>
    <row r="42" spans="1:4" ht="11.25" customHeight="1" x14ac:dyDescent="0.25">
      <c r="A42" s="19" t="s">
        <v>79</v>
      </c>
      <c r="B42" s="20">
        <f ca="1">INDIRECT(ADDRESS(MATCH(A42,Raw!$A:$A,0),2,1,1,"Raw"))</f>
        <v>0</v>
      </c>
      <c r="C42" s="20">
        <f>INDEX(Raw!$C:$C,MATCH(A42,Raw!$A:$A,0))</f>
        <v>0</v>
      </c>
      <c r="D42" s="21"/>
    </row>
    <row r="43" spans="1:4" ht="11.25" customHeight="1" x14ac:dyDescent="0.25">
      <c r="A43" s="22" t="s">
        <v>80</v>
      </c>
      <c r="B43" s="20">
        <f ca="1">INDIRECT(ADDRESS(MATCH(A43,Raw!$A:$A,0),2,1,1,"Raw"))</f>
        <v>0</v>
      </c>
      <c r="C43" s="20">
        <f>INDEX(Raw!$C:$C,MATCH(A43,Raw!$A:$A,0))</f>
        <v>0</v>
      </c>
      <c r="D43" s="21"/>
    </row>
    <row r="44" spans="1:4" ht="11.25" customHeight="1" x14ac:dyDescent="0.25">
      <c r="A44" s="19" t="s">
        <v>81</v>
      </c>
      <c r="B44" s="20">
        <f ca="1">INDIRECT(ADDRESS(MATCH(A44,Raw!$A:$A,0),2,1,1,"Raw"))</f>
        <v>0</v>
      </c>
      <c r="C44" s="20">
        <f>INDEX(Raw!$C:$C,MATCH(A44,Raw!$A:$A,0))</f>
        <v>0</v>
      </c>
      <c r="D44" s="21"/>
    </row>
    <row r="45" spans="1:4" ht="11.25" customHeight="1" x14ac:dyDescent="0.25">
      <c r="A45" s="22" t="s">
        <v>82</v>
      </c>
      <c r="B45" s="20">
        <f ca="1">INDIRECT(ADDRESS(MATCH(A45,Raw!$A:$A,0),2,1,1,"Raw"))</f>
        <v>0</v>
      </c>
      <c r="C45" s="20">
        <f>INDEX(Raw!$C:$C,MATCH(A45,Raw!$A:$A,0))</f>
        <v>0</v>
      </c>
      <c r="D45" s="21"/>
    </row>
    <row r="46" spans="1:4" ht="11.25" customHeight="1" x14ac:dyDescent="0.25">
      <c r="A46" s="22" t="s">
        <v>83</v>
      </c>
      <c r="B46" s="20">
        <f ca="1">INDIRECT(ADDRESS(MATCH(A46,Raw!$A:$A,0),2,1,1,"Raw"))</f>
        <v>0</v>
      </c>
      <c r="C46" s="20">
        <f>INDEX(Raw!$C:$C,MATCH(A46,Raw!$A:$A,0))</f>
        <v>0</v>
      </c>
      <c r="D46" s="21"/>
    </row>
    <row r="47" spans="1:4" ht="11.25" customHeight="1" x14ac:dyDescent="0.25">
      <c r="A47" s="19" t="s">
        <v>84</v>
      </c>
      <c r="B47" s="20">
        <f ca="1">INDIRECT(ADDRESS(MATCH(A47,Raw!$A:$A,0),2,1,1,"Raw"))</f>
        <v>0</v>
      </c>
      <c r="C47" s="20">
        <f>INDEX(Raw!$C:$C,MATCH(A47,Raw!$A:$A,0))</f>
        <v>0</v>
      </c>
      <c r="D47" s="21"/>
    </row>
    <row r="48" spans="1:4" ht="11.25" customHeight="1" x14ac:dyDescent="0.25">
      <c r="A48" s="19" t="s">
        <v>85</v>
      </c>
      <c r="B48" s="20">
        <f ca="1">INDIRECT(ADDRESS(MATCH(A48,Raw!$A:$A,0),2,1,1,"Raw"))</f>
        <v>0</v>
      </c>
      <c r="C48" s="20">
        <f>INDEX(Raw!$C:$C,MATCH(A48,Raw!$A:$A,0))</f>
        <v>0</v>
      </c>
      <c r="D48" s="21"/>
    </row>
    <row r="49" spans="1:4" ht="11.25" customHeight="1" x14ac:dyDescent="0.25">
      <c r="A49" s="22" t="s">
        <v>86</v>
      </c>
      <c r="B49" s="20">
        <f ca="1">INDIRECT(ADDRESS(MATCH(A49,Raw!$A:$A,0),2,1,1,"Raw"))</f>
        <v>0</v>
      </c>
      <c r="C49" s="20">
        <f>INDEX(Raw!$C:$C,MATCH(A49,Raw!$A:$A,0))</f>
        <v>0</v>
      </c>
      <c r="D49" s="21"/>
    </row>
    <row r="50" spans="1:4" ht="11.25" customHeight="1" x14ac:dyDescent="0.25">
      <c r="A50" s="22" t="s">
        <v>87</v>
      </c>
      <c r="B50" s="20">
        <f ca="1">INDIRECT(ADDRESS(MATCH(A50,Raw!$A:$A,0),2,1,1,"Raw"))</f>
        <v>0</v>
      </c>
      <c r="C50" s="20">
        <f>INDEX(Raw!$C:$C,MATCH(A50,Raw!$A:$A,0))</f>
        <v>0</v>
      </c>
      <c r="D50" s="21"/>
    </row>
    <row r="51" spans="1:4" ht="11.25" customHeight="1" x14ac:dyDescent="0.25">
      <c r="A51" s="19" t="s">
        <v>88</v>
      </c>
      <c r="B51" s="20">
        <f ca="1">INDIRECT(ADDRESS(MATCH(A51,Raw!$A:$A,0),2,1,1,"Raw"))</f>
        <v>0</v>
      </c>
      <c r="C51" s="20">
        <f>INDEX(Raw!$C:$C,MATCH(A51,Raw!$A:$A,0))</f>
        <v>0</v>
      </c>
      <c r="D51" s="21"/>
    </row>
    <row r="52" spans="1:4" ht="11.25" customHeight="1" x14ac:dyDescent="0.25">
      <c r="A52" s="19" t="s">
        <v>89</v>
      </c>
      <c r="B52" s="20">
        <f ca="1">INDIRECT(ADDRESS(MATCH(A52,Raw!$A:$A,0),2,1,1,"Raw"))</f>
        <v>0</v>
      </c>
      <c r="C52" s="20">
        <f>INDEX(Raw!$C:$C,MATCH(A52,Raw!$A:$A,0))</f>
        <v>0</v>
      </c>
      <c r="D52" s="21"/>
    </row>
    <row r="53" spans="1:4" ht="11.25" customHeight="1" x14ac:dyDescent="0.25">
      <c r="A53" s="22" t="s">
        <v>90</v>
      </c>
      <c r="B53" s="20">
        <f ca="1">INDIRECT(ADDRESS(MATCH(A53,Raw!$A:$A,0),2,1,1,"Raw"))</f>
        <v>0</v>
      </c>
      <c r="C53" s="20">
        <f>INDEX(Raw!$C:$C,MATCH(A53,Raw!$A:$A,0))</f>
        <v>0</v>
      </c>
      <c r="D53" s="21"/>
    </row>
    <row r="54" spans="1:4" ht="11.25" customHeight="1" x14ac:dyDescent="0.25">
      <c r="A54" s="19" t="s">
        <v>91</v>
      </c>
      <c r="B54" s="20">
        <f ca="1">INDIRECT(ADDRESS(MATCH(A54,Raw!$A:$A,0),2,1,1,"Raw"))</f>
        <v>0</v>
      </c>
      <c r="C54" s="20">
        <f>INDEX(Raw!$C:$C,MATCH(A54,Raw!$A:$A,0))</f>
        <v>0</v>
      </c>
      <c r="D54" s="21"/>
    </row>
    <row r="55" spans="1:4" ht="11.25" customHeight="1" x14ac:dyDescent="0.25">
      <c r="A55" s="22" t="s">
        <v>92</v>
      </c>
      <c r="B55" s="20">
        <f ca="1">INDIRECT(ADDRESS(MATCH(A55,Raw!$A:$A,0),2,1,1,"Raw"))</f>
        <v>0</v>
      </c>
      <c r="C55" s="20">
        <f>INDEX(Raw!$C:$C,MATCH(A55,Raw!$A:$A,0))</f>
        <v>0</v>
      </c>
      <c r="D55" s="21"/>
    </row>
    <row r="56" spans="1:4" ht="11.25" customHeight="1" x14ac:dyDescent="0.25">
      <c r="A56" s="19" t="s">
        <v>93</v>
      </c>
      <c r="B56" s="20">
        <f ca="1">INDIRECT(ADDRESS(MATCH(A56,Raw!$A:$A,0),2,1,1,"Raw"))</f>
        <v>0</v>
      </c>
      <c r="C56" s="20">
        <f>INDEX(Raw!$C:$C,MATCH(A56,Raw!$A:$A,0))</f>
        <v>0</v>
      </c>
      <c r="D56" s="21"/>
    </row>
    <row r="57" spans="1:4" ht="11.25" customHeight="1" x14ac:dyDescent="0.25">
      <c r="A57" s="22" t="s">
        <v>94</v>
      </c>
      <c r="B57" s="20">
        <f ca="1">INDIRECT(ADDRESS(MATCH(A57,Raw!$A:$A,0),2,1,1,"Raw"))</f>
        <v>0</v>
      </c>
      <c r="C57" s="20">
        <f>INDEX(Raw!$C:$C,MATCH(A57,Raw!$A:$A,0))</f>
        <v>0</v>
      </c>
      <c r="D57" s="21"/>
    </row>
    <row r="58" spans="1:4" ht="11.25" customHeight="1" x14ac:dyDescent="0.25">
      <c r="A58" s="19" t="s">
        <v>95</v>
      </c>
      <c r="B58" s="20">
        <f ca="1">INDIRECT(ADDRESS(MATCH(A58,Raw!$A:$A,0),2,1,1,"Raw"))</f>
        <v>0</v>
      </c>
      <c r="C58" s="20">
        <f>INDEX(Raw!$C:$C,MATCH(A58,Raw!$A:$A,0))</f>
        <v>0</v>
      </c>
      <c r="D58" s="21"/>
    </row>
    <row r="59" spans="1:4" ht="11.25" customHeight="1" x14ac:dyDescent="0.25">
      <c r="A59" s="22" t="s">
        <v>96</v>
      </c>
      <c r="B59" s="20">
        <f ca="1">INDIRECT(ADDRESS(MATCH(A59,Raw!$A:$A,0),2,1,1,"Raw"))</f>
        <v>0</v>
      </c>
      <c r="C59" s="20">
        <f>INDEX(Raw!$C:$C,MATCH(A59,Raw!$A:$A,0))</f>
        <v>0</v>
      </c>
      <c r="D59" s="21"/>
    </row>
    <row r="60" spans="1:4" ht="11.25" customHeight="1" x14ac:dyDescent="0.25">
      <c r="A60" s="19" t="s">
        <v>97</v>
      </c>
      <c r="B60" s="20">
        <f ca="1">INDIRECT(ADDRESS(MATCH(A60,Raw!$A:$A,0),2,1,1,"Raw"))</f>
        <v>0</v>
      </c>
      <c r="C60" s="20">
        <f>INDEX(Raw!$C:$C,MATCH(A60,Raw!$A:$A,0))</f>
        <v>0</v>
      </c>
      <c r="D60" s="21"/>
    </row>
    <row r="61" spans="1:4" ht="11.25" customHeight="1" x14ac:dyDescent="0.25">
      <c r="A61" s="22" t="s">
        <v>98</v>
      </c>
      <c r="B61" s="20">
        <f ca="1">INDIRECT(ADDRESS(MATCH(A61,Raw!$A:$A,0),2,1,1,"Raw"))</f>
        <v>0</v>
      </c>
      <c r="C61" s="20">
        <f>INDEX(Raw!$C:$C,MATCH(A61,Raw!$A:$A,0))</f>
        <v>0</v>
      </c>
      <c r="D61" s="21"/>
    </row>
    <row r="62" spans="1:4" ht="11.25" customHeight="1" x14ac:dyDescent="0.25">
      <c r="A62" s="19" t="s">
        <v>99</v>
      </c>
      <c r="B62" s="20">
        <f ca="1">INDIRECT(ADDRESS(MATCH(A62,Raw!$A:$A,0),2,1,1,"Raw"))</f>
        <v>0</v>
      </c>
      <c r="C62" s="20">
        <f>INDEX(Raw!$C:$C,MATCH(A62,Raw!$A:$A,0))</f>
        <v>0</v>
      </c>
      <c r="D62" s="21"/>
    </row>
    <row r="63" spans="1:4" ht="11.25" customHeight="1" x14ac:dyDescent="0.25">
      <c r="A63" s="19" t="s">
        <v>100</v>
      </c>
      <c r="B63" s="20">
        <f ca="1">INDIRECT(ADDRESS(MATCH(A63,Raw!$A:$A,0),2,1,1,"Raw"))</f>
        <v>0</v>
      </c>
      <c r="C63" s="20">
        <f>INDEX(Raw!$C:$C,MATCH(A63,Raw!$A:$A,0))</f>
        <v>0</v>
      </c>
      <c r="D63" s="21"/>
    </row>
    <row r="64" spans="1:4" ht="11.25" customHeight="1" x14ac:dyDescent="0.25">
      <c r="A64" s="22" t="s">
        <v>101</v>
      </c>
      <c r="B64" s="20">
        <f ca="1">INDIRECT(ADDRESS(MATCH(A64,Raw!$A:$A,0),2,1,1,"Raw"))</f>
        <v>0</v>
      </c>
      <c r="C64" s="20">
        <f>INDEX(Raw!$C:$C,MATCH(A64,Raw!$A:$A,0))</f>
        <v>0</v>
      </c>
      <c r="D64" s="21"/>
    </row>
    <row r="65" spans="1:4" ht="11.25" customHeight="1" x14ac:dyDescent="0.25">
      <c r="A65" s="22" t="s">
        <v>102</v>
      </c>
      <c r="B65" s="20">
        <f ca="1">INDIRECT(ADDRESS(MATCH(A65,Raw!$A:$A,0),2,1,1,"Raw"))</f>
        <v>0</v>
      </c>
      <c r="C65" s="20">
        <f>INDEX(Raw!$C:$C,MATCH(A65,Raw!$A:$A,0))</f>
        <v>0</v>
      </c>
      <c r="D65" s="21"/>
    </row>
    <row r="66" spans="1:4" ht="11.25" customHeight="1" x14ac:dyDescent="0.25">
      <c r="A66" s="19" t="s">
        <v>103</v>
      </c>
      <c r="B66" s="20">
        <f ca="1">INDIRECT(ADDRESS(MATCH(A66,Raw!$A:$A,0),2,1,1,"Raw"))</f>
        <v>0</v>
      </c>
      <c r="C66" s="20">
        <f>INDEX(Raw!$C:$C,MATCH(A66,Raw!$A:$A,0))</f>
        <v>0</v>
      </c>
      <c r="D66" s="21"/>
    </row>
    <row r="67" spans="1:4" ht="11.25" customHeight="1" x14ac:dyDescent="0.25">
      <c r="A67" s="22" t="s">
        <v>104</v>
      </c>
      <c r="B67" s="20">
        <f ca="1">INDIRECT(ADDRESS(MATCH(A67,Raw!$A:$A,0),2,1,1,"Raw"))</f>
        <v>0</v>
      </c>
      <c r="C67" s="20">
        <f>INDEX(Raw!$C:$C,MATCH(A67,Raw!$A:$A,0))</f>
        <v>0</v>
      </c>
      <c r="D67" s="21"/>
    </row>
    <row r="68" spans="1:4" ht="11.25" customHeight="1" x14ac:dyDescent="0.25">
      <c r="A68" s="19" t="s">
        <v>105</v>
      </c>
      <c r="B68" s="20">
        <f ca="1">INDIRECT(ADDRESS(MATCH(A68,Raw!$A:$A,0),2,1,1,"Raw"))</f>
        <v>0</v>
      </c>
      <c r="C68" s="20">
        <f>INDEX(Raw!$C:$C,MATCH(A68,Raw!$A:$A,0))</f>
        <v>0</v>
      </c>
      <c r="D68" s="21"/>
    </row>
    <row r="69" spans="1:4" ht="11.25" customHeight="1" x14ac:dyDescent="0.25">
      <c r="A69" s="22" t="s">
        <v>106</v>
      </c>
      <c r="B69" s="20">
        <f ca="1">INDIRECT(ADDRESS(MATCH(A69,Raw!$A:$A,0),2,1,1,"Raw"))</f>
        <v>0</v>
      </c>
      <c r="C69" s="20">
        <f>INDEX(Raw!$C:$C,MATCH(A69,Raw!$A:$A,0))</f>
        <v>0</v>
      </c>
      <c r="D69" s="21"/>
    </row>
    <row r="70" spans="1:4" ht="11.25" customHeight="1" x14ac:dyDescent="0.25">
      <c r="A70" s="19" t="s">
        <v>107</v>
      </c>
      <c r="B70" s="20">
        <f ca="1">INDIRECT(ADDRESS(MATCH(A70,Raw!$A:$A,0),2,1,1,"Raw"))</f>
        <v>0</v>
      </c>
      <c r="C70" s="20">
        <f>INDEX(Raw!$C:$C,MATCH(A70,Raw!$A:$A,0))</f>
        <v>0</v>
      </c>
      <c r="D70" s="21"/>
    </row>
    <row r="71" spans="1:4" ht="11.25" customHeight="1" x14ac:dyDescent="0.25">
      <c r="A71" s="22" t="s">
        <v>108</v>
      </c>
      <c r="B71" s="20">
        <f ca="1">INDIRECT(ADDRESS(MATCH(A71,Raw!$A:$A,0),2,1,1,"Raw"))</f>
        <v>0</v>
      </c>
      <c r="C71" s="20">
        <f>INDEX(Raw!$C:$C,MATCH(A71,Raw!$A:$A,0))</f>
        <v>0</v>
      </c>
      <c r="D71" s="21"/>
    </row>
    <row r="72" spans="1:4" ht="11.25" customHeight="1" x14ac:dyDescent="0.25">
      <c r="A72" s="19" t="s">
        <v>109</v>
      </c>
      <c r="B72" s="20">
        <f ca="1">INDIRECT(ADDRESS(MATCH(A72,Raw!$A:$A,0),2,1,1,"Raw"))</f>
        <v>0</v>
      </c>
      <c r="C72" s="20">
        <f>INDEX(Raw!$C:$C,MATCH(A72,Raw!$A:$A,0))</f>
        <v>0</v>
      </c>
      <c r="D72" s="21"/>
    </row>
    <row r="73" spans="1:4" ht="11.25" customHeight="1" x14ac:dyDescent="0.25">
      <c r="A73" s="19" t="s">
        <v>110</v>
      </c>
      <c r="B73" s="20">
        <f ca="1">INDIRECT(ADDRESS(MATCH(A73,Raw!$A:$A,0),2,1,1,"Raw"))</f>
        <v>0</v>
      </c>
      <c r="C73" s="20">
        <f>INDEX(Raw!$C:$C,MATCH(A73,Raw!$A:$A,0))</f>
        <v>0</v>
      </c>
      <c r="D73" s="21"/>
    </row>
    <row r="74" spans="1:4" ht="11.25" customHeight="1" x14ac:dyDescent="0.25">
      <c r="A74" s="22" t="s">
        <v>111</v>
      </c>
      <c r="B74" s="20">
        <f ca="1">INDIRECT(ADDRESS(MATCH(A74,Raw!$A:$A,0),2,1,1,"Raw"))</f>
        <v>0</v>
      </c>
      <c r="C74" s="20">
        <f>INDEX(Raw!$C:$C,MATCH(A74,Raw!$A:$A,0))</f>
        <v>0</v>
      </c>
      <c r="D74" s="21"/>
    </row>
    <row r="75" spans="1:4" ht="11.25" customHeight="1" x14ac:dyDescent="0.25">
      <c r="A75" s="19" t="s">
        <v>112</v>
      </c>
      <c r="B75" s="20">
        <f ca="1">INDIRECT(ADDRESS(MATCH(A75,Raw!$A:$A,0),2,1,1,"Raw"))</f>
        <v>0</v>
      </c>
      <c r="C75" s="20">
        <f>INDEX(Raw!$C:$C,MATCH(A75,Raw!$A:$A,0))</f>
        <v>0</v>
      </c>
      <c r="D75" s="21"/>
    </row>
    <row r="76" spans="1:4" ht="11.25" customHeight="1" x14ac:dyDescent="0.25">
      <c r="A76" s="22" t="s">
        <v>113</v>
      </c>
      <c r="B76" s="20">
        <f ca="1">INDIRECT(ADDRESS(MATCH(A76,Raw!$A:$A,0),2,1,1,"Raw"))</f>
        <v>0</v>
      </c>
      <c r="C76" s="20">
        <f>INDEX(Raw!$C:$C,MATCH(A76,Raw!$A:$A,0))</f>
        <v>0</v>
      </c>
      <c r="D76" s="21"/>
    </row>
    <row r="77" spans="1:4" ht="11.25" customHeight="1" x14ac:dyDescent="0.25">
      <c r="A77" s="19" t="s">
        <v>114</v>
      </c>
      <c r="B77" s="20">
        <f ca="1">INDIRECT(ADDRESS(MATCH(A77,Raw!$A:$A,0),2,1,1,"Raw"))</f>
        <v>0</v>
      </c>
      <c r="C77" s="20">
        <f>INDEX(Raw!$C:$C,MATCH(A77,Raw!$A:$A,0))</f>
        <v>0</v>
      </c>
      <c r="D77" s="21"/>
    </row>
    <row r="78" spans="1:4" ht="11.25" customHeight="1" x14ac:dyDescent="0.25">
      <c r="A78" s="22" t="s">
        <v>115</v>
      </c>
      <c r="B78" s="20">
        <f ca="1">INDIRECT(ADDRESS(MATCH(A78,Raw!$A:$A,0),2,1,1,"Raw"))</f>
        <v>0</v>
      </c>
      <c r="C78" s="20">
        <f>INDEX(Raw!$C:$C,MATCH(A78,Raw!$A:$A,0))</f>
        <v>0</v>
      </c>
      <c r="D78" s="21"/>
    </row>
    <row r="79" spans="1:4" ht="11.25" customHeight="1" x14ac:dyDescent="0.25">
      <c r="A79" s="19" t="s">
        <v>116</v>
      </c>
      <c r="B79" s="20">
        <f ca="1">INDIRECT(ADDRESS(MATCH(A79,Raw!$A:$A,0),2,1,1,"Raw"))</f>
        <v>0</v>
      </c>
      <c r="C79" s="20">
        <f>INDEX(Raw!$C:$C,MATCH(A79,Raw!$A:$A,0))</f>
        <v>0</v>
      </c>
      <c r="D79" s="21"/>
    </row>
    <row r="80" spans="1:4" ht="11.25" customHeight="1" x14ac:dyDescent="0.25">
      <c r="A80" s="22" t="s">
        <v>117</v>
      </c>
      <c r="B80" s="20">
        <f ca="1">INDIRECT(ADDRESS(MATCH(A80,Raw!$A:$A,0),2,1,1,"Raw"))</f>
        <v>0</v>
      </c>
      <c r="C80" s="20">
        <f>INDEX(Raw!$C:$C,MATCH(A80,Raw!$A:$A,0))</f>
        <v>0</v>
      </c>
      <c r="D80" s="21"/>
    </row>
    <row r="81" spans="1:4" ht="11.25" customHeight="1" x14ac:dyDescent="0.25">
      <c r="A81" s="19" t="s">
        <v>118</v>
      </c>
      <c r="B81" s="20">
        <f ca="1">INDIRECT(ADDRESS(MATCH(A81,Raw!$A:$A,0),2,1,1,"Raw"))</f>
        <v>0</v>
      </c>
      <c r="C81" s="20">
        <f>INDEX(Raw!$C:$C,MATCH(A81,Raw!$A:$A,0))</f>
        <v>0</v>
      </c>
      <c r="D81" s="21"/>
    </row>
    <row r="82" spans="1:4" ht="11.25" customHeight="1" x14ac:dyDescent="0.25">
      <c r="A82" s="22" t="s">
        <v>119</v>
      </c>
      <c r="B82" s="20">
        <f ca="1">INDIRECT(ADDRESS(MATCH(A82,Raw!$A:$A,0),2,1,1,"Raw"))</f>
        <v>0</v>
      </c>
      <c r="C82" s="20">
        <f>INDEX(Raw!$C:$C,MATCH(A82,Raw!$A:$A,0))</f>
        <v>0</v>
      </c>
      <c r="D82" s="21"/>
    </row>
    <row r="83" spans="1:4" ht="11.25" customHeight="1" x14ac:dyDescent="0.25">
      <c r="A83" s="19" t="s">
        <v>120</v>
      </c>
      <c r="B83" s="20">
        <f ca="1">INDIRECT(ADDRESS(MATCH(A83,Raw!$A:$A,0),2,1,1,"Raw"))</f>
        <v>0</v>
      </c>
      <c r="C83" s="20">
        <f>INDEX(Raw!$C:$C,MATCH(A83,Raw!$A:$A,0))</f>
        <v>0</v>
      </c>
      <c r="D83" s="21"/>
    </row>
    <row r="84" spans="1:4" ht="11.25" customHeight="1" x14ac:dyDescent="0.25">
      <c r="A84" s="22" t="s">
        <v>121</v>
      </c>
      <c r="B84" s="20">
        <f ca="1">INDIRECT(ADDRESS(MATCH(A84,Raw!$A:$A,0),2,1,1,"Raw"))</f>
        <v>0</v>
      </c>
      <c r="C84" s="20">
        <f>INDEX(Raw!$C:$C,MATCH(A84,Raw!$A:$A,0))</f>
        <v>0</v>
      </c>
      <c r="D84" s="21"/>
    </row>
    <row r="85" spans="1:4" ht="11.25" customHeight="1" x14ac:dyDescent="0.25">
      <c r="A85" s="19" t="s">
        <v>122</v>
      </c>
      <c r="B85" s="20">
        <f ca="1">INDIRECT(ADDRESS(MATCH(A85,Raw!$A:$A,0),2,1,1,"Raw"))</f>
        <v>0</v>
      </c>
      <c r="C85" s="20">
        <f>INDEX(Raw!$C:$C,MATCH(A85,Raw!$A:$A,0))</f>
        <v>0</v>
      </c>
      <c r="D85" s="21"/>
    </row>
    <row r="86" spans="1:4" ht="11.25" customHeight="1" x14ac:dyDescent="0.25">
      <c r="A86" s="22" t="s">
        <v>123</v>
      </c>
      <c r="B86" s="20">
        <f ca="1">INDIRECT(ADDRESS(MATCH(A86,Raw!$A:$A,0),2,1,1,"Raw"))</f>
        <v>0</v>
      </c>
      <c r="C86" s="20">
        <f>INDEX(Raw!$C:$C,MATCH(A86,Raw!$A:$A,0))</f>
        <v>0</v>
      </c>
      <c r="D86" s="21"/>
    </row>
    <row r="87" spans="1:4" ht="11.25" customHeight="1" x14ac:dyDescent="0.25">
      <c r="A87" s="19" t="s">
        <v>124</v>
      </c>
      <c r="B87" s="20">
        <f ca="1">INDIRECT(ADDRESS(MATCH(A87,Raw!$A:$A,0),2,1,1,"Raw"))</f>
        <v>0</v>
      </c>
      <c r="C87" s="20">
        <f>INDEX(Raw!$C:$C,MATCH(A87,Raw!$A:$A,0))</f>
        <v>0</v>
      </c>
      <c r="D87" s="21"/>
    </row>
    <row r="88" spans="1:4" ht="11.25" customHeight="1" x14ac:dyDescent="0.25">
      <c r="A88" s="22" t="s">
        <v>125</v>
      </c>
      <c r="B88" s="20">
        <f ca="1">INDIRECT(ADDRESS(MATCH(A88,Raw!$A:$A,0),2,1,1,"Raw"))</f>
        <v>0</v>
      </c>
      <c r="C88" s="20">
        <f>INDEX(Raw!$C:$C,MATCH(A88,Raw!$A:$A,0))</f>
        <v>0</v>
      </c>
      <c r="D88" s="21"/>
    </row>
    <row r="89" spans="1:4" ht="11.25" customHeight="1" x14ac:dyDescent="0.25">
      <c r="A89" s="22" t="s">
        <v>126</v>
      </c>
      <c r="B89" s="20">
        <f ca="1">INDIRECT(ADDRESS(MATCH(A89,Raw!$A:$A,0),2,1,1,"Raw"))</f>
        <v>0</v>
      </c>
      <c r="C89" s="20">
        <f>INDEX(Raw!$C:$C,MATCH(A89,Raw!$A:$A,0))</f>
        <v>0</v>
      </c>
      <c r="D89" s="21"/>
    </row>
    <row r="90" spans="1:4" ht="11.25" customHeight="1" x14ac:dyDescent="0.25">
      <c r="A90" s="19" t="s">
        <v>127</v>
      </c>
      <c r="B90" s="20">
        <f ca="1">INDIRECT(ADDRESS(MATCH(A90,Raw!$A:$A,0),2,1,1,"Raw"))</f>
        <v>0</v>
      </c>
      <c r="C90" s="20">
        <f>INDEX(Raw!$C:$C,MATCH(A90,Raw!$A:$A,0))</f>
        <v>0</v>
      </c>
      <c r="D90" s="21"/>
    </row>
    <row r="91" spans="1:4" ht="11.25" customHeight="1" x14ac:dyDescent="0.25">
      <c r="A91" s="22" t="s">
        <v>128</v>
      </c>
      <c r="B91" s="20">
        <f ca="1">INDIRECT(ADDRESS(MATCH(A91,Raw!$A:$A,0),2,1,1,"Raw"))</f>
        <v>0</v>
      </c>
      <c r="C91" s="20">
        <f>INDEX(Raw!$C:$C,MATCH(A91,Raw!$A:$A,0))</f>
        <v>0</v>
      </c>
      <c r="D91" s="21"/>
    </row>
    <row r="92" spans="1:4" ht="11.25" customHeight="1" x14ac:dyDescent="0.25">
      <c r="A92" s="19" t="s">
        <v>129</v>
      </c>
      <c r="B92" s="20">
        <f ca="1">INDIRECT(ADDRESS(MATCH(A92,Raw!$A:$A,0),2,1,1,"Raw"))</f>
        <v>0</v>
      </c>
      <c r="C92" s="20">
        <f>INDEX(Raw!$C:$C,MATCH(A92,Raw!$A:$A,0))</f>
        <v>0</v>
      </c>
      <c r="D92" s="21"/>
    </row>
    <row r="93" spans="1:4" ht="11.25" customHeight="1" x14ac:dyDescent="0.25">
      <c r="A93" s="22" t="s">
        <v>130</v>
      </c>
      <c r="B93" s="20">
        <f ca="1">INDIRECT(ADDRESS(MATCH(A93,Raw!$A:$A,0),2,1,1,"Raw"))</f>
        <v>0</v>
      </c>
      <c r="C93" s="20">
        <f>INDEX(Raw!$C:$C,MATCH(A93,Raw!$A:$A,0))</f>
        <v>0</v>
      </c>
      <c r="D93" s="21"/>
    </row>
    <row r="94" spans="1:4" ht="11.25" customHeight="1" x14ac:dyDescent="0.25">
      <c r="A94" s="19" t="s">
        <v>131</v>
      </c>
      <c r="B94" s="20">
        <f ca="1">INDIRECT(ADDRESS(MATCH(A94,Raw!$A:$A,0),2,1,1,"Raw"))</f>
        <v>0</v>
      </c>
      <c r="C94" s="20">
        <f>INDEX(Raw!$C:$C,MATCH(A94,Raw!$A:$A,0))</f>
        <v>0</v>
      </c>
      <c r="D94" s="21"/>
    </row>
    <row r="95" spans="1:4" ht="11.25" customHeight="1" x14ac:dyDescent="0.25">
      <c r="A95" s="22" t="s">
        <v>132</v>
      </c>
      <c r="B95" s="20">
        <f ca="1">INDIRECT(ADDRESS(MATCH(A95,Raw!$A:$A,0),2,1,1,"Raw"))</f>
        <v>0</v>
      </c>
      <c r="C95" s="20">
        <f>INDEX(Raw!$C:$C,MATCH(A95,Raw!$A:$A,0))</f>
        <v>0</v>
      </c>
      <c r="D95" s="21"/>
    </row>
    <row r="96" spans="1:4" ht="11.25" customHeight="1" x14ac:dyDescent="0.25">
      <c r="A96" s="19" t="s">
        <v>133</v>
      </c>
      <c r="B96" s="20">
        <f ca="1">INDIRECT(ADDRESS(MATCH(A96,Raw!$A:$A,0),2,1,1,"Raw"))</f>
        <v>0</v>
      </c>
      <c r="C96" s="20">
        <f>INDEX(Raw!$C:$C,MATCH(A96,Raw!$A:$A,0))</f>
        <v>0</v>
      </c>
      <c r="D96" s="21"/>
    </row>
    <row r="97" spans="1:4" ht="11.25" customHeight="1" x14ac:dyDescent="0.25">
      <c r="A97" s="22" t="s">
        <v>134</v>
      </c>
      <c r="B97" s="20">
        <f ca="1">INDIRECT(ADDRESS(MATCH(A97,Raw!$A:$A,0),2,1,1,"Raw"))</f>
        <v>0</v>
      </c>
      <c r="C97" s="20">
        <f>INDEX(Raw!$C:$C,MATCH(A97,Raw!$A:$A,0))</f>
        <v>0</v>
      </c>
      <c r="D97" s="21"/>
    </row>
    <row r="98" spans="1:4" ht="11.25" customHeight="1" x14ac:dyDescent="0.25">
      <c r="A98" s="19" t="s">
        <v>135</v>
      </c>
      <c r="B98" s="20">
        <f ca="1">INDIRECT(ADDRESS(MATCH(A98,Raw!$A:$A,0),2,1,1,"Raw"))</f>
        <v>0</v>
      </c>
      <c r="C98" s="20">
        <f>INDEX(Raw!$C:$C,MATCH(A98,Raw!$A:$A,0))</f>
        <v>0</v>
      </c>
      <c r="D98" s="21"/>
    </row>
    <row r="99" spans="1:4" ht="11.25" customHeight="1" x14ac:dyDescent="0.25">
      <c r="A99" s="22" t="s">
        <v>136</v>
      </c>
      <c r="B99" s="20">
        <f ca="1">INDIRECT(ADDRESS(MATCH(A99,Raw!$A:$A,0),2,1,1,"Raw"))</f>
        <v>0</v>
      </c>
      <c r="C99" s="20">
        <f>INDEX(Raw!$C:$C,MATCH(A99,Raw!$A:$A,0))</f>
        <v>0</v>
      </c>
      <c r="D99" s="21"/>
    </row>
    <row r="100" spans="1:4" ht="11.25" customHeight="1" x14ac:dyDescent="0.25">
      <c r="A100" s="19" t="s">
        <v>137</v>
      </c>
      <c r="B100" s="20">
        <f ca="1">INDIRECT(ADDRESS(MATCH(A100,Raw!$A:$A,0),2,1,1,"Raw"))</f>
        <v>0</v>
      </c>
      <c r="C100" s="20">
        <f>INDEX(Raw!$C:$C,MATCH(A100,Raw!$A:$A,0))</f>
        <v>0</v>
      </c>
      <c r="D100" s="21"/>
    </row>
    <row r="101" spans="1:4" ht="11.25" customHeight="1" x14ac:dyDescent="0.25">
      <c r="A101" s="22" t="s">
        <v>138</v>
      </c>
      <c r="B101" s="20">
        <f ca="1">INDIRECT(ADDRESS(MATCH(A101,Raw!$A:$A,0),2,1,1,"Raw"))</f>
        <v>0</v>
      </c>
      <c r="C101" s="20">
        <f>INDEX(Raw!$C:$C,MATCH(A101,Raw!$A:$A,0))</f>
        <v>0</v>
      </c>
      <c r="D101" s="21"/>
    </row>
    <row r="102" spans="1:4" ht="11.25" customHeight="1" x14ac:dyDescent="0.25">
      <c r="A102" s="19" t="s">
        <v>139</v>
      </c>
      <c r="B102" s="20">
        <f ca="1">INDIRECT(ADDRESS(MATCH(A102,Raw!$A:$A,0),2,1,1,"Raw"))</f>
        <v>0</v>
      </c>
      <c r="C102" s="20">
        <f>INDEX(Raw!$C:$C,MATCH(A102,Raw!$A:$A,0))</f>
        <v>0</v>
      </c>
      <c r="D102" s="21"/>
    </row>
    <row r="103" spans="1:4" ht="11.25" customHeight="1" x14ac:dyDescent="0.25">
      <c r="A103" s="19" t="s">
        <v>140</v>
      </c>
      <c r="B103" s="20">
        <f ca="1">INDIRECT(ADDRESS(MATCH(A103,Raw!$A:$A,0),2,1,1,"Raw"))</f>
        <v>0</v>
      </c>
      <c r="C103" s="20">
        <f>INDEX(Raw!$C:$C,MATCH(A103,Raw!$A:$A,0))</f>
        <v>0</v>
      </c>
      <c r="D103" s="21"/>
    </row>
    <row r="104" spans="1:4" ht="11.25" customHeight="1" x14ac:dyDescent="0.25">
      <c r="A104" s="22" t="s">
        <v>141</v>
      </c>
      <c r="B104" s="20">
        <f ca="1">INDIRECT(ADDRESS(MATCH(A104,Raw!$A:$A,0),2,1,1,"Raw"))</f>
        <v>0</v>
      </c>
      <c r="C104" s="20">
        <f>INDEX(Raw!$C:$C,MATCH(A104,Raw!$A:$A,0))</f>
        <v>0</v>
      </c>
      <c r="D104" s="21"/>
    </row>
    <row r="105" spans="1:4" ht="11.25" customHeight="1" x14ac:dyDescent="0.25">
      <c r="A105" s="22" t="s">
        <v>142</v>
      </c>
      <c r="B105" s="20">
        <f ca="1">INDIRECT(ADDRESS(MATCH(A105,Raw!$A:$A,0),2,1,1,"Raw"))</f>
        <v>0</v>
      </c>
      <c r="C105" s="20">
        <f>INDEX(Raw!$C:$C,MATCH(A105,Raw!$A:$A,0))</f>
        <v>0</v>
      </c>
      <c r="D105" s="21"/>
    </row>
    <row r="106" spans="1:4" ht="11.25" customHeight="1" x14ac:dyDescent="0.25">
      <c r="A106" s="19" t="s">
        <v>143</v>
      </c>
      <c r="B106" s="20">
        <f ca="1">INDIRECT(ADDRESS(MATCH(A106,Raw!$A:$A,0),2,1,1,"Raw"))</f>
        <v>0</v>
      </c>
      <c r="C106" s="20">
        <f>INDEX(Raw!$C:$C,MATCH(A106,Raw!$A:$A,0))</f>
        <v>0</v>
      </c>
      <c r="D106" s="21"/>
    </row>
    <row r="107" spans="1:4" ht="11.25" customHeight="1" x14ac:dyDescent="0.25">
      <c r="A107" s="22" t="s">
        <v>144</v>
      </c>
      <c r="B107" s="20">
        <f ca="1">INDIRECT(ADDRESS(MATCH(A107,Raw!$A:$A,0),2,1,1,"Raw"))</f>
        <v>0</v>
      </c>
      <c r="C107" s="20">
        <f>INDEX(Raw!$C:$C,MATCH(A107,Raw!$A:$A,0))</f>
        <v>0</v>
      </c>
      <c r="D107" s="21"/>
    </row>
    <row r="108" spans="1:4" ht="11.25" customHeight="1" x14ac:dyDescent="0.25">
      <c r="A108" s="19" t="s">
        <v>145</v>
      </c>
      <c r="B108" s="20">
        <f ca="1">INDIRECT(ADDRESS(MATCH(A108,Raw!$A:$A,0),2,1,1,"Raw"))</f>
        <v>0</v>
      </c>
      <c r="C108" s="20">
        <f>INDEX(Raw!$C:$C,MATCH(A108,Raw!$A:$A,0))</f>
        <v>0</v>
      </c>
      <c r="D108" s="21"/>
    </row>
    <row r="109" spans="1:4" ht="11.25" customHeight="1" x14ac:dyDescent="0.25">
      <c r="A109" s="22" t="s">
        <v>146</v>
      </c>
      <c r="B109" s="20">
        <f ca="1">INDIRECT(ADDRESS(MATCH(A109,Raw!$A:$A,0),2,1,1,"Raw"))</f>
        <v>0</v>
      </c>
      <c r="C109" s="20">
        <f>INDEX(Raw!$C:$C,MATCH(A109,Raw!$A:$A,0))</f>
        <v>0</v>
      </c>
      <c r="D109" s="21"/>
    </row>
    <row r="110" spans="1:4" ht="11.25" customHeight="1" x14ac:dyDescent="0.25">
      <c r="A110" s="22" t="s">
        <v>147</v>
      </c>
      <c r="B110" s="20">
        <f ca="1">INDIRECT(ADDRESS(MATCH(A110,Raw!$A:$A,0),2,1,1,"Raw"))</f>
        <v>0</v>
      </c>
      <c r="C110" s="20">
        <f>INDEX(Raw!$C:$C,MATCH(A110,Raw!$A:$A,0))</f>
        <v>0</v>
      </c>
      <c r="D110" s="21"/>
    </row>
    <row r="111" spans="1:4" ht="11.25" customHeight="1" x14ac:dyDescent="0.25">
      <c r="A111" s="22" t="s">
        <v>148</v>
      </c>
      <c r="B111" s="20">
        <f ca="1">INDIRECT(ADDRESS(MATCH(A111,Raw!$A:$A,0),2,1,1,"Raw"))</f>
        <v>0</v>
      </c>
      <c r="C111" s="20">
        <f>INDEX(Raw!$C:$C,MATCH(A111,Raw!$A:$A,0))</f>
        <v>0</v>
      </c>
      <c r="D111" s="21"/>
    </row>
    <row r="112" spans="1:4" ht="11.25" customHeight="1" x14ac:dyDescent="0.25">
      <c r="A112" s="19" t="s">
        <v>149</v>
      </c>
      <c r="B112" s="20">
        <f ca="1">INDIRECT(ADDRESS(MATCH(A112,Raw!$A:$A,0),2,1,1,"Raw"))</f>
        <v>0</v>
      </c>
      <c r="C112" s="20">
        <f>INDEX(Raw!$C:$C,MATCH(A112,Raw!$A:$A,0))</f>
        <v>0</v>
      </c>
      <c r="D112" s="21"/>
    </row>
    <row r="113" spans="1:4" ht="11.25" customHeight="1" x14ac:dyDescent="0.25">
      <c r="A113" s="22" t="s">
        <v>150</v>
      </c>
      <c r="B113" s="20">
        <f ca="1">INDIRECT(ADDRESS(MATCH(A113,Raw!$A:$A,0),2,1,1,"Raw"))</f>
        <v>0</v>
      </c>
      <c r="C113" s="20">
        <f>INDEX(Raw!$C:$C,MATCH(A113,Raw!$A:$A,0))</f>
        <v>0</v>
      </c>
      <c r="D113" s="21"/>
    </row>
    <row r="114" spans="1:4" ht="11.25" customHeight="1" x14ac:dyDescent="0.25">
      <c r="A114" s="19" t="s">
        <v>151</v>
      </c>
      <c r="B114" s="20">
        <f ca="1">INDIRECT(ADDRESS(MATCH(A114,Raw!$A:$A,0),2,1,1,"Raw"))</f>
        <v>0</v>
      </c>
      <c r="C114" s="20">
        <f>INDEX(Raw!$C:$C,MATCH(A114,Raw!$A:$A,0))</f>
        <v>0</v>
      </c>
      <c r="D114" s="21"/>
    </row>
    <row r="115" spans="1:4" ht="11.25" customHeight="1" x14ac:dyDescent="0.25">
      <c r="A115" s="22" t="s">
        <v>152</v>
      </c>
      <c r="B115" s="20">
        <f ca="1">INDIRECT(ADDRESS(MATCH(A115,Raw!$A:$A,0),2,1,1,"Raw"))</f>
        <v>0</v>
      </c>
      <c r="C115" s="20">
        <f>INDEX(Raw!$C:$C,MATCH(A115,Raw!$A:$A,0))</f>
        <v>0</v>
      </c>
      <c r="D115" s="21"/>
    </row>
    <row r="116" spans="1:4" ht="11.25" customHeight="1" x14ac:dyDescent="0.25">
      <c r="A116" s="19" t="s">
        <v>153</v>
      </c>
      <c r="B116" s="20">
        <f ca="1">INDIRECT(ADDRESS(MATCH(A116,Raw!$A:$A,0),2,1,1,"Raw"))</f>
        <v>0</v>
      </c>
      <c r="C116" s="20">
        <f>INDEX(Raw!$C:$C,MATCH(A116,Raw!$A:$A,0))</f>
        <v>0</v>
      </c>
      <c r="D116" s="21"/>
    </row>
    <row r="117" spans="1:4" ht="11.25" customHeight="1" x14ac:dyDescent="0.25">
      <c r="A117" s="22" t="s">
        <v>154</v>
      </c>
      <c r="B117" s="20">
        <f ca="1">INDIRECT(ADDRESS(MATCH(A117,Raw!$A:$A,0),2,1,1,"Raw"))</f>
        <v>0</v>
      </c>
      <c r="C117" s="20">
        <f>INDEX(Raw!$C:$C,MATCH(A117,Raw!$A:$A,0))</f>
        <v>0</v>
      </c>
      <c r="D117" s="21"/>
    </row>
    <row r="118" spans="1:4" ht="11.25" customHeight="1" x14ac:dyDescent="0.25">
      <c r="A118" s="19" t="s">
        <v>155</v>
      </c>
      <c r="B118" s="20">
        <f ca="1">INDIRECT(ADDRESS(MATCH(A118,Raw!$A:$A,0),2,1,1,"Raw"))</f>
        <v>0</v>
      </c>
      <c r="C118" s="20">
        <f>INDEX(Raw!$C:$C,MATCH(A118,Raw!$A:$A,0))</f>
        <v>0</v>
      </c>
      <c r="D118" s="21"/>
    </row>
    <row r="119" spans="1:4" ht="11.25" customHeight="1" x14ac:dyDescent="0.25">
      <c r="A119" s="22" t="s">
        <v>156</v>
      </c>
      <c r="B119" s="20">
        <f ca="1">INDIRECT(ADDRESS(MATCH(A119,Raw!$A:$A,0),2,1,1,"Raw"))</f>
        <v>0</v>
      </c>
      <c r="C119" s="20">
        <f>INDEX(Raw!$C:$C,MATCH(A119,Raw!$A:$A,0))</f>
        <v>0</v>
      </c>
      <c r="D119" s="21"/>
    </row>
    <row r="120" spans="1:4" ht="11.25" customHeight="1" x14ac:dyDescent="0.25">
      <c r="A120" s="22" t="s">
        <v>157</v>
      </c>
      <c r="B120" s="20">
        <f ca="1">INDIRECT(ADDRESS(MATCH(A120,Raw!$A:$A,0),2,1,1,"Raw"))</f>
        <v>0</v>
      </c>
      <c r="C120" s="20">
        <f>INDEX(Raw!$C:$C,MATCH(A120,Raw!$A:$A,0))</f>
        <v>0</v>
      </c>
      <c r="D120" s="21"/>
    </row>
    <row r="121" spans="1:4" ht="11.25" customHeight="1" x14ac:dyDescent="0.25">
      <c r="A121" s="19" t="s">
        <v>158</v>
      </c>
      <c r="B121" s="20">
        <f ca="1">INDIRECT(ADDRESS(MATCH(A121,Raw!$A:$A,0),2,1,1,"Raw"))</f>
        <v>0</v>
      </c>
      <c r="C121" s="20">
        <f>INDEX(Raw!$C:$C,MATCH(A121,Raw!$A:$A,0))</f>
        <v>0</v>
      </c>
      <c r="D121" s="21"/>
    </row>
    <row r="122" spans="1:4" ht="11.25" customHeight="1" x14ac:dyDescent="0.25">
      <c r="A122" s="22" t="s">
        <v>159</v>
      </c>
      <c r="B122" s="20">
        <f ca="1">INDIRECT(ADDRESS(MATCH(A122,Raw!$A:$A,0),2,1,1,"Raw"))</f>
        <v>0</v>
      </c>
      <c r="C122" s="20">
        <f>INDEX(Raw!$C:$C,MATCH(A122,Raw!$A:$A,0))</f>
        <v>0</v>
      </c>
      <c r="D122" s="21"/>
    </row>
    <row r="123" spans="1:4" ht="11.25" customHeight="1" x14ac:dyDescent="0.25">
      <c r="A123" s="22" t="s">
        <v>160</v>
      </c>
      <c r="B123" s="20">
        <f ca="1">INDIRECT(ADDRESS(MATCH(A123,Raw!$A:$A,0),2,1,1,"Raw"))</f>
        <v>0</v>
      </c>
      <c r="C123" s="20">
        <f>INDEX(Raw!$C:$C,MATCH(A123,Raw!$A:$A,0))</f>
        <v>0</v>
      </c>
      <c r="D123" s="21"/>
    </row>
    <row r="124" spans="1:4" ht="11.25" customHeight="1" x14ac:dyDescent="0.25">
      <c r="A124" s="19" t="s">
        <v>161</v>
      </c>
      <c r="B124" s="20">
        <f ca="1">INDIRECT(ADDRESS(MATCH(A124,Raw!$A:$A,0),2,1,1,"Raw"))</f>
        <v>0</v>
      </c>
      <c r="C124" s="20">
        <f>INDEX(Raw!$C:$C,MATCH(A124,Raw!$A:$A,0))</f>
        <v>0</v>
      </c>
      <c r="D124" s="21"/>
    </row>
    <row r="125" spans="1:4" ht="11.25" customHeight="1" x14ac:dyDescent="0.25">
      <c r="A125" s="22" t="s">
        <v>162</v>
      </c>
      <c r="B125" s="20">
        <f ca="1">INDIRECT(ADDRESS(MATCH(A125,Raw!$A:$A,0),2,1,1,"Raw"))</f>
        <v>0</v>
      </c>
      <c r="C125" s="20">
        <f>INDEX(Raw!$C:$C,MATCH(A125,Raw!$A:$A,0))</f>
        <v>0</v>
      </c>
      <c r="D125" s="21"/>
    </row>
    <row r="126" spans="1:4" ht="11.25" customHeight="1" x14ac:dyDescent="0.25">
      <c r="A126" s="22" t="s">
        <v>163</v>
      </c>
      <c r="B126" s="20">
        <f ca="1">INDIRECT(ADDRESS(MATCH(A126,Raw!$A:$A,0),2,1,1,"Raw"))</f>
        <v>0</v>
      </c>
      <c r="C126" s="20">
        <f>INDEX(Raw!$C:$C,MATCH(A126,Raw!$A:$A,0))</f>
        <v>0</v>
      </c>
      <c r="D126" s="21"/>
    </row>
    <row r="127" spans="1:4" ht="11.25" customHeight="1" x14ac:dyDescent="0.25">
      <c r="A127" s="19" t="s">
        <v>164</v>
      </c>
      <c r="B127" s="20">
        <f ca="1">INDIRECT(ADDRESS(MATCH(A127,Raw!$A:$A,0),2,1,1,"Raw"))</f>
        <v>0</v>
      </c>
      <c r="C127" s="20">
        <f>INDEX(Raw!$C:$C,MATCH(A127,Raw!$A:$A,0))</f>
        <v>0</v>
      </c>
      <c r="D127" s="21"/>
    </row>
    <row r="128" spans="1:4" ht="11.25" customHeight="1" x14ac:dyDescent="0.25">
      <c r="A128" s="22" t="s">
        <v>165</v>
      </c>
      <c r="B128" s="20">
        <f ca="1">INDIRECT(ADDRESS(MATCH(A128,Raw!$A:$A,0),2,1,1,"Raw"))</f>
        <v>0</v>
      </c>
      <c r="C128" s="20">
        <f>INDEX(Raw!$C:$C,MATCH(A128,Raw!$A:$A,0))</f>
        <v>0</v>
      </c>
      <c r="D128" s="21"/>
    </row>
    <row r="129" spans="1:4" ht="11.25" customHeight="1" x14ac:dyDescent="0.25">
      <c r="A129" s="19" t="s">
        <v>166</v>
      </c>
      <c r="B129" s="20">
        <f ca="1">INDIRECT(ADDRESS(MATCH(A129,Raw!$A:$A,0),2,1,1,"Raw"))</f>
        <v>0</v>
      </c>
      <c r="C129" s="20">
        <f>INDEX(Raw!$C:$C,MATCH(A129,Raw!$A:$A,0))</f>
        <v>0</v>
      </c>
      <c r="D129" s="21"/>
    </row>
    <row r="130" spans="1:4" ht="11.25" customHeight="1" x14ac:dyDescent="0.25">
      <c r="A130" s="19" t="s">
        <v>167</v>
      </c>
      <c r="B130" s="20">
        <f ca="1">INDIRECT(ADDRESS(MATCH(A130,Raw!$A:$A,0),2,1,1,"Raw"))</f>
        <v>0</v>
      </c>
      <c r="C130" s="20">
        <f>INDEX(Raw!$C:$C,MATCH(A130,Raw!$A:$A,0))</f>
        <v>0</v>
      </c>
      <c r="D130" s="21"/>
    </row>
    <row r="131" spans="1:4" ht="11.25" customHeight="1" x14ac:dyDescent="0.25">
      <c r="A131" s="22" t="s">
        <v>168</v>
      </c>
      <c r="B131" s="20">
        <f ca="1">INDIRECT(ADDRESS(MATCH(A131,Raw!$A:$A,0),2,1,1,"Raw"))</f>
        <v>0</v>
      </c>
      <c r="C131" s="20">
        <f>INDEX(Raw!$C:$C,MATCH(A131,Raw!$A:$A,0))</f>
        <v>0</v>
      </c>
      <c r="D131" s="21"/>
    </row>
    <row r="132" spans="1:4" ht="11.25" customHeight="1" x14ac:dyDescent="0.25">
      <c r="A132" s="19" t="s">
        <v>169</v>
      </c>
      <c r="B132" s="20">
        <f ca="1">INDIRECT(ADDRESS(MATCH(A132,Raw!$A:$A,0),2,1,1,"Raw"))</f>
        <v>0</v>
      </c>
      <c r="C132" s="20">
        <f>INDEX(Raw!$C:$C,MATCH(A132,Raw!$A:$A,0))</f>
        <v>0</v>
      </c>
      <c r="D132" s="21"/>
    </row>
    <row r="133" spans="1:4" ht="11.25" customHeight="1" x14ac:dyDescent="0.25">
      <c r="A133" s="22" t="s">
        <v>170</v>
      </c>
      <c r="B133" s="20">
        <f ca="1">INDIRECT(ADDRESS(MATCH(A133,Raw!$A:$A,0),2,1,1,"Raw"))</f>
        <v>0</v>
      </c>
      <c r="C133" s="20">
        <f>INDEX(Raw!$C:$C,MATCH(A133,Raw!$A:$A,0))</f>
        <v>0</v>
      </c>
      <c r="D133" s="21"/>
    </row>
    <row r="134" spans="1:4" ht="11.25" customHeight="1" x14ac:dyDescent="0.25">
      <c r="A134" s="19" t="s">
        <v>171</v>
      </c>
      <c r="B134" s="20">
        <f ca="1">INDIRECT(ADDRESS(MATCH(A134,Raw!$A:$A,0),2,1,1,"Raw"))</f>
        <v>0</v>
      </c>
      <c r="C134" s="20">
        <f>INDEX(Raw!$C:$C,MATCH(A134,Raw!$A:$A,0))</f>
        <v>0</v>
      </c>
      <c r="D134" s="21"/>
    </row>
    <row r="135" spans="1:4" ht="11.25" customHeight="1" x14ac:dyDescent="0.25">
      <c r="A135" s="22" t="s">
        <v>172</v>
      </c>
      <c r="B135" s="20">
        <f ca="1">INDIRECT(ADDRESS(MATCH(A135,Raw!$A:$A,0),2,1,1,"Raw"))</f>
        <v>0</v>
      </c>
      <c r="C135" s="20">
        <f>INDEX(Raw!$C:$C,MATCH(A135,Raw!$A:$A,0))</f>
        <v>0</v>
      </c>
      <c r="D135" s="21"/>
    </row>
    <row r="136" spans="1:4" ht="11.25" customHeight="1" x14ac:dyDescent="0.25">
      <c r="A136" s="19" t="s">
        <v>173</v>
      </c>
      <c r="B136" s="20">
        <f ca="1">INDIRECT(ADDRESS(MATCH(A136,Raw!$A:$A,0),2,1,1,"Raw"))</f>
        <v>0</v>
      </c>
      <c r="C136" s="20">
        <f>INDEX(Raw!$C:$C,MATCH(A136,Raw!$A:$A,0))</f>
        <v>0</v>
      </c>
      <c r="D136" s="21"/>
    </row>
    <row r="137" spans="1:4" ht="11.25" customHeight="1" x14ac:dyDescent="0.25">
      <c r="A137" s="22" t="s">
        <v>174</v>
      </c>
      <c r="B137" s="20">
        <f ca="1">INDIRECT(ADDRESS(MATCH(A137,Raw!$A:$A,0),2,1,1,"Raw"))</f>
        <v>0</v>
      </c>
      <c r="C137" s="20">
        <f>INDEX(Raw!$C:$C,MATCH(A137,Raw!$A:$A,0))</f>
        <v>0</v>
      </c>
      <c r="D137" s="21"/>
    </row>
    <row r="138" spans="1:4" ht="11.25" customHeight="1" x14ac:dyDescent="0.25">
      <c r="A138" s="19" t="s">
        <v>175</v>
      </c>
      <c r="B138" s="20">
        <f ca="1">INDIRECT(ADDRESS(MATCH(A138,Raw!$A:$A,0),2,1,1,"Raw"))</f>
        <v>0</v>
      </c>
      <c r="C138" s="20">
        <f>INDEX(Raw!$C:$C,MATCH(A138,Raw!$A:$A,0))</f>
        <v>0</v>
      </c>
      <c r="D138" s="21"/>
    </row>
    <row r="139" spans="1:4" ht="11.25" customHeight="1" x14ac:dyDescent="0.25">
      <c r="A139" s="22" t="s">
        <v>176</v>
      </c>
      <c r="B139" s="20">
        <f ca="1">INDIRECT(ADDRESS(MATCH(A139,Raw!$A:$A,0),2,1,1,"Raw"))</f>
        <v>0</v>
      </c>
      <c r="C139" s="20">
        <f>INDEX(Raw!$C:$C,MATCH(A139,Raw!$A:$A,0))</f>
        <v>0</v>
      </c>
      <c r="D139" s="21"/>
    </row>
    <row r="140" spans="1:4" ht="11.25" customHeight="1" x14ac:dyDescent="0.25">
      <c r="A140" s="19" t="s">
        <v>177</v>
      </c>
      <c r="B140" s="20">
        <f ca="1">INDIRECT(ADDRESS(MATCH(A140,Raw!$A:$A,0),2,1,1,"Raw"))</f>
        <v>0</v>
      </c>
      <c r="C140" s="20">
        <f>INDEX(Raw!$C:$C,MATCH(A140,Raw!$A:$A,0))</f>
        <v>0</v>
      </c>
      <c r="D140" s="21"/>
    </row>
    <row r="141" spans="1:4" ht="11.25" customHeight="1" x14ac:dyDescent="0.25">
      <c r="A141" s="22" t="s">
        <v>178</v>
      </c>
      <c r="B141" s="20">
        <f ca="1">INDIRECT(ADDRESS(MATCH(A141,Raw!$A:$A,0),2,1,1,"Raw"))</f>
        <v>0</v>
      </c>
      <c r="C141" s="20">
        <f>INDEX(Raw!$C:$C,MATCH(A141,Raw!$A:$A,0))</f>
        <v>0</v>
      </c>
      <c r="D141" s="21"/>
    </row>
    <row r="142" spans="1:4" ht="11.25" customHeight="1" x14ac:dyDescent="0.25">
      <c r="A142" s="19" t="s">
        <v>179</v>
      </c>
      <c r="B142" s="20">
        <f ca="1">INDIRECT(ADDRESS(MATCH(A142,Raw!$A:$A,0),2,1,1,"Raw"))</f>
        <v>0</v>
      </c>
      <c r="C142" s="20">
        <f>INDEX(Raw!$C:$C,MATCH(A142,Raw!$A:$A,0))</f>
        <v>0</v>
      </c>
      <c r="D142" s="21"/>
    </row>
    <row r="143" spans="1:4" ht="11.25" customHeight="1" x14ac:dyDescent="0.25">
      <c r="A143" s="22" t="s">
        <v>180</v>
      </c>
      <c r="B143" s="20">
        <f ca="1">INDIRECT(ADDRESS(MATCH(A143,Raw!$A:$A,0),2,1,1,"Raw"))</f>
        <v>0</v>
      </c>
      <c r="C143" s="20">
        <f>INDEX(Raw!$C:$C,MATCH(A143,Raw!$A:$A,0))</f>
        <v>0</v>
      </c>
      <c r="D143" s="21"/>
    </row>
    <row r="144" spans="1:4" ht="11.25" customHeight="1" x14ac:dyDescent="0.25">
      <c r="A144" s="19" t="s">
        <v>181</v>
      </c>
      <c r="B144" s="20">
        <f ca="1">INDIRECT(ADDRESS(MATCH(A144,Raw!$A:$A,0),2,1,1,"Raw"))</f>
        <v>0</v>
      </c>
      <c r="C144" s="20">
        <f>INDEX(Raw!$C:$C,MATCH(A144,Raw!$A:$A,0))</f>
        <v>0</v>
      </c>
      <c r="D144" s="21"/>
    </row>
    <row r="145" spans="1:4" ht="11.25" customHeight="1" x14ac:dyDescent="0.25">
      <c r="A145" s="22" t="s">
        <v>182</v>
      </c>
      <c r="B145" s="20">
        <f ca="1">INDIRECT(ADDRESS(MATCH(A145,Raw!$A:$A,0),2,1,1,"Raw"))</f>
        <v>0</v>
      </c>
      <c r="C145" s="20">
        <f>INDEX(Raw!$C:$C,MATCH(A145,Raw!$A:$A,0))</f>
        <v>0</v>
      </c>
      <c r="D145" s="21"/>
    </row>
    <row r="146" spans="1:4" ht="11.25" customHeight="1" x14ac:dyDescent="0.25">
      <c r="A146" s="22" t="s">
        <v>183</v>
      </c>
      <c r="B146" s="20">
        <f ca="1">INDIRECT(ADDRESS(MATCH(A146,Raw!$A:$A,0),2,1,1,"Raw"))</f>
        <v>0</v>
      </c>
      <c r="C146" s="20">
        <f>INDEX(Raw!$C:$C,MATCH(A146,Raw!$A:$A,0))</f>
        <v>0</v>
      </c>
      <c r="D146" s="21"/>
    </row>
    <row r="147" spans="1:4" ht="11.25" customHeight="1" x14ac:dyDescent="0.25">
      <c r="A147" s="19" t="s">
        <v>184</v>
      </c>
      <c r="B147" s="20">
        <f ca="1">INDIRECT(ADDRESS(MATCH(A147,Raw!$A:$A,0),2,1,1,"Raw"))</f>
        <v>0</v>
      </c>
      <c r="C147" s="20">
        <f>INDEX(Raw!$C:$C,MATCH(A147,Raw!$A:$A,0))</f>
        <v>0</v>
      </c>
      <c r="D147" s="21"/>
    </row>
    <row r="148" spans="1:4" ht="11.25" customHeight="1" x14ac:dyDescent="0.25">
      <c r="A148" s="22" t="s">
        <v>185</v>
      </c>
      <c r="B148" s="20">
        <f ca="1">INDIRECT(ADDRESS(MATCH(A148,Raw!$A:$A,0),2,1,1,"Raw"))</f>
        <v>0</v>
      </c>
      <c r="C148" s="20">
        <f>INDEX(Raw!$C:$C,MATCH(A148,Raw!$A:$A,0))</f>
        <v>0</v>
      </c>
      <c r="D148" s="21"/>
    </row>
    <row r="149" spans="1:4" ht="11.25" customHeight="1" x14ac:dyDescent="0.25">
      <c r="A149" s="19" t="s">
        <v>186</v>
      </c>
      <c r="B149" s="20">
        <f ca="1">INDIRECT(ADDRESS(MATCH(A149,Raw!$A:$A,0),2,1,1,"Raw"))</f>
        <v>0</v>
      </c>
      <c r="C149" s="20">
        <f>INDEX(Raw!$C:$C,MATCH(A149,Raw!$A:$A,0))</f>
        <v>0</v>
      </c>
      <c r="D149" s="21"/>
    </row>
    <row r="150" spans="1:4" ht="11.25" customHeight="1" x14ac:dyDescent="0.25">
      <c r="A150" s="19" t="s">
        <v>187</v>
      </c>
      <c r="B150" s="20">
        <f ca="1">INDIRECT(ADDRESS(MATCH(A150,Raw!$A:$A,0),2,1,1,"Raw"))</f>
        <v>0</v>
      </c>
      <c r="C150" s="20">
        <f>INDEX(Raw!$C:$C,MATCH(A150,Raw!$A:$A,0))</f>
        <v>0</v>
      </c>
      <c r="D150" s="21"/>
    </row>
    <row r="151" spans="1:4" ht="11.25" customHeight="1" x14ac:dyDescent="0.25">
      <c r="A151" s="22" t="s">
        <v>188</v>
      </c>
      <c r="B151" s="20">
        <f ca="1">INDIRECT(ADDRESS(MATCH(A151,Raw!$A:$A,0),2,1,1,"Raw"))</f>
        <v>0</v>
      </c>
      <c r="C151" s="20">
        <f>INDEX(Raw!$C:$C,MATCH(A151,Raw!$A:$A,0))</f>
        <v>0</v>
      </c>
      <c r="D151" s="21"/>
    </row>
    <row r="152" spans="1:4" ht="11.25" customHeight="1" x14ac:dyDescent="0.25">
      <c r="A152" s="19" t="s">
        <v>189</v>
      </c>
      <c r="B152" s="20">
        <f ca="1">INDIRECT(ADDRESS(MATCH(A152,Raw!$A:$A,0),2,1,1,"Raw"))</f>
        <v>0</v>
      </c>
      <c r="C152" s="20">
        <f>INDEX(Raw!$C:$C,MATCH(A152,Raw!$A:$A,0))</f>
        <v>0</v>
      </c>
      <c r="D152" s="21"/>
    </row>
    <row r="153" spans="1:4" ht="11.25" customHeight="1" x14ac:dyDescent="0.25">
      <c r="A153" s="19" t="s">
        <v>190</v>
      </c>
      <c r="B153" s="20">
        <f ca="1">INDIRECT(ADDRESS(MATCH(A153,Raw!$A:$A,0),2,1,1,"Raw"))</f>
        <v>0</v>
      </c>
      <c r="C153" s="20">
        <f>INDEX(Raw!$C:$C,MATCH(A153,Raw!$A:$A,0))</f>
        <v>0</v>
      </c>
      <c r="D153" s="21"/>
    </row>
    <row r="154" spans="1:4" ht="11.25" customHeight="1" x14ac:dyDescent="0.25">
      <c r="A154" s="22" t="s">
        <v>191</v>
      </c>
      <c r="B154" s="20">
        <f ca="1">INDIRECT(ADDRESS(MATCH(A154,Raw!$A:$A,0),2,1,1,"Raw"))</f>
        <v>0</v>
      </c>
      <c r="C154" s="20">
        <f>INDEX(Raw!$C:$C,MATCH(A154,Raw!$A:$A,0))</f>
        <v>0</v>
      </c>
      <c r="D154" s="21"/>
    </row>
    <row r="155" spans="1:4" ht="11.25" customHeight="1" x14ac:dyDescent="0.25">
      <c r="A155" s="22" t="s">
        <v>192</v>
      </c>
      <c r="B155" s="20">
        <f ca="1">INDIRECT(ADDRESS(MATCH(A155,Raw!$A:$A,0),2,1,1,"Raw"))</f>
        <v>0</v>
      </c>
      <c r="C155" s="20">
        <f>INDEX(Raw!$C:$C,MATCH(A155,Raw!$A:$A,0))</f>
        <v>0</v>
      </c>
      <c r="D155" s="21"/>
    </row>
    <row r="156" spans="1:4" ht="11.25" customHeight="1" x14ac:dyDescent="0.25">
      <c r="A156" s="19" t="s">
        <v>193</v>
      </c>
      <c r="B156" s="20">
        <f ca="1">INDIRECT(ADDRESS(MATCH(A156,Raw!$A:$A,0),2,1,1,"Raw"))</f>
        <v>0</v>
      </c>
      <c r="C156" s="20">
        <f>INDEX(Raw!$C:$C,MATCH(A156,Raw!$A:$A,0))</f>
        <v>0</v>
      </c>
      <c r="D156" s="21"/>
    </row>
    <row r="157" spans="1:4" ht="11.25" customHeight="1" x14ac:dyDescent="0.25">
      <c r="A157" s="22" t="s">
        <v>194</v>
      </c>
      <c r="B157" s="20">
        <f ca="1">INDIRECT(ADDRESS(MATCH(A157,Raw!$A:$A,0),2,1,1,"Raw"))</f>
        <v>0</v>
      </c>
      <c r="C157" s="20">
        <f>INDEX(Raw!$C:$C,MATCH(A157,Raw!$A:$A,0))</f>
        <v>0</v>
      </c>
      <c r="D157" s="21"/>
    </row>
    <row r="158" spans="1:4" ht="11.25" customHeight="1" x14ac:dyDescent="0.25">
      <c r="A158" s="19" t="s">
        <v>195</v>
      </c>
      <c r="B158" s="20">
        <f ca="1">INDIRECT(ADDRESS(MATCH(A158,Raw!$A:$A,0),2,1,1,"Raw"))</f>
        <v>0</v>
      </c>
      <c r="C158" s="20">
        <f>INDEX(Raw!$C:$C,MATCH(A158,Raw!$A:$A,0))</f>
        <v>0</v>
      </c>
      <c r="D158" s="21"/>
    </row>
    <row r="159" spans="1:4" ht="11.25" customHeight="1" x14ac:dyDescent="0.25">
      <c r="A159" s="19" t="s">
        <v>196</v>
      </c>
      <c r="B159" s="20">
        <f ca="1">INDIRECT(ADDRESS(MATCH(A159,Raw!$A:$A,0),2,1,1,"Raw"))</f>
        <v>0</v>
      </c>
      <c r="C159" s="20">
        <f>INDEX(Raw!$C:$C,MATCH(A159,Raw!$A:$A,0))</f>
        <v>0</v>
      </c>
      <c r="D159" s="21"/>
    </row>
    <row r="160" spans="1:4" ht="11.25" customHeight="1" x14ac:dyDescent="0.25">
      <c r="A160" s="19" t="s">
        <v>197</v>
      </c>
      <c r="B160" s="20">
        <f ca="1">INDIRECT(ADDRESS(MATCH(A160,Raw!$A:$A,0),2,1,1,"Raw"))</f>
        <v>0</v>
      </c>
      <c r="C160" s="20">
        <f>INDEX(Raw!$C:$C,MATCH(A160,Raw!$A:$A,0))</f>
        <v>0</v>
      </c>
      <c r="D160" s="21"/>
    </row>
    <row r="161" spans="1:4" ht="11.25" customHeight="1" x14ac:dyDescent="0.25">
      <c r="A161" s="22" t="s">
        <v>198</v>
      </c>
      <c r="B161" s="20">
        <f ca="1">INDIRECT(ADDRESS(MATCH(A161,Raw!$A:$A,0),2,1,1,"Raw"))</f>
        <v>0</v>
      </c>
      <c r="C161" s="20">
        <f>INDEX(Raw!$C:$C,MATCH(A161,Raw!$A:$A,0))</f>
        <v>0</v>
      </c>
      <c r="D161" s="21"/>
    </row>
    <row r="162" spans="1:4" ht="11.25" customHeight="1" x14ac:dyDescent="0.25">
      <c r="A162" s="19" t="s">
        <v>199</v>
      </c>
      <c r="B162" s="20">
        <f ca="1">INDIRECT(ADDRESS(MATCH(A162,Raw!$A:$A,0),2,1,1,"Raw"))</f>
        <v>0</v>
      </c>
      <c r="C162" s="20">
        <f>INDEX(Raw!$C:$C,MATCH(A162,Raw!$A:$A,0))</f>
        <v>0</v>
      </c>
      <c r="D162" s="21"/>
    </row>
    <row r="163" spans="1:4" ht="11.25" customHeight="1" x14ac:dyDescent="0.25">
      <c r="A163" s="22" t="s">
        <v>200</v>
      </c>
      <c r="B163" s="20">
        <f ca="1">INDIRECT(ADDRESS(MATCH(A163,Raw!$A:$A,0),2,1,1,"Raw"))</f>
        <v>0</v>
      </c>
      <c r="C163" s="20">
        <f>INDEX(Raw!$C:$C,MATCH(A163,Raw!$A:$A,0))</f>
        <v>0</v>
      </c>
      <c r="D163" s="21"/>
    </row>
    <row r="164" spans="1:4" ht="11.25" customHeight="1" x14ac:dyDescent="0.25">
      <c r="A164" s="22" t="s">
        <v>201</v>
      </c>
      <c r="B164" s="20">
        <f ca="1">INDIRECT(ADDRESS(MATCH(A164,Raw!$A:$A,0),2,1,1,"Raw"))</f>
        <v>0</v>
      </c>
      <c r="C164" s="20">
        <f>INDEX(Raw!$C:$C,MATCH(A164,Raw!$A:$A,0))</f>
        <v>0</v>
      </c>
      <c r="D164" s="21"/>
    </row>
    <row r="165" spans="1:4" ht="11.25" customHeight="1" x14ac:dyDescent="0.25">
      <c r="A165" s="19" t="s">
        <v>202</v>
      </c>
      <c r="B165" s="20">
        <f ca="1">INDIRECT(ADDRESS(MATCH(A165,Raw!$A:$A,0),2,1,1,"Raw"))</f>
        <v>0</v>
      </c>
      <c r="C165" s="20">
        <f>INDEX(Raw!$C:$C,MATCH(A165,Raw!$A:$A,0))</f>
        <v>0</v>
      </c>
      <c r="D165" s="21"/>
    </row>
    <row r="166" spans="1:4" ht="11.25" customHeight="1" x14ac:dyDescent="0.25">
      <c r="A166" s="22" t="s">
        <v>203</v>
      </c>
      <c r="B166" s="20">
        <f ca="1">INDIRECT(ADDRESS(MATCH(A166,Raw!$A:$A,0),2,1,1,"Raw"))</f>
        <v>0</v>
      </c>
      <c r="C166" s="20">
        <f>INDEX(Raw!$C:$C,MATCH(A166,Raw!$A:$A,0))</f>
        <v>0</v>
      </c>
      <c r="D166" s="21"/>
    </row>
    <row r="167" spans="1:4" ht="11.25" customHeight="1" x14ac:dyDescent="0.25">
      <c r="A167" s="19" t="s">
        <v>204</v>
      </c>
      <c r="B167" s="20">
        <f ca="1">INDIRECT(ADDRESS(MATCH(A167,Raw!$A:$A,0),2,1,1,"Raw"))</f>
        <v>0</v>
      </c>
      <c r="C167" s="20">
        <f>INDEX(Raw!$C:$C,MATCH(A167,Raw!$A:$A,0))</f>
        <v>0</v>
      </c>
      <c r="D167" s="21"/>
    </row>
    <row r="168" spans="1:4" ht="11.25" customHeight="1" x14ac:dyDescent="0.25">
      <c r="A168" s="22" t="s">
        <v>205</v>
      </c>
      <c r="B168" s="20">
        <f ca="1">INDIRECT(ADDRESS(MATCH(A168,Raw!$A:$A,0),2,1,1,"Raw"))</f>
        <v>0</v>
      </c>
      <c r="C168" s="20">
        <f>INDEX(Raw!$C:$C,MATCH(A168,Raw!$A:$A,0))</f>
        <v>0</v>
      </c>
      <c r="D168" s="21"/>
    </row>
    <row r="169" spans="1:4" ht="11.25" customHeight="1" x14ac:dyDescent="0.25">
      <c r="A169" s="19" t="s">
        <v>206</v>
      </c>
      <c r="B169" s="20">
        <f ca="1">INDIRECT(ADDRESS(MATCH(A169,Raw!$A:$A,0),2,1,1,"Raw"))</f>
        <v>0</v>
      </c>
      <c r="C169" s="20">
        <f>INDEX(Raw!$C:$C,MATCH(A169,Raw!$A:$A,0))</f>
        <v>0</v>
      </c>
      <c r="D169" s="21"/>
    </row>
    <row r="170" spans="1:4" ht="11.25" customHeight="1" x14ac:dyDescent="0.25">
      <c r="A170" s="19" t="s">
        <v>207</v>
      </c>
      <c r="B170" s="20">
        <f ca="1">INDIRECT(ADDRESS(MATCH(A170,Raw!$A:$A,0),2,1,1,"Raw"))</f>
        <v>0</v>
      </c>
      <c r="C170" s="20">
        <f>INDEX(Raw!$C:$C,MATCH(A170,Raw!$A:$A,0))</f>
        <v>0</v>
      </c>
      <c r="D170" s="21"/>
    </row>
    <row r="171" spans="1:4" ht="11.25" customHeight="1" x14ac:dyDescent="0.25">
      <c r="A171" s="22" t="s">
        <v>208</v>
      </c>
      <c r="B171" s="20">
        <f ca="1">INDIRECT(ADDRESS(MATCH(A171,Raw!$A:$A,0),2,1,1,"Raw"))</f>
        <v>0</v>
      </c>
      <c r="C171" s="20">
        <f>INDEX(Raw!$C:$C,MATCH(A171,Raw!$A:$A,0))</f>
        <v>0</v>
      </c>
      <c r="D171" s="21"/>
    </row>
    <row r="172" spans="1:4" ht="11.25" customHeight="1" x14ac:dyDescent="0.25">
      <c r="A172" s="19" t="s">
        <v>209</v>
      </c>
      <c r="B172" s="20">
        <f ca="1">INDIRECT(ADDRESS(MATCH(A172,Raw!$A:$A,0),2,1,1,"Raw"))</f>
        <v>0</v>
      </c>
      <c r="C172" s="20">
        <f>INDEX(Raw!$C:$C,MATCH(A172,Raw!$A:$A,0))</f>
        <v>0</v>
      </c>
      <c r="D172" s="21"/>
    </row>
    <row r="173" spans="1:4" ht="11.25" customHeight="1" x14ac:dyDescent="0.25">
      <c r="A173" s="22" t="s">
        <v>210</v>
      </c>
      <c r="B173" s="20">
        <f ca="1">INDIRECT(ADDRESS(MATCH(A173,Raw!$A:$A,0),2,1,1,"Raw"))</f>
        <v>0</v>
      </c>
      <c r="C173" s="20">
        <f>INDEX(Raw!$C:$C,MATCH(A173,Raw!$A:$A,0))</f>
        <v>0</v>
      </c>
      <c r="D173" s="21"/>
    </row>
    <row r="174" spans="1:4" ht="11.25" customHeight="1" x14ac:dyDescent="0.25">
      <c r="A174" s="19" t="s">
        <v>211</v>
      </c>
      <c r="B174" s="20">
        <f ca="1">INDIRECT(ADDRESS(MATCH(A174,Raw!$A:$A,0),2,1,1,"Raw"))</f>
        <v>0</v>
      </c>
      <c r="C174" s="20">
        <f>INDEX(Raw!$C:$C,MATCH(A174,Raw!$A:$A,0))</f>
        <v>0</v>
      </c>
      <c r="D174" s="21"/>
    </row>
    <row r="175" spans="1:4" ht="11.25" customHeight="1" x14ac:dyDescent="0.25">
      <c r="A175" s="22" t="s">
        <v>212</v>
      </c>
      <c r="B175" s="20">
        <f ca="1">INDIRECT(ADDRESS(MATCH(A175,Raw!$A:$A,0),2,1,1,"Raw"))</f>
        <v>0</v>
      </c>
      <c r="C175" s="20">
        <f>INDEX(Raw!$C:$C,MATCH(A175,Raw!$A:$A,0))</f>
        <v>0</v>
      </c>
      <c r="D175" s="21"/>
    </row>
    <row r="176" spans="1:4" ht="11.25" customHeight="1" x14ac:dyDescent="0.25">
      <c r="A176" s="19" t="s">
        <v>213</v>
      </c>
      <c r="B176" s="20">
        <f ca="1">INDIRECT(ADDRESS(MATCH(A176,Raw!$A:$A,0),2,1,1,"Raw"))</f>
        <v>0</v>
      </c>
      <c r="C176" s="20">
        <f>INDEX(Raw!$C:$C,MATCH(A176,Raw!$A:$A,0))</f>
        <v>0</v>
      </c>
      <c r="D176" s="21"/>
    </row>
    <row r="177" spans="1:4" ht="11.25" customHeight="1" x14ac:dyDescent="0.25">
      <c r="A177" s="22" t="s">
        <v>214</v>
      </c>
      <c r="B177" s="20">
        <f ca="1">INDIRECT(ADDRESS(MATCH(A177,Raw!$A:$A,0),2,1,1,"Raw"))</f>
        <v>0</v>
      </c>
      <c r="C177" s="20">
        <f>INDEX(Raw!$C:$C,MATCH(A177,Raw!$A:$A,0))</f>
        <v>0</v>
      </c>
      <c r="D177" s="21"/>
    </row>
    <row r="178" spans="1:4" ht="11.25" customHeight="1" x14ac:dyDescent="0.25">
      <c r="A178" s="19" t="s">
        <v>215</v>
      </c>
      <c r="B178" s="20">
        <f ca="1">INDIRECT(ADDRESS(MATCH(A178,Raw!$A:$A,0),2,1,1,"Raw"))</f>
        <v>0</v>
      </c>
      <c r="C178" s="20">
        <f>INDEX(Raw!$C:$C,MATCH(A178,Raw!$A:$A,0))</f>
        <v>0</v>
      </c>
      <c r="D178" s="21"/>
    </row>
    <row r="179" spans="1:4" ht="11.25" customHeight="1" x14ac:dyDescent="0.25">
      <c r="A179" s="22" t="s">
        <v>216</v>
      </c>
      <c r="B179" s="20">
        <f ca="1">INDIRECT(ADDRESS(MATCH(A179,Raw!$A:$A,0),2,1,1,"Raw"))</f>
        <v>0</v>
      </c>
      <c r="C179" s="20">
        <f>INDEX(Raw!$C:$C,MATCH(A179,Raw!$A:$A,0))</f>
        <v>0</v>
      </c>
      <c r="D179" s="21"/>
    </row>
    <row r="180" spans="1:4" ht="11.25" customHeight="1" x14ac:dyDescent="0.25">
      <c r="A180" s="19" t="s">
        <v>217</v>
      </c>
      <c r="B180" s="20">
        <f ca="1">INDIRECT(ADDRESS(MATCH(A180,Raw!$A:$A,0),2,1,1,"Raw"))</f>
        <v>0</v>
      </c>
      <c r="C180" s="20">
        <f>INDEX(Raw!$C:$C,MATCH(A180,Raw!$A:$A,0))</f>
        <v>0</v>
      </c>
      <c r="D180" s="21"/>
    </row>
    <row r="181" spans="1:4" ht="11.25" customHeight="1" x14ac:dyDescent="0.25">
      <c r="A181" s="22" t="s">
        <v>218</v>
      </c>
      <c r="B181" s="20">
        <f ca="1">INDIRECT(ADDRESS(MATCH(A181,Raw!$A:$A,0),2,1,1,"Raw"))</f>
        <v>0</v>
      </c>
      <c r="C181" s="20">
        <f>INDEX(Raw!$C:$C,MATCH(A181,Raw!$A:$A,0))</f>
        <v>0</v>
      </c>
      <c r="D181" s="21"/>
    </row>
    <row r="182" spans="1:4" ht="11.25" customHeight="1" x14ac:dyDescent="0.25">
      <c r="A182" s="19" t="s">
        <v>219</v>
      </c>
      <c r="B182" s="20">
        <f ca="1">INDIRECT(ADDRESS(MATCH(A182,Raw!$A:$A,0),2,1,1,"Raw"))</f>
        <v>0</v>
      </c>
      <c r="C182" s="20">
        <f>INDEX(Raw!$C:$C,MATCH(A182,Raw!$A:$A,0))</f>
        <v>0</v>
      </c>
      <c r="D182" s="21"/>
    </row>
    <row r="183" spans="1:4" ht="11.25" customHeight="1" x14ac:dyDescent="0.25">
      <c r="A183" s="22" t="s">
        <v>220</v>
      </c>
      <c r="B183" s="20">
        <f ca="1">INDIRECT(ADDRESS(MATCH(A183,Raw!$A:$A,0),2,1,1,"Raw"))</f>
        <v>0</v>
      </c>
      <c r="C183" s="20">
        <f>INDEX(Raw!$C:$C,MATCH(A183,Raw!$A:$A,0))</f>
        <v>0</v>
      </c>
      <c r="D183" s="21"/>
    </row>
    <row r="184" spans="1:4" ht="11.25" customHeight="1" x14ac:dyDescent="0.25">
      <c r="A184" s="19" t="s">
        <v>221</v>
      </c>
      <c r="B184" s="20">
        <f ca="1">INDIRECT(ADDRESS(MATCH(A184,Raw!$A:$A,0),2,1,1,"Raw"))</f>
        <v>0</v>
      </c>
      <c r="C184" s="20">
        <f>INDEX(Raw!$C:$C,MATCH(A184,Raw!$A:$A,0))</f>
        <v>0</v>
      </c>
      <c r="D184" s="21"/>
    </row>
    <row r="185" spans="1:4" ht="11.25" customHeight="1" x14ac:dyDescent="0.25">
      <c r="A185" s="22" t="s">
        <v>222</v>
      </c>
      <c r="B185" s="20">
        <f ca="1">INDIRECT(ADDRESS(MATCH(A185,Raw!$A:$A,0),2,1,1,"Raw"))</f>
        <v>0</v>
      </c>
      <c r="C185" s="20">
        <f>INDEX(Raw!$C:$C,MATCH(A185,Raw!$A:$A,0))</f>
        <v>0</v>
      </c>
      <c r="D185" s="21"/>
    </row>
    <row r="186" spans="1:4" ht="11.25" customHeight="1" x14ac:dyDescent="0.25">
      <c r="A186" s="19" t="s">
        <v>223</v>
      </c>
      <c r="B186" s="20">
        <f ca="1">INDIRECT(ADDRESS(MATCH(A186,Raw!$A:$A,0),2,1,1,"Raw"))</f>
        <v>0</v>
      </c>
      <c r="C186" s="20">
        <f>INDEX(Raw!$C:$C,MATCH(A186,Raw!$A:$A,0))</f>
        <v>0</v>
      </c>
      <c r="D186" s="21"/>
    </row>
    <row r="187" spans="1:4" ht="11.25" customHeight="1" x14ac:dyDescent="0.25">
      <c r="A187" s="22" t="s">
        <v>224</v>
      </c>
      <c r="B187" s="20">
        <f ca="1">INDIRECT(ADDRESS(MATCH(A187,Raw!$A:$A,0),2,1,1,"Raw"))</f>
        <v>0</v>
      </c>
      <c r="C187" s="20">
        <f>INDEX(Raw!$C:$C,MATCH(A187,Raw!$A:$A,0))</f>
        <v>0</v>
      </c>
      <c r="D187" s="21"/>
    </row>
    <row r="188" spans="1:4" ht="11.25" customHeight="1" x14ac:dyDescent="0.25">
      <c r="A188" s="19" t="s">
        <v>225</v>
      </c>
      <c r="B188" s="20">
        <f ca="1">INDIRECT(ADDRESS(MATCH(A188,Raw!$A:$A,0),2,1,1,"Raw"))</f>
        <v>0</v>
      </c>
      <c r="C188" s="20">
        <f>INDEX(Raw!$C:$C,MATCH(A188,Raw!$A:$A,0))</f>
        <v>0</v>
      </c>
      <c r="D188" s="21"/>
    </row>
    <row r="189" spans="1:4" ht="11.25" customHeight="1" x14ac:dyDescent="0.25">
      <c r="A189" s="22" t="s">
        <v>226</v>
      </c>
      <c r="B189" s="20">
        <f ca="1">INDIRECT(ADDRESS(MATCH(A189,Raw!$A:$A,0),2,1,1,"Raw"))</f>
        <v>0</v>
      </c>
      <c r="C189" s="20">
        <f>INDEX(Raw!$C:$C,MATCH(A189,Raw!$A:$A,0))</f>
        <v>0</v>
      </c>
      <c r="D189" s="21"/>
    </row>
    <row r="190" spans="1:4" ht="11.25" customHeight="1" x14ac:dyDescent="0.25">
      <c r="A190" s="19" t="s">
        <v>227</v>
      </c>
      <c r="B190" s="20">
        <f ca="1">INDIRECT(ADDRESS(MATCH(A190,Raw!$A:$A,0),2,1,1,"Raw"))</f>
        <v>0</v>
      </c>
      <c r="C190" s="20">
        <f>INDEX(Raw!$C:$C,MATCH(A190,Raw!$A:$A,0))</f>
        <v>0</v>
      </c>
      <c r="D190" s="21"/>
    </row>
    <row r="191" spans="1:4" ht="11.25" customHeight="1" x14ac:dyDescent="0.25">
      <c r="A191" s="19" t="s">
        <v>228</v>
      </c>
      <c r="B191" s="20">
        <f ca="1">INDIRECT(ADDRESS(MATCH(A191,Raw!$A:$A,0),2,1,1,"Raw"))</f>
        <v>0</v>
      </c>
      <c r="C191" s="20">
        <f>INDEX(Raw!$C:$C,MATCH(A191,Raw!$A:$A,0))</f>
        <v>0</v>
      </c>
      <c r="D191" s="21"/>
    </row>
    <row r="192" spans="1:4" ht="11.25" customHeight="1" x14ac:dyDescent="0.25">
      <c r="A192" s="22" t="s">
        <v>229</v>
      </c>
      <c r="B192" s="20">
        <f ca="1">INDIRECT(ADDRESS(MATCH(A192,Raw!$A:$A,0),2,1,1,"Raw"))</f>
        <v>0</v>
      </c>
      <c r="C192" s="20">
        <f>INDEX(Raw!$C:$C,MATCH(A192,Raw!$A:$A,0))</f>
        <v>0</v>
      </c>
      <c r="D192" s="21"/>
    </row>
    <row r="193" spans="1:4" ht="11.25" customHeight="1" x14ac:dyDescent="0.25">
      <c r="A193" s="19" t="s">
        <v>230</v>
      </c>
      <c r="B193" s="20">
        <f ca="1">INDIRECT(ADDRESS(MATCH(A193,Raw!$A:$A,0),2,1,1,"Raw"))</f>
        <v>0</v>
      </c>
      <c r="C193" s="20">
        <f>INDEX(Raw!$C:$C,MATCH(A193,Raw!$A:$A,0))</f>
        <v>0</v>
      </c>
      <c r="D193" s="21"/>
    </row>
    <row r="194" spans="1:4" ht="11.25" customHeight="1" x14ac:dyDescent="0.25">
      <c r="A194" s="22" t="s">
        <v>231</v>
      </c>
      <c r="B194" s="20">
        <f ca="1">INDIRECT(ADDRESS(MATCH(A194,Raw!$A:$A,0),2,1,1,"Raw"))</f>
        <v>0</v>
      </c>
      <c r="C194" s="20">
        <f>INDEX(Raw!$C:$C,MATCH(A194,Raw!$A:$A,0))</f>
        <v>0</v>
      </c>
      <c r="D194" s="21"/>
    </row>
    <row r="195" spans="1:4" ht="11.25" customHeight="1" x14ac:dyDescent="0.25">
      <c r="A195" s="19" t="s">
        <v>232</v>
      </c>
      <c r="B195" s="20">
        <f ca="1">INDIRECT(ADDRESS(MATCH(A195,Raw!$A:$A,0),2,1,1,"Raw"))</f>
        <v>0</v>
      </c>
      <c r="C195" s="20">
        <f>INDEX(Raw!$C:$C,MATCH(A195,Raw!$A:$A,0))</f>
        <v>0</v>
      </c>
      <c r="D195" s="21"/>
    </row>
    <row r="196" spans="1:4" ht="11.25" customHeight="1" x14ac:dyDescent="0.25">
      <c r="A196" s="22" t="s">
        <v>233</v>
      </c>
      <c r="B196" s="20">
        <f ca="1">INDIRECT(ADDRESS(MATCH(A196,Raw!$A:$A,0),2,1,1,"Raw"))</f>
        <v>0</v>
      </c>
      <c r="C196" s="20">
        <f>INDEX(Raw!$C:$C,MATCH(A196,Raw!$A:$A,0))</f>
        <v>0</v>
      </c>
      <c r="D196" s="21"/>
    </row>
    <row r="197" spans="1:4" ht="11.25" customHeight="1" x14ac:dyDescent="0.25">
      <c r="A197" s="19" t="s">
        <v>234</v>
      </c>
      <c r="B197" s="20">
        <f ca="1">INDIRECT(ADDRESS(MATCH(A197,Raw!$A:$A,0),2,1,1,"Raw"))</f>
        <v>0</v>
      </c>
      <c r="C197" s="20">
        <f>INDEX(Raw!$C:$C,MATCH(A197,Raw!$A:$A,0))</f>
        <v>0</v>
      </c>
      <c r="D197" s="21"/>
    </row>
    <row r="198" spans="1:4" ht="11.25" customHeight="1" x14ac:dyDescent="0.25">
      <c r="A198" s="22" t="s">
        <v>235</v>
      </c>
      <c r="B198" s="20">
        <f ca="1">INDIRECT(ADDRESS(MATCH(A198,Raw!$A:$A,0),2,1,1,"Raw"))</f>
        <v>0</v>
      </c>
      <c r="C198" s="20">
        <f>INDEX(Raw!$C:$C,MATCH(A198,Raw!$A:$A,0))</f>
        <v>0</v>
      </c>
      <c r="D198" s="21"/>
    </row>
    <row r="199" spans="1:4" ht="11.25" customHeight="1" x14ac:dyDescent="0.25">
      <c r="A199" s="19" t="s">
        <v>236</v>
      </c>
      <c r="B199" s="20">
        <f ca="1">INDIRECT(ADDRESS(MATCH(A199,Raw!$A:$A,0),2,1,1,"Raw"))</f>
        <v>0</v>
      </c>
      <c r="C199" s="20">
        <f>INDEX(Raw!$C:$C,MATCH(A199,Raw!$A:$A,0))</f>
        <v>0</v>
      </c>
      <c r="D199" s="21"/>
    </row>
    <row r="200" spans="1:4" ht="11.25" customHeight="1" x14ac:dyDescent="0.25">
      <c r="A200" s="22" t="s">
        <v>237</v>
      </c>
      <c r="B200" s="20">
        <f ca="1">INDIRECT(ADDRESS(MATCH(A200,Raw!$A:$A,0),2,1,1,"Raw"))</f>
        <v>0</v>
      </c>
      <c r="C200" s="20">
        <f>INDEX(Raw!$C:$C,MATCH(A200,Raw!$A:$A,0))</f>
        <v>0</v>
      </c>
      <c r="D200" s="21"/>
    </row>
    <row r="201" spans="1:4" ht="11.25" customHeight="1" x14ac:dyDescent="0.25">
      <c r="A201" s="19" t="s">
        <v>238</v>
      </c>
      <c r="B201" s="20">
        <f ca="1">INDIRECT(ADDRESS(MATCH(A201,Raw!$A:$A,0),2,1,1,"Raw"))</f>
        <v>0</v>
      </c>
      <c r="C201" s="20">
        <f>INDEX(Raw!$C:$C,MATCH(A201,Raw!$A:$A,0))</f>
        <v>0</v>
      </c>
      <c r="D201" s="21"/>
    </row>
    <row r="202" spans="1:4" ht="11.25" customHeight="1" x14ac:dyDescent="0.25">
      <c r="A202" s="19" t="s">
        <v>239</v>
      </c>
      <c r="B202" s="20">
        <f ca="1">INDIRECT(ADDRESS(MATCH(A202,Raw!$A:$A,0),2,1,1,"Raw"))</f>
        <v>0</v>
      </c>
      <c r="C202" s="20">
        <f>INDEX(Raw!$C:$C,MATCH(A202,Raw!$A:$A,0))</f>
        <v>0</v>
      </c>
      <c r="D202" s="21"/>
    </row>
    <row r="203" spans="1:4" ht="11.25" customHeight="1" x14ac:dyDescent="0.25">
      <c r="A203" s="22" t="s">
        <v>240</v>
      </c>
      <c r="B203" s="20">
        <f ca="1">INDIRECT(ADDRESS(MATCH(A203,Raw!$A:$A,0),2,1,1,"Raw"))</f>
        <v>0</v>
      </c>
      <c r="C203" s="20">
        <f>INDEX(Raw!$C:$C,MATCH(A203,Raw!$A:$A,0))</f>
        <v>0</v>
      </c>
      <c r="D203" s="21"/>
    </row>
    <row r="204" spans="1:4" ht="11.25" customHeight="1" x14ac:dyDescent="0.25">
      <c r="A204" s="19" t="s">
        <v>241</v>
      </c>
      <c r="B204" s="20">
        <f ca="1">INDIRECT(ADDRESS(MATCH(A204,Raw!$A:$A,0),2,1,1,"Raw"))</f>
        <v>0</v>
      </c>
      <c r="C204" s="20">
        <f>INDEX(Raw!$C:$C,MATCH(A204,Raw!$A:$A,0))</f>
        <v>0</v>
      </c>
      <c r="D204" s="21"/>
    </row>
    <row r="205" spans="1:4" ht="11.25" customHeight="1" x14ac:dyDescent="0.25">
      <c r="A205" s="22" t="s">
        <v>242</v>
      </c>
      <c r="B205" s="20">
        <f ca="1">INDIRECT(ADDRESS(MATCH(A205,Raw!$A:$A,0),2,1,1,"Raw"))</f>
        <v>0</v>
      </c>
      <c r="C205" s="20">
        <f>INDEX(Raw!$C:$C,MATCH(A205,Raw!$A:$A,0))</f>
        <v>0</v>
      </c>
      <c r="D205" s="21"/>
    </row>
    <row r="206" spans="1:4" ht="11.25" customHeight="1" x14ac:dyDescent="0.25">
      <c r="A206" s="19" t="s">
        <v>243</v>
      </c>
      <c r="B206" s="20">
        <f ca="1">INDIRECT(ADDRESS(MATCH(A206,Raw!$A:$A,0),2,1,1,"Raw"))</f>
        <v>0</v>
      </c>
      <c r="C206" s="20">
        <f>INDEX(Raw!$C:$C,MATCH(A206,Raw!$A:$A,0))</f>
        <v>0</v>
      </c>
      <c r="D206" s="21"/>
    </row>
    <row r="207" spans="1:4" ht="11.25" customHeight="1" x14ac:dyDescent="0.25">
      <c r="A207" s="22" t="s">
        <v>244</v>
      </c>
      <c r="B207" s="20">
        <f ca="1">INDIRECT(ADDRESS(MATCH(A207,Raw!$A:$A,0),2,1,1,"Raw"))</f>
        <v>0</v>
      </c>
      <c r="C207" s="20">
        <f>INDEX(Raw!$C:$C,MATCH(A207,Raw!$A:$A,0))</f>
        <v>0</v>
      </c>
      <c r="D207" s="21"/>
    </row>
    <row r="208" spans="1:4" ht="11.25" customHeight="1" x14ac:dyDescent="0.25">
      <c r="A208" s="19" t="s">
        <v>245</v>
      </c>
      <c r="B208" s="20">
        <f ca="1">INDIRECT(ADDRESS(MATCH(A208,Raw!$A:$A,0),2,1,1,"Raw"))</f>
        <v>0</v>
      </c>
      <c r="C208" s="20">
        <f>INDEX(Raw!$C:$C,MATCH(A208,Raw!$A:$A,0))</f>
        <v>0</v>
      </c>
      <c r="D208" s="21"/>
    </row>
    <row r="209" spans="1:4" ht="11.25" customHeight="1" x14ac:dyDescent="0.25">
      <c r="A209" s="22" t="s">
        <v>246</v>
      </c>
      <c r="B209" s="20">
        <f ca="1">INDIRECT(ADDRESS(MATCH(A209,Raw!$A:$A,0),2,1,1,"Raw"))</f>
        <v>0</v>
      </c>
      <c r="C209" s="20">
        <f>INDEX(Raw!$C:$C,MATCH(A209,Raw!$A:$A,0))</f>
        <v>0</v>
      </c>
      <c r="D209" s="21"/>
    </row>
    <row r="210" spans="1:4" ht="11.25" customHeight="1" x14ac:dyDescent="0.25">
      <c r="A210" s="19" t="s">
        <v>247</v>
      </c>
      <c r="B210" s="20">
        <f ca="1">INDIRECT(ADDRESS(MATCH(A210,Raw!$A:$A,0),2,1,1,"Raw"))</f>
        <v>0</v>
      </c>
      <c r="C210" s="20">
        <f>INDEX(Raw!$C:$C,MATCH(A210,Raw!$A:$A,0))</f>
        <v>0</v>
      </c>
      <c r="D210" s="21"/>
    </row>
    <row r="211" spans="1:4" ht="11.25" customHeight="1" x14ac:dyDescent="0.25">
      <c r="A211" s="22" t="s">
        <v>248</v>
      </c>
      <c r="B211" s="20">
        <f ca="1">INDIRECT(ADDRESS(MATCH(A211,Raw!$A:$A,0),2,1,1,"Raw"))</f>
        <v>0</v>
      </c>
      <c r="C211" s="20">
        <f>INDEX(Raw!$C:$C,MATCH(A211,Raw!$A:$A,0))</f>
        <v>0</v>
      </c>
      <c r="D211" s="21"/>
    </row>
    <row r="212" spans="1:4" ht="11.25" customHeight="1" x14ac:dyDescent="0.25">
      <c r="A212" s="19" t="s">
        <v>249</v>
      </c>
      <c r="B212" s="20">
        <f ca="1">INDIRECT(ADDRESS(MATCH(A212,Raw!$A:$A,0),2,1,1,"Raw"))</f>
        <v>0</v>
      </c>
      <c r="C212" s="20">
        <f>INDEX(Raw!$C:$C,MATCH(A212,Raw!$A:$A,0))</f>
        <v>0</v>
      </c>
      <c r="D212" s="21"/>
    </row>
    <row r="213" spans="1:4" ht="11.25" customHeight="1" x14ac:dyDescent="0.25">
      <c r="A213" s="22" t="s">
        <v>250</v>
      </c>
      <c r="B213" s="20">
        <f ca="1">INDIRECT(ADDRESS(MATCH(A213,Raw!$A:$A,0),2,1,1,"Raw"))</f>
        <v>0</v>
      </c>
      <c r="C213" s="20">
        <f>INDEX(Raw!$C:$C,MATCH(A213,Raw!$A:$A,0))</f>
        <v>0</v>
      </c>
      <c r="D213" s="21"/>
    </row>
    <row r="214" spans="1:4" ht="11.25" customHeight="1" x14ac:dyDescent="0.25">
      <c r="A214" s="22" t="s">
        <v>251</v>
      </c>
      <c r="B214" s="20">
        <f ca="1">INDIRECT(ADDRESS(MATCH(A214,Raw!$A:$A,0),2,1,1,"Raw"))</f>
        <v>0</v>
      </c>
      <c r="C214" s="20">
        <f>INDEX(Raw!$C:$C,MATCH(A214,Raw!$A:$A,0))</f>
        <v>0</v>
      </c>
      <c r="D214" s="21"/>
    </row>
    <row r="215" spans="1:4" ht="11.25" customHeight="1" x14ac:dyDescent="0.25">
      <c r="A215" s="19" t="s">
        <v>252</v>
      </c>
      <c r="B215" s="20">
        <f ca="1">INDIRECT(ADDRESS(MATCH(A215,Raw!$A:$A,0),2,1,1,"Raw"))</f>
        <v>0</v>
      </c>
      <c r="C215" s="20">
        <f>INDEX(Raw!$C:$C,MATCH(A215,Raw!$A:$A,0))</f>
        <v>0</v>
      </c>
      <c r="D215" s="21"/>
    </row>
    <row r="216" spans="1:4" ht="11.25" customHeight="1" x14ac:dyDescent="0.25">
      <c r="A216" s="22" t="s">
        <v>253</v>
      </c>
      <c r="B216" s="20">
        <f ca="1">INDIRECT(ADDRESS(MATCH(A216,Raw!$A:$A,0),2,1,1,"Raw"))</f>
        <v>0</v>
      </c>
      <c r="C216" s="20">
        <f>INDEX(Raw!$C:$C,MATCH(A216,Raw!$A:$A,0))</f>
        <v>0</v>
      </c>
      <c r="D216" s="21"/>
    </row>
    <row r="217" spans="1:4" ht="11.25" customHeight="1" x14ac:dyDescent="0.25">
      <c r="A217" s="19" t="s">
        <v>254</v>
      </c>
      <c r="B217" s="20">
        <f ca="1">INDIRECT(ADDRESS(MATCH(A217,Raw!$A:$A,0),2,1,1,"Raw"))</f>
        <v>0</v>
      </c>
      <c r="C217" s="20">
        <f>INDEX(Raw!$C:$C,MATCH(A217,Raw!$A:$A,0))</f>
        <v>0</v>
      </c>
      <c r="D217" s="21"/>
    </row>
    <row r="218" spans="1:4" ht="11.25" customHeight="1" x14ac:dyDescent="0.25">
      <c r="A218" s="22" t="s">
        <v>255</v>
      </c>
      <c r="B218" s="20">
        <f ca="1">INDIRECT(ADDRESS(MATCH(A218,Raw!$A:$A,0),2,1,1,"Raw"))</f>
        <v>0</v>
      </c>
      <c r="C218" s="20">
        <f>INDEX(Raw!$C:$C,MATCH(A218,Raw!$A:$A,0))</f>
        <v>0</v>
      </c>
      <c r="D218" s="21"/>
    </row>
    <row r="219" spans="1:4" ht="11.25" customHeight="1" x14ac:dyDescent="0.25">
      <c r="A219" s="19" t="s">
        <v>256</v>
      </c>
      <c r="B219" s="20">
        <f ca="1">INDIRECT(ADDRESS(MATCH(A219,Raw!$A:$A,0),2,1,1,"Raw"))</f>
        <v>0</v>
      </c>
      <c r="C219" s="20">
        <f>INDEX(Raw!$C:$C,MATCH(A219,Raw!$A:$A,0))</f>
        <v>0</v>
      </c>
      <c r="D219" s="21"/>
    </row>
    <row r="220" spans="1:4" ht="11.25" customHeight="1" x14ac:dyDescent="0.25">
      <c r="A220" s="22" t="s">
        <v>257</v>
      </c>
      <c r="B220" s="20">
        <f ca="1">INDIRECT(ADDRESS(MATCH(A220,Raw!$A:$A,0),2,1,1,"Raw"))</f>
        <v>0</v>
      </c>
      <c r="C220" s="20">
        <f>INDEX(Raw!$C:$C,MATCH(A220,Raw!$A:$A,0))</f>
        <v>0</v>
      </c>
      <c r="D220" s="21"/>
    </row>
    <row r="221" spans="1:4" ht="11.25" customHeight="1" x14ac:dyDescent="0.25">
      <c r="A221" s="19" t="s">
        <v>258</v>
      </c>
      <c r="B221" s="20">
        <f ca="1">INDIRECT(ADDRESS(MATCH(A221,Raw!$A:$A,0),2,1,1,"Raw"))</f>
        <v>0</v>
      </c>
      <c r="C221" s="20">
        <f>INDEX(Raw!$C:$C,MATCH(A221,Raw!$A:$A,0))</f>
        <v>0</v>
      </c>
      <c r="D221" s="21"/>
    </row>
    <row r="222" spans="1:4" ht="11.25" customHeight="1" x14ac:dyDescent="0.25">
      <c r="A222" s="22" t="s">
        <v>259</v>
      </c>
      <c r="B222" s="20">
        <f ca="1">INDIRECT(ADDRESS(MATCH(A222,Raw!$A:$A,0),2,1,1,"Raw"))</f>
        <v>0</v>
      </c>
      <c r="C222" s="20">
        <f>INDEX(Raw!$C:$C,MATCH(A222,Raw!$A:$A,0))</f>
        <v>0</v>
      </c>
      <c r="D222" s="21"/>
    </row>
    <row r="223" spans="1:4" ht="11.25" customHeight="1" x14ac:dyDescent="0.25">
      <c r="A223" s="19" t="s">
        <v>260</v>
      </c>
      <c r="B223" s="20">
        <f ca="1">INDIRECT(ADDRESS(MATCH(A223,Raw!$A:$A,0),2,1,1,"Raw"))</f>
        <v>0</v>
      </c>
      <c r="C223" s="20">
        <f>INDEX(Raw!$C:$C,MATCH(A223,Raw!$A:$A,0))</f>
        <v>0</v>
      </c>
      <c r="D223" s="21"/>
    </row>
    <row r="224" spans="1:4" ht="11.25" customHeight="1" x14ac:dyDescent="0.25">
      <c r="A224" s="22" t="s">
        <v>261</v>
      </c>
      <c r="B224" s="20">
        <f ca="1">INDIRECT(ADDRESS(MATCH(A224,Raw!$A:$A,0),2,1,1,"Raw"))</f>
        <v>0</v>
      </c>
      <c r="C224" s="20">
        <f>INDEX(Raw!$C:$C,MATCH(A224,Raw!$A:$A,0))</f>
        <v>0</v>
      </c>
      <c r="D224" s="21"/>
    </row>
    <row r="225" spans="1:4" ht="11.25" customHeight="1" x14ac:dyDescent="0.25">
      <c r="A225" s="19" t="s">
        <v>262</v>
      </c>
      <c r="B225" s="20">
        <f ca="1">INDIRECT(ADDRESS(MATCH(A225,Raw!$A:$A,0),2,1,1,"Raw"))</f>
        <v>0</v>
      </c>
      <c r="C225" s="20">
        <f>INDEX(Raw!$C:$C,MATCH(A225,Raw!$A:$A,0))</f>
        <v>0</v>
      </c>
      <c r="D225" s="21"/>
    </row>
    <row r="226" spans="1:4" ht="11.25" customHeight="1" x14ac:dyDescent="0.25">
      <c r="A226" s="22" t="s">
        <v>263</v>
      </c>
      <c r="B226" s="20">
        <f ca="1">INDIRECT(ADDRESS(MATCH(A226,Raw!$A:$A,0),2,1,1,"Raw"))</f>
        <v>0</v>
      </c>
      <c r="C226" s="20">
        <f>INDEX(Raw!$C:$C,MATCH(A226,Raw!$A:$A,0))</f>
        <v>0</v>
      </c>
      <c r="D226" s="21"/>
    </row>
    <row r="227" spans="1:4" ht="11.25" customHeight="1" x14ac:dyDescent="0.25">
      <c r="A227" s="22" t="s">
        <v>264</v>
      </c>
      <c r="B227" s="20">
        <f ca="1">INDIRECT(ADDRESS(MATCH(A227,Raw!$A:$A,0),2,1,1,"Raw"))</f>
        <v>0</v>
      </c>
      <c r="C227" s="20">
        <f>INDEX(Raw!$C:$C,MATCH(A227,Raw!$A:$A,0))</f>
        <v>0</v>
      </c>
      <c r="D227" s="21"/>
    </row>
    <row r="228" spans="1:4" ht="11.25" customHeight="1" x14ac:dyDescent="0.25">
      <c r="A228" s="19" t="s">
        <v>265</v>
      </c>
      <c r="B228" s="20">
        <f ca="1">INDIRECT(ADDRESS(MATCH(A228,Raw!$A:$A,0),2,1,1,"Raw"))</f>
        <v>0</v>
      </c>
      <c r="C228" s="20">
        <f>INDEX(Raw!$C:$C,MATCH(A228,Raw!$A:$A,0))</f>
        <v>0</v>
      </c>
      <c r="D228" s="21"/>
    </row>
    <row r="229" spans="1:4" ht="11.25" customHeight="1" x14ac:dyDescent="0.25">
      <c r="A229" s="22" t="s">
        <v>266</v>
      </c>
      <c r="B229" s="20">
        <f ca="1">INDIRECT(ADDRESS(MATCH(A229,Raw!$A:$A,0),2,1,1,"Raw"))</f>
        <v>0</v>
      </c>
      <c r="C229" s="20">
        <f>INDEX(Raw!$C:$C,MATCH(A229,Raw!$A:$A,0))</f>
        <v>0</v>
      </c>
      <c r="D229" s="21"/>
    </row>
    <row r="230" spans="1:4" ht="11.25" customHeight="1" x14ac:dyDescent="0.25">
      <c r="A230" s="19" t="s">
        <v>267</v>
      </c>
      <c r="B230" s="20">
        <f ca="1">INDIRECT(ADDRESS(MATCH(A230,Raw!$A:$A,0),2,1,1,"Raw"))</f>
        <v>0</v>
      </c>
      <c r="C230" s="20">
        <f>INDEX(Raw!$C:$C,MATCH(A230,Raw!$A:$A,0))</f>
        <v>0</v>
      </c>
      <c r="D230" s="21"/>
    </row>
    <row r="231" spans="1:4" ht="11.25" customHeight="1" x14ac:dyDescent="0.25">
      <c r="A231" s="22" t="s">
        <v>268</v>
      </c>
      <c r="B231" s="20">
        <f ca="1">INDIRECT(ADDRESS(MATCH(A231,Raw!$A:$A,0),2,1,1,"Raw"))</f>
        <v>0</v>
      </c>
      <c r="C231" s="20">
        <f>INDEX(Raw!$C:$C,MATCH(A231,Raw!$A:$A,0))</f>
        <v>0</v>
      </c>
      <c r="D231" s="21"/>
    </row>
    <row r="232" spans="1:4" ht="11.25" customHeight="1" x14ac:dyDescent="0.25">
      <c r="A232" s="22" t="s">
        <v>269</v>
      </c>
      <c r="B232" s="20">
        <f ca="1">INDIRECT(ADDRESS(MATCH(A232,Raw!$A:$A,0),2,1,1,"Raw"))</f>
        <v>0</v>
      </c>
      <c r="C232" s="20">
        <f>INDEX(Raw!$C:$C,MATCH(A232,Raw!$A:$A,0))</f>
        <v>0</v>
      </c>
      <c r="D232" s="21"/>
    </row>
    <row r="233" spans="1:4" ht="11.25" customHeight="1" x14ac:dyDescent="0.25">
      <c r="A233" s="19" t="s">
        <v>270</v>
      </c>
      <c r="B233" s="20">
        <f ca="1">INDIRECT(ADDRESS(MATCH(A233,Raw!$A:$A,0),2,1,1,"Raw"))</f>
        <v>0</v>
      </c>
      <c r="C233" s="20">
        <f>INDEX(Raw!$C:$C,MATCH(A233,Raw!$A:$A,0))</f>
        <v>0</v>
      </c>
      <c r="D233" s="21"/>
    </row>
    <row r="234" spans="1:4" ht="11.25" customHeight="1" x14ac:dyDescent="0.25">
      <c r="A234" s="22" t="s">
        <v>271</v>
      </c>
      <c r="B234" s="20">
        <f ca="1">INDIRECT(ADDRESS(MATCH(A234,Raw!$A:$A,0),2,1,1,"Raw"))</f>
        <v>0</v>
      </c>
      <c r="C234" s="20">
        <f>INDEX(Raw!$C:$C,MATCH(A234,Raw!$A:$A,0))</f>
        <v>0</v>
      </c>
      <c r="D234" s="21"/>
    </row>
    <row r="235" spans="1:4" ht="11.25" customHeight="1" x14ac:dyDescent="0.25">
      <c r="A235" s="19" t="s">
        <v>272</v>
      </c>
      <c r="B235" s="20">
        <f ca="1">INDIRECT(ADDRESS(MATCH(A235,Raw!$A:$A,0),2,1,1,"Raw"))</f>
        <v>0</v>
      </c>
      <c r="C235" s="20">
        <f>INDEX(Raw!$C:$C,MATCH(A235,Raw!$A:$A,0))</f>
        <v>0</v>
      </c>
      <c r="D235" s="21"/>
    </row>
    <row r="236" spans="1:4" ht="11.25" customHeight="1" x14ac:dyDescent="0.25">
      <c r="A236" s="19" t="s">
        <v>273</v>
      </c>
      <c r="B236" s="20">
        <f ca="1">INDIRECT(ADDRESS(MATCH(A236,Raw!$A:$A,0),2,1,1,"Raw"))</f>
        <v>0</v>
      </c>
      <c r="C236" s="20">
        <f>INDEX(Raw!$C:$C,MATCH(A236,Raw!$A:$A,0))</f>
        <v>0</v>
      </c>
      <c r="D236" s="21"/>
    </row>
    <row r="237" spans="1:4" ht="11.25" customHeight="1" x14ac:dyDescent="0.25">
      <c r="A237" s="22" t="s">
        <v>274</v>
      </c>
      <c r="B237" s="20">
        <f ca="1">INDIRECT(ADDRESS(MATCH(A237,Raw!$A:$A,0),2,1,1,"Raw"))</f>
        <v>0</v>
      </c>
      <c r="C237" s="20">
        <f>INDEX(Raw!$C:$C,MATCH(A237,Raw!$A:$A,0))</f>
        <v>0</v>
      </c>
      <c r="D237" s="21"/>
    </row>
    <row r="238" spans="1:4" ht="11.25" customHeight="1" x14ac:dyDescent="0.25">
      <c r="A238" s="22" t="s">
        <v>275</v>
      </c>
      <c r="B238" s="20">
        <f ca="1">INDIRECT(ADDRESS(MATCH(A238,Raw!$A:$A,0),2,1,1,"Raw"))</f>
        <v>0</v>
      </c>
      <c r="C238" s="20">
        <f>INDEX(Raw!$C:$C,MATCH(A238,Raw!$A:$A,0))</f>
        <v>0</v>
      </c>
      <c r="D238" s="21"/>
    </row>
    <row r="239" spans="1:4" ht="11.25" customHeight="1" x14ac:dyDescent="0.25">
      <c r="A239" s="19" t="s">
        <v>276</v>
      </c>
      <c r="B239" s="20">
        <f ca="1">INDIRECT(ADDRESS(MATCH(A239,Raw!$A:$A,0),2,1,1,"Raw"))</f>
        <v>0</v>
      </c>
      <c r="C239" s="20">
        <f>INDEX(Raw!$C:$C,MATCH(A239,Raw!$A:$A,0))</f>
        <v>0</v>
      </c>
      <c r="D239" s="21"/>
    </row>
    <row r="240" spans="1:4" ht="11.25" customHeight="1" x14ac:dyDescent="0.25">
      <c r="A240" s="22" t="s">
        <v>277</v>
      </c>
      <c r="B240" s="20">
        <f ca="1">INDIRECT(ADDRESS(MATCH(A240,Raw!$A:$A,0),2,1,1,"Raw"))</f>
        <v>0</v>
      </c>
      <c r="C240" s="20">
        <f>INDEX(Raw!$C:$C,MATCH(A240,Raw!$A:$A,0))</f>
        <v>0</v>
      </c>
      <c r="D240" s="21"/>
    </row>
    <row r="241" spans="1:4" ht="11.25" customHeight="1" x14ac:dyDescent="0.25">
      <c r="A241" s="19" t="s">
        <v>278</v>
      </c>
      <c r="B241" s="20">
        <f ca="1">INDIRECT(ADDRESS(MATCH(A241,Raw!$A:$A,0),2,1,1,"Raw"))</f>
        <v>0</v>
      </c>
      <c r="C241" s="20">
        <f>INDEX(Raw!$C:$C,MATCH(A241,Raw!$A:$A,0))</f>
        <v>0</v>
      </c>
      <c r="D241" s="21"/>
    </row>
    <row r="242" spans="1:4" ht="11.25" customHeight="1" x14ac:dyDescent="0.25">
      <c r="A242" s="22" t="s">
        <v>279</v>
      </c>
      <c r="B242" s="20">
        <f ca="1">INDIRECT(ADDRESS(MATCH(A242,Raw!$A:$A,0),2,1,1,"Raw"))</f>
        <v>0</v>
      </c>
      <c r="C242" s="20">
        <f>INDEX(Raw!$C:$C,MATCH(A242,Raw!$A:$A,0))</f>
        <v>0</v>
      </c>
      <c r="D242" s="21"/>
    </row>
    <row r="243" spans="1:4" ht="11.25" customHeight="1" x14ac:dyDescent="0.25">
      <c r="A243" s="22" t="s">
        <v>280</v>
      </c>
      <c r="B243" s="20">
        <f ca="1">INDIRECT(ADDRESS(MATCH(A243,Raw!$A:$A,0),2,1,1,"Raw"))</f>
        <v>0</v>
      </c>
      <c r="C243" s="20">
        <f>INDEX(Raw!$C:$C,MATCH(A243,Raw!$A:$A,0))</f>
        <v>0</v>
      </c>
      <c r="D243" s="21"/>
    </row>
    <row r="244" spans="1:4" ht="11.25" customHeight="1" x14ac:dyDescent="0.25">
      <c r="A244" s="19" t="s">
        <v>281</v>
      </c>
      <c r="B244" s="20">
        <f ca="1">INDIRECT(ADDRESS(MATCH(A244,Raw!$A:$A,0),2,1,1,"Raw"))</f>
        <v>0</v>
      </c>
      <c r="C244" s="20">
        <f>INDEX(Raw!$C:$C,MATCH(A244,Raw!$A:$A,0))</f>
        <v>0</v>
      </c>
      <c r="D244" s="21"/>
    </row>
    <row r="245" spans="1:4" ht="11.25" customHeight="1" x14ac:dyDescent="0.25">
      <c r="A245" s="22" t="s">
        <v>282</v>
      </c>
      <c r="B245" s="20">
        <f ca="1">INDIRECT(ADDRESS(MATCH(A245,Raw!$A:$A,0),2,1,1,"Raw"))</f>
        <v>0</v>
      </c>
      <c r="C245" s="20">
        <f>INDEX(Raw!$C:$C,MATCH(A245,Raw!$A:$A,0))</f>
        <v>0</v>
      </c>
      <c r="D245" s="21"/>
    </row>
    <row r="246" spans="1:4" ht="11.25" customHeight="1" x14ac:dyDescent="0.25">
      <c r="A246" s="19" t="s">
        <v>283</v>
      </c>
      <c r="B246" s="20">
        <f ca="1">INDIRECT(ADDRESS(MATCH(A246,Raw!$A:$A,0),2,1,1,"Raw"))</f>
        <v>0</v>
      </c>
      <c r="C246" s="20">
        <f>INDEX(Raw!$C:$C,MATCH(A246,Raw!$A:$A,0))</f>
        <v>0</v>
      </c>
      <c r="D246" s="21"/>
    </row>
    <row r="247" spans="1:4" ht="11.25" customHeight="1" x14ac:dyDescent="0.25">
      <c r="A247" s="22" t="s">
        <v>284</v>
      </c>
      <c r="B247" s="20">
        <f ca="1">INDIRECT(ADDRESS(MATCH(A247,Raw!$A:$A,0),2,1,1,"Raw"))</f>
        <v>0</v>
      </c>
      <c r="C247" s="20">
        <f>INDEX(Raw!$C:$C,MATCH(A247,Raw!$A:$A,0))</f>
        <v>0</v>
      </c>
      <c r="D247" s="21"/>
    </row>
    <row r="248" spans="1:4" ht="11.25" customHeight="1" x14ac:dyDescent="0.25">
      <c r="A248" s="19" t="s">
        <v>285</v>
      </c>
      <c r="B248" s="20">
        <f ca="1">INDIRECT(ADDRESS(MATCH(A248,Raw!$A:$A,0),2,1,1,"Raw"))</f>
        <v>0</v>
      </c>
      <c r="C248" s="20">
        <f>INDEX(Raw!$C:$C,MATCH(A248,Raw!$A:$A,0))</f>
        <v>0</v>
      </c>
      <c r="D248" s="21"/>
    </row>
    <row r="249" spans="1:4" ht="11.25" customHeight="1" x14ac:dyDescent="0.25">
      <c r="A249" s="22" t="s">
        <v>286</v>
      </c>
      <c r="B249" s="20">
        <f ca="1">INDIRECT(ADDRESS(MATCH(A249,Raw!$A:$A,0),2,1,1,"Raw"))</f>
        <v>0</v>
      </c>
      <c r="C249" s="20">
        <f>INDEX(Raw!$C:$C,MATCH(A249,Raw!$A:$A,0))</f>
        <v>0</v>
      </c>
      <c r="D249" s="21"/>
    </row>
    <row r="250" spans="1:4" ht="11.25" customHeight="1" x14ac:dyDescent="0.25">
      <c r="A250" s="19" t="s">
        <v>287</v>
      </c>
      <c r="B250" s="20">
        <f ca="1">INDIRECT(ADDRESS(MATCH(A250,Raw!$A:$A,0),2,1,1,"Raw"))</f>
        <v>0</v>
      </c>
      <c r="C250" s="20">
        <f>INDEX(Raw!$C:$C,MATCH(A250,Raw!$A:$A,0))</f>
        <v>0</v>
      </c>
      <c r="D250" s="21"/>
    </row>
    <row r="251" spans="1:4" ht="11.25" customHeight="1" x14ac:dyDescent="0.25">
      <c r="A251" s="22" t="s">
        <v>288</v>
      </c>
      <c r="B251" s="20">
        <f ca="1">INDIRECT(ADDRESS(MATCH(A251,Raw!$A:$A,0),2,1,1,"Raw"))</f>
        <v>0</v>
      </c>
      <c r="C251" s="20">
        <f>INDEX(Raw!$C:$C,MATCH(A251,Raw!$A:$A,0))</f>
        <v>0</v>
      </c>
      <c r="D251" s="21"/>
    </row>
    <row r="252" spans="1:4" ht="11.25" customHeight="1" x14ac:dyDescent="0.25">
      <c r="A252" s="19" t="s">
        <v>289</v>
      </c>
      <c r="B252" s="20">
        <f ca="1">INDIRECT(ADDRESS(MATCH(A252,Raw!$A:$A,0),2,1,1,"Raw"))</f>
        <v>0</v>
      </c>
      <c r="C252" s="20">
        <f>INDEX(Raw!$C:$C,MATCH(A252,Raw!$A:$A,0))</f>
        <v>0</v>
      </c>
      <c r="D252" s="21"/>
    </row>
    <row r="253" spans="1:4" ht="11.25" customHeight="1" x14ac:dyDescent="0.25">
      <c r="A253" s="22" t="s">
        <v>290</v>
      </c>
      <c r="B253" s="20">
        <f ca="1">INDIRECT(ADDRESS(MATCH(A253,Raw!$A:$A,0),2,1,1,"Raw"))</f>
        <v>0</v>
      </c>
      <c r="C253" s="20">
        <f>INDEX(Raw!$C:$C,MATCH(A253,Raw!$A:$A,0))</f>
        <v>0</v>
      </c>
      <c r="D253" s="21"/>
    </row>
    <row r="254" spans="1:4" ht="11.25" customHeight="1" x14ac:dyDescent="0.25">
      <c r="A254" s="19" t="s">
        <v>291</v>
      </c>
      <c r="B254" s="20">
        <f ca="1">INDIRECT(ADDRESS(MATCH(A254,Raw!$A:$A,0),2,1,1,"Raw"))</f>
        <v>0</v>
      </c>
      <c r="C254" s="20">
        <f>INDEX(Raw!$C:$C,MATCH(A254,Raw!$A:$A,0))</f>
        <v>0</v>
      </c>
      <c r="D254" s="21"/>
    </row>
    <row r="255" spans="1:4" ht="11.25" customHeight="1" x14ac:dyDescent="0.25">
      <c r="A255" s="22" t="s">
        <v>292</v>
      </c>
      <c r="B255" s="20">
        <f ca="1">INDIRECT(ADDRESS(MATCH(A255,Raw!$A:$A,0),2,1,1,"Raw"))</f>
        <v>0</v>
      </c>
      <c r="C255" s="20">
        <f>INDEX(Raw!$C:$C,MATCH(A255,Raw!$A:$A,0))</f>
        <v>0</v>
      </c>
      <c r="D255" s="21"/>
    </row>
    <row r="256" spans="1:4" ht="11.25" customHeight="1" x14ac:dyDescent="0.25">
      <c r="A256" s="19" t="s">
        <v>293</v>
      </c>
      <c r="B256" s="20">
        <f ca="1">INDIRECT(ADDRESS(MATCH(A256,Raw!$A:$A,0),2,1,1,"Raw"))</f>
        <v>0</v>
      </c>
      <c r="C256" s="20">
        <f>INDEX(Raw!$C:$C,MATCH(A256,Raw!$A:$A,0))</f>
        <v>0</v>
      </c>
      <c r="D256" s="21"/>
    </row>
    <row r="257" spans="1:4" ht="11.25" customHeight="1" x14ac:dyDescent="0.25">
      <c r="A257" s="22" t="s">
        <v>294</v>
      </c>
      <c r="B257" s="20">
        <f ca="1">INDIRECT(ADDRESS(MATCH(A257,Raw!$A:$A,0),2,1,1,"Raw"))</f>
        <v>0</v>
      </c>
      <c r="C257" s="20">
        <f>INDEX(Raw!$C:$C,MATCH(A257,Raw!$A:$A,0))</f>
        <v>0</v>
      </c>
      <c r="D257" s="21"/>
    </row>
    <row r="258" spans="1:4" ht="11.25" customHeight="1" x14ac:dyDescent="0.25">
      <c r="A258" s="19" t="s">
        <v>295</v>
      </c>
      <c r="B258" s="20">
        <f ca="1">INDIRECT(ADDRESS(MATCH(A258,Raw!$A:$A,0),2,1,1,"Raw"))</f>
        <v>0</v>
      </c>
      <c r="C258" s="20">
        <f>INDEX(Raw!$C:$C,MATCH(A258,Raw!$A:$A,0))</f>
        <v>0</v>
      </c>
      <c r="D258" s="21"/>
    </row>
    <row r="259" spans="1:4" ht="11.25" customHeight="1" x14ac:dyDescent="0.25">
      <c r="A259" s="22" t="s">
        <v>296</v>
      </c>
      <c r="B259" s="20">
        <f ca="1">INDIRECT(ADDRESS(MATCH(A259,Raw!$A:$A,0),2,1,1,"Raw"))</f>
        <v>0</v>
      </c>
      <c r="C259" s="20">
        <f>INDEX(Raw!$C:$C,MATCH(A259,Raw!$A:$A,0))</f>
        <v>0</v>
      </c>
      <c r="D259" s="21"/>
    </row>
    <row r="260" spans="1:4" ht="11.25" customHeight="1" x14ac:dyDescent="0.25">
      <c r="A260" s="19" t="s">
        <v>297</v>
      </c>
      <c r="B260" s="20">
        <f ca="1">INDIRECT(ADDRESS(MATCH(A260,Raw!$A:$A,0),2,1,1,"Raw"))</f>
        <v>0</v>
      </c>
      <c r="C260" s="20">
        <f>INDEX(Raw!$C:$C,MATCH(A260,Raw!$A:$A,0))</f>
        <v>0</v>
      </c>
      <c r="D260" s="21"/>
    </row>
    <row r="261" spans="1:4" ht="11.25" customHeight="1" x14ac:dyDescent="0.25">
      <c r="A261" s="22" t="s">
        <v>298</v>
      </c>
      <c r="B261" s="20">
        <f ca="1">INDIRECT(ADDRESS(MATCH(A261,Raw!$A:$A,0),2,1,1,"Raw"))</f>
        <v>0</v>
      </c>
      <c r="C261" s="20">
        <f>INDEX(Raw!$C:$C,MATCH(A261,Raw!$A:$A,0))</f>
        <v>0</v>
      </c>
      <c r="D261" s="21"/>
    </row>
    <row r="262" spans="1:4" ht="11.25" customHeight="1" x14ac:dyDescent="0.25">
      <c r="A262" s="19" t="s">
        <v>299</v>
      </c>
      <c r="B262" s="20">
        <f ca="1">INDIRECT(ADDRESS(MATCH(A262,Raw!$A:$A,0),2,1,1,"Raw"))</f>
        <v>0</v>
      </c>
      <c r="C262" s="20">
        <f>INDEX(Raw!$C:$C,MATCH(A262,Raw!$A:$A,0))</f>
        <v>0</v>
      </c>
      <c r="D262" s="21"/>
    </row>
    <row r="263" spans="1:4" ht="11.25" customHeight="1" x14ac:dyDescent="0.25">
      <c r="A263" s="22" t="s">
        <v>300</v>
      </c>
      <c r="B263" s="20">
        <f ca="1">INDIRECT(ADDRESS(MATCH(A263,Raw!$A:$A,0),2,1,1,"Raw"))</f>
        <v>0</v>
      </c>
      <c r="C263" s="20">
        <f>INDEX(Raw!$C:$C,MATCH(A263,Raw!$A:$A,0))</f>
        <v>0</v>
      </c>
      <c r="D263" s="21"/>
    </row>
    <row r="264" spans="1:4" ht="11.25" customHeight="1" x14ac:dyDescent="0.25">
      <c r="A264" s="19" t="s">
        <v>301</v>
      </c>
      <c r="B264" s="20">
        <f ca="1">INDIRECT(ADDRESS(MATCH(A264,Raw!$A:$A,0),2,1,1,"Raw"))</f>
        <v>0</v>
      </c>
      <c r="C264" s="20">
        <f>INDEX(Raw!$C:$C,MATCH(A264,Raw!$A:$A,0))</f>
        <v>0</v>
      </c>
      <c r="D264" s="21"/>
    </row>
    <row r="265" spans="1:4" ht="11.25" customHeight="1" x14ac:dyDescent="0.25">
      <c r="A265" s="22" t="s">
        <v>302</v>
      </c>
      <c r="B265" s="20">
        <f ca="1">INDIRECT(ADDRESS(MATCH(A265,Raw!$A:$A,0),2,1,1,"Raw"))</f>
        <v>0</v>
      </c>
      <c r="C265" s="20">
        <f>INDEX(Raw!$C:$C,MATCH(A265,Raw!$A:$A,0))</f>
        <v>0</v>
      </c>
      <c r="D265" s="21"/>
    </row>
    <row r="266" spans="1:4" ht="11.25" customHeight="1" x14ac:dyDescent="0.25">
      <c r="A266" s="19" t="s">
        <v>303</v>
      </c>
      <c r="B266" s="20">
        <f ca="1">INDIRECT(ADDRESS(MATCH(A266,Raw!$A:$A,0),2,1,1,"Raw"))</f>
        <v>0</v>
      </c>
      <c r="C266" s="20">
        <f>INDEX(Raw!$C:$C,MATCH(A266,Raw!$A:$A,0))</f>
        <v>0</v>
      </c>
      <c r="D266" s="21"/>
    </row>
    <row r="267" spans="1:4" ht="11.25" customHeight="1" x14ac:dyDescent="0.25">
      <c r="A267" s="22" t="s">
        <v>304</v>
      </c>
      <c r="B267" s="20">
        <f ca="1">INDIRECT(ADDRESS(MATCH(A267,Raw!$A:$A,0),2,1,1,"Raw"))</f>
        <v>0</v>
      </c>
      <c r="C267" s="20">
        <f>INDEX(Raw!$C:$C,MATCH(A267,Raw!$A:$A,0))</f>
        <v>0</v>
      </c>
      <c r="D267" s="21"/>
    </row>
    <row r="268" spans="1:4" ht="11.25" customHeight="1" x14ac:dyDescent="0.25">
      <c r="A268" s="19" t="s">
        <v>305</v>
      </c>
      <c r="B268" s="20">
        <f ca="1">INDIRECT(ADDRESS(MATCH(A268,Raw!$A:$A,0),2,1,1,"Raw"))</f>
        <v>0</v>
      </c>
      <c r="C268" s="20">
        <f>INDEX(Raw!$C:$C,MATCH(A268,Raw!$A:$A,0))</f>
        <v>0</v>
      </c>
      <c r="D268" s="21"/>
    </row>
    <row r="269" spans="1:4" ht="11.25" customHeight="1" x14ac:dyDescent="0.25">
      <c r="A269" s="22" t="s">
        <v>306</v>
      </c>
      <c r="B269" s="20">
        <f ca="1">INDIRECT(ADDRESS(MATCH(A269,Raw!$A:$A,0),2,1,1,"Raw"))</f>
        <v>0</v>
      </c>
      <c r="C269" s="20">
        <f>INDEX(Raw!$C:$C,MATCH(A269,Raw!$A:$A,0))</f>
        <v>0</v>
      </c>
      <c r="D269" s="21"/>
    </row>
    <row r="270" spans="1:4" ht="11.25" customHeight="1" x14ac:dyDescent="0.25">
      <c r="A270" s="19" t="s">
        <v>307</v>
      </c>
      <c r="B270" s="20">
        <f ca="1">INDIRECT(ADDRESS(MATCH(A270,Raw!$A:$A,0),2,1,1,"Raw"))</f>
        <v>0</v>
      </c>
      <c r="C270" s="20">
        <f>INDEX(Raw!$C:$C,MATCH(A270,Raw!$A:$A,0))</f>
        <v>0</v>
      </c>
      <c r="D270" s="21"/>
    </row>
    <row r="271" spans="1:4" ht="11.25" customHeight="1" x14ac:dyDescent="0.25">
      <c r="A271" s="22" t="s">
        <v>308</v>
      </c>
      <c r="B271" s="20">
        <f ca="1">INDIRECT(ADDRESS(MATCH(A271,Raw!$A:$A,0),2,1,1,"Raw"))</f>
        <v>0</v>
      </c>
      <c r="C271" s="20">
        <f>INDEX(Raw!$C:$C,MATCH(A271,Raw!$A:$A,0))</f>
        <v>0</v>
      </c>
      <c r="D271" s="21"/>
    </row>
    <row r="272" spans="1:4" ht="11.25" customHeight="1" x14ac:dyDescent="0.25">
      <c r="A272" s="19" t="s">
        <v>309</v>
      </c>
      <c r="B272" s="20">
        <f ca="1">INDIRECT(ADDRESS(MATCH(A272,Raw!$A:$A,0),2,1,1,"Raw"))</f>
        <v>0</v>
      </c>
      <c r="C272" s="20">
        <f>INDEX(Raw!$C:$C,MATCH(A272,Raw!$A:$A,0))</f>
        <v>0</v>
      </c>
      <c r="D272" s="21"/>
    </row>
    <row r="273" spans="1:4" ht="11.25" customHeight="1" x14ac:dyDescent="0.25">
      <c r="A273" s="22" t="s">
        <v>310</v>
      </c>
      <c r="B273" s="20">
        <f ca="1">INDIRECT(ADDRESS(MATCH(A273,Raw!$A:$A,0),2,1,1,"Raw"))</f>
        <v>0</v>
      </c>
      <c r="C273" s="20">
        <f>INDEX(Raw!$C:$C,MATCH(A273,Raw!$A:$A,0))</f>
        <v>0</v>
      </c>
      <c r="D273" s="21"/>
    </row>
    <row r="274" spans="1:4" ht="11.25" customHeight="1" x14ac:dyDescent="0.25">
      <c r="A274" s="22" t="s">
        <v>311</v>
      </c>
      <c r="B274" s="20">
        <f ca="1">INDIRECT(ADDRESS(MATCH(A274,Raw!$A:$A,0),2,1,1,"Raw"))</f>
        <v>0</v>
      </c>
      <c r="C274" s="20">
        <f>INDEX(Raw!$C:$C,MATCH(A274,Raw!$A:$A,0))</f>
        <v>0</v>
      </c>
      <c r="D274" s="21"/>
    </row>
    <row r="275" spans="1:4" ht="11.25" customHeight="1" x14ac:dyDescent="0.25">
      <c r="A275" s="19" t="s">
        <v>312</v>
      </c>
      <c r="B275" s="20">
        <f ca="1">INDIRECT(ADDRESS(MATCH(A275,Raw!$A:$A,0),2,1,1,"Raw"))</f>
        <v>0</v>
      </c>
      <c r="C275" s="20">
        <f>INDEX(Raw!$C:$C,MATCH(A275,Raw!$A:$A,0))</f>
        <v>0</v>
      </c>
      <c r="D275" s="21"/>
    </row>
    <row r="276" spans="1:4" ht="11.25" customHeight="1" x14ac:dyDescent="0.25">
      <c r="A276" s="22" t="s">
        <v>313</v>
      </c>
      <c r="B276" s="20">
        <f ca="1">INDIRECT(ADDRESS(MATCH(A276,Raw!$A:$A,0),2,1,1,"Raw"))</f>
        <v>0</v>
      </c>
      <c r="C276" s="20">
        <f>INDEX(Raw!$C:$C,MATCH(A276,Raw!$A:$A,0))</f>
        <v>0</v>
      </c>
      <c r="D276" s="21"/>
    </row>
    <row r="277" spans="1:4" ht="11.25" customHeight="1" x14ac:dyDescent="0.25">
      <c r="A277" s="19" t="s">
        <v>314</v>
      </c>
      <c r="B277" s="20">
        <f ca="1">INDIRECT(ADDRESS(MATCH(A277,Raw!$A:$A,0),2,1,1,"Raw"))</f>
        <v>0</v>
      </c>
      <c r="C277" s="20">
        <f>INDEX(Raw!$C:$C,MATCH(A277,Raw!$A:$A,0))</f>
        <v>0</v>
      </c>
      <c r="D277" s="21"/>
    </row>
    <row r="278" spans="1:4" ht="11.25" customHeight="1" x14ac:dyDescent="0.25">
      <c r="A278" s="19" t="s">
        <v>315</v>
      </c>
      <c r="B278" s="20">
        <f ca="1">INDIRECT(ADDRESS(MATCH(A278,Raw!$A:$A,0),2,1,1,"Raw"))</f>
        <v>0</v>
      </c>
      <c r="C278" s="20">
        <f>INDEX(Raw!$C:$C,MATCH(A278,Raw!$A:$A,0))</f>
        <v>0</v>
      </c>
      <c r="D278" s="21"/>
    </row>
    <row r="279" spans="1:4" ht="11.25" customHeight="1" x14ac:dyDescent="0.25">
      <c r="A279" s="22" t="s">
        <v>316</v>
      </c>
      <c r="B279" s="20">
        <f ca="1">INDIRECT(ADDRESS(MATCH(A279,Raw!$A:$A,0),2,1,1,"Raw"))</f>
        <v>0</v>
      </c>
      <c r="C279" s="20">
        <f>INDEX(Raw!$C:$C,MATCH(A279,Raw!$A:$A,0))</f>
        <v>0</v>
      </c>
      <c r="D279" s="21"/>
    </row>
    <row r="280" spans="1:4" ht="11.25" customHeight="1" x14ac:dyDescent="0.25">
      <c r="A280" s="19" t="s">
        <v>317</v>
      </c>
      <c r="B280" s="20">
        <f ca="1">INDIRECT(ADDRESS(MATCH(A280,Raw!$A:$A,0),2,1,1,"Raw"))</f>
        <v>0</v>
      </c>
      <c r="C280" s="20">
        <f>INDEX(Raw!$C:$C,MATCH(A280,Raw!$A:$A,0))</f>
        <v>0</v>
      </c>
      <c r="D280" s="21"/>
    </row>
    <row r="281" spans="1:4" ht="11.25" customHeight="1" x14ac:dyDescent="0.25">
      <c r="A281" s="22" t="s">
        <v>318</v>
      </c>
      <c r="B281" s="20">
        <f ca="1">INDIRECT(ADDRESS(MATCH(A281,Raw!$A:$A,0),2,1,1,"Raw"))</f>
        <v>0</v>
      </c>
      <c r="C281" s="20">
        <f>INDEX(Raw!$C:$C,MATCH(A281,Raw!$A:$A,0))</f>
        <v>0</v>
      </c>
      <c r="D281" s="21"/>
    </row>
    <row r="282" spans="1:4" ht="11.25" customHeight="1" x14ac:dyDescent="0.25">
      <c r="A282" s="22" t="s">
        <v>319</v>
      </c>
      <c r="B282" s="20">
        <f ca="1">INDIRECT(ADDRESS(MATCH(A282,Raw!$A:$A,0),2,1,1,"Raw"))</f>
        <v>0</v>
      </c>
      <c r="C282" s="20">
        <f>INDEX(Raw!$C:$C,MATCH(A282,Raw!$A:$A,0))</f>
        <v>0</v>
      </c>
      <c r="D282" s="21"/>
    </row>
    <row r="283" spans="1:4" ht="11.25" customHeight="1" x14ac:dyDescent="0.25">
      <c r="A283" s="19" t="s">
        <v>320</v>
      </c>
      <c r="B283" s="20">
        <f ca="1">INDIRECT(ADDRESS(MATCH(A283,Raw!$A:$A,0),2,1,1,"Raw"))</f>
        <v>0</v>
      </c>
      <c r="C283" s="20">
        <f>INDEX(Raw!$C:$C,MATCH(A283,Raw!$A:$A,0))</f>
        <v>0</v>
      </c>
      <c r="D283" s="21"/>
    </row>
    <row r="284" spans="1:4" ht="11.25" customHeight="1" x14ac:dyDescent="0.25">
      <c r="A284" s="22" t="s">
        <v>321</v>
      </c>
      <c r="B284" s="20">
        <f ca="1">INDIRECT(ADDRESS(MATCH(A284,Raw!$A:$A,0),2,1,1,"Raw"))</f>
        <v>0</v>
      </c>
      <c r="C284" s="20">
        <f>INDEX(Raw!$C:$C,MATCH(A284,Raw!$A:$A,0))</f>
        <v>0</v>
      </c>
      <c r="D284" s="21"/>
    </row>
    <row r="285" spans="1:4" ht="11.25" customHeight="1" x14ac:dyDescent="0.25">
      <c r="A285" s="22" t="s">
        <v>322</v>
      </c>
      <c r="B285" s="20">
        <f ca="1">INDIRECT(ADDRESS(MATCH(A285,Raw!$A:$A,0),2,1,1,"Raw"))</f>
        <v>0</v>
      </c>
      <c r="C285" s="20">
        <f>INDEX(Raw!$C:$C,MATCH(A285,Raw!$A:$A,0))</f>
        <v>0</v>
      </c>
      <c r="D285" s="21"/>
    </row>
    <row r="286" spans="1:4" ht="11.25" customHeight="1" x14ac:dyDescent="0.25">
      <c r="A286" s="19" t="s">
        <v>323</v>
      </c>
      <c r="B286" s="20">
        <f ca="1">INDIRECT(ADDRESS(MATCH(A286,Raw!$A:$A,0),2,1,1,"Raw"))</f>
        <v>0</v>
      </c>
      <c r="C286" s="20">
        <f>INDEX(Raw!$C:$C,MATCH(A286,Raw!$A:$A,0))</f>
        <v>0</v>
      </c>
      <c r="D286" s="21"/>
    </row>
    <row r="287" spans="1:4" ht="11.25" customHeight="1" x14ac:dyDescent="0.25">
      <c r="A287" s="22" t="s">
        <v>324</v>
      </c>
      <c r="B287" s="20">
        <f ca="1">INDIRECT(ADDRESS(MATCH(A287,Raw!$A:$A,0),2,1,1,"Raw"))</f>
        <v>0</v>
      </c>
      <c r="C287" s="20">
        <f>INDEX(Raw!$C:$C,MATCH(A287,Raw!$A:$A,0))</f>
        <v>0</v>
      </c>
      <c r="D287" s="21"/>
    </row>
    <row r="288" spans="1:4" ht="11.25" customHeight="1" x14ac:dyDescent="0.25">
      <c r="A288" s="19" t="s">
        <v>325</v>
      </c>
      <c r="B288" s="20">
        <f ca="1">INDIRECT(ADDRESS(MATCH(A288,Raw!$A:$A,0),2,1,1,"Raw"))</f>
        <v>0</v>
      </c>
      <c r="C288" s="20">
        <f>INDEX(Raw!$C:$C,MATCH(A288,Raw!$A:$A,0))</f>
        <v>0</v>
      </c>
      <c r="D288" s="21"/>
    </row>
    <row r="289" spans="1:4" ht="11.25" customHeight="1" x14ac:dyDescent="0.25">
      <c r="A289" s="22" t="s">
        <v>326</v>
      </c>
      <c r="B289" s="20">
        <f ca="1">INDIRECT(ADDRESS(MATCH(A289,Raw!$A:$A,0),2,1,1,"Raw"))</f>
        <v>0</v>
      </c>
      <c r="C289" s="20">
        <f>INDEX(Raw!$C:$C,MATCH(A289,Raw!$A:$A,0))</f>
        <v>0</v>
      </c>
      <c r="D289" s="21"/>
    </row>
    <row r="290" spans="1:4" ht="11.25" customHeight="1" x14ac:dyDescent="0.25">
      <c r="A290" s="19" t="s">
        <v>327</v>
      </c>
      <c r="B290" s="20">
        <f ca="1">INDIRECT(ADDRESS(MATCH(A290,Raw!$A:$A,0),2,1,1,"Raw"))</f>
        <v>0</v>
      </c>
      <c r="C290" s="20">
        <f>INDEX(Raw!$C:$C,MATCH(A290,Raw!$A:$A,0))</f>
        <v>0</v>
      </c>
      <c r="D290" s="21"/>
    </row>
    <row r="291" spans="1:4" ht="11.25" customHeight="1" x14ac:dyDescent="0.25">
      <c r="A291" s="22" t="s">
        <v>328</v>
      </c>
      <c r="B291" s="20">
        <f ca="1">INDIRECT(ADDRESS(MATCH(A291,Raw!$A:$A,0),2,1,1,"Raw"))</f>
        <v>0</v>
      </c>
      <c r="C291" s="20">
        <f>INDEX(Raw!$C:$C,MATCH(A291,Raw!$A:$A,0))</f>
        <v>0</v>
      </c>
      <c r="D291" s="21"/>
    </row>
    <row r="292" spans="1:4" ht="11.25" customHeight="1" x14ac:dyDescent="0.25">
      <c r="A292" s="19" t="s">
        <v>329</v>
      </c>
      <c r="B292" s="20">
        <f ca="1">INDIRECT(ADDRESS(MATCH(A292,Raw!$A:$A,0),2,1,1,"Raw"))</f>
        <v>0</v>
      </c>
      <c r="C292" s="20">
        <f>INDEX(Raw!$C:$C,MATCH(A292,Raw!$A:$A,0))</f>
        <v>0</v>
      </c>
      <c r="D292" s="21"/>
    </row>
    <row r="293" spans="1:4" ht="11.25" customHeight="1" x14ac:dyDescent="0.25">
      <c r="A293" s="22" t="s">
        <v>330</v>
      </c>
      <c r="B293" s="20">
        <f ca="1">INDIRECT(ADDRESS(MATCH(A293,Raw!$A:$A,0),2,1,1,"Raw"))</f>
        <v>0</v>
      </c>
      <c r="C293" s="20">
        <f>INDEX(Raw!$C:$C,MATCH(A293,Raw!$A:$A,0))</f>
        <v>0</v>
      </c>
      <c r="D293" s="21"/>
    </row>
    <row r="294" spans="1:4" ht="11.25" customHeight="1" x14ac:dyDescent="0.25">
      <c r="A294" s="19" t="s">
        <v>331</v>
      </c>
      <c r="B294" s="20">
        <f ca="1">INDIRECT(ADDRESS(MATCH(A294,Raw!$A:$A,0),2,1,1,"Raw"))</f>
        <v>0</v>
      </c>
      <c r="C294" s="20">
        <f>INDEX(Raw!$C:$C,MATCH(A294,Raw!$A:$A,0))</f>
        <v>0</v>
      </c>
      <c r="D294" s="21"/>
    </row>
    <row r="295" spans="1:4" ht="11.25" customHeight="1" x14ac:dyDescent="0.25">
      <c r="A295" s="22" t="s">
        <v>332</v>
      </c>
      <c r="B295" s="20">
        <f ca="1">INDIRECT(ADDRESS(MATCH(A295,Raw!$A:$A,0),2,1,1,"Raw"))</f>
        <v>0</v>
      </c>
      <c r="C295" s="20">
        <f>INDEX(Raw!$C:$C,MATCH(A295,Raw!$A:$A,0))</f>
        <v>0</v>
      </c>
      <c r="D295" s="21"/>
    </row>
    <row r="296" spans="1:4" ht="11.25" customHeight="1" x14ac:dyDescent="0.25">
      <c r="A296" s="19" t="s">
        <v>333</v>
      </c>
      <c r="B296" s="20">
        <f ca="1">INDIRECT(ADDRESS(MATCH(A296,Raw!$A:$A,0),2,1,1,"Raw"))</f>
        <v>0</v>
      </c>
      <c r="C296" s="20">
        <f>INDEX(Raw!$C:$C,MATCH(A296,Raw!$A:$A,0))</f>
        <v>0</v>
      </c>
      <c r="D296" s="21"/>
    </row>
    <row r="297" spans="1:4" ht="11.25" customHeight="1" x14ac:dyDescent="0.25">
      <c r="A297" s="22" t="s">
        <v>334</v>
      </c>
      <c r="B297" s="20">
        <f ca="1">INDIRECT(ADDRESS(MATCH(A297,Raw!$A:$A,0),2,1,1,"Raw"))</f>
        <v>0</v>
      </c>
      <c r="C297" s="20">
        <f>INDEX(Raw!$C:$C,MATCH(A297,Raw!$A:$A,0))</f>
        <v>0</v>
      </c>
      <c r="D297" s="21"/>
    </row>
    <row r="298" spans="1:4" ht="11.25" customHeight="1" x14ac:dyDescent="0.25">
      <c r="A298" s="19" t="s">
        <v>335</v>
      </c>
      <c r="B298" s="20">
        <f ca="1">INDIRECT(ADDRESS(MATCH(A298,Raw!$A:$A,0),2,1,1,"Raw"))</f>
        <v>0</v>
      </c>
      <c r="C298" s="20">
        <f>INDEX(Raw!$C:$C,MATCH(A298,Raw!$A:$A,0))</f>
        <v>0</v>
      </c>
      <c r="D298" s="21"/>
    </row>
    <row r="299" spans="1:4" ht="11.25" customHeight="1" x14ac:dyDescent="0.25">
      <c r="A299" s="22" t="s">
        <v>336</v>
      </c>
      <c r="B299" s="20">
        <f ca="1">INDIRECT(ADDRESS(MATCH(A299,Raw!$A:$A,0),2,1,1,"Raw"))</f>
        <v>0</v>
      </c>
      <c r="C299" s="20">
        <f>INDEX(Raw!$C:$C,MATCH(A299,Raw!$A:$A,0))</f>
        <v>0</v>
      </c>
      <c r="D299" s="21"/>
    </row>
    <row r="300" spans="1:4" ht="11.25" customHeight="1" x14ac:dyDescent="0.25">
      <c r="A300" s="19" t="s">
        <v>337</v>
      </c>
      <c r="B300" s="20">
        <f ca="1">INDIRECT(ADDRESS(MATCH(A300,Raw!$A:$A,0),2,1,1,"Raw"))</f>
        <v>0</v>
      </c>
      <c r="C300" s="20">
        <f>INDEX(Raw!$C:$C,MATCH(A300,Raw!$A:$A,0))</f>
        <v>0</v>
      </c>
      <c r="D300" s="21"/>
    </row>
    <row r="301" spans="1:4" ht="11.25" customHeight="1" x14ac:dyDescent="0.25">
      <c r="A301" s="22" t="s">
        <v>338</v>
      </c>
      <c r="B301" s="20">
        <f ca="1">INDIRECT(ADDRESS(MATCH(A301,Raw!$A:$A,0),2,1,1,"Raw"))</f>
        <v>0</v>
      </c>
      <c r="C301" s="20">
        <f>INDEX(Raw!$C:$C,MATCH(A301,Raw!$A:$A,0))</f>
        <v>0</v>
      </c>
      <c r="D301" s="21"/>
    </row>
    <row r="302" spans="1:4" ht="11.25" customHeight="1" x14ac:dyDescent="0.25">
      <c r="A302" s="19" t="s">
        <v>339</v>
      </c>
      <c r="B302" s="20">
        <f ca="1">INDIRECT(ADDRESS(MATCH(A302,Raw!$A:$A,0),2,1,1,"Raw"))</f>
        <v>0</v>
      </c>
      <c r="C302" s="20">
        <f>INDEX(Raw!$C:$C,MATCH(A302,Raw!$A:$A,0))</f>
        <v>0</v>
      </c>
      <c r="D302" s="21"/>
    </row>
    <row r="303" spans="1:4" ht="11.25" customHeight="1" x14ac:dyDescent="0.25">
      <c r="A303" s="22" t="s">
        <v>340</v>
      </c>
      <c r="B303" s="20">
        <f ca="1">INDIRECT(ADDRESS(MATCH(A303,Raw!$A:$A,0),2,1,1,"Raw"))</f>
        <v>0</v>
      </c>
      <c r="C303" s="20">
        <f>INDEX(Raw!$C:$C,MATCH(A303,Raw!$A:$A,0))</f>
        <v>0</v>
      </c>
      <c r="D303" s="21"/>
    </row>
    <row r="304" spans="1:4" ht="11.25" customHeight="1" x14ac:dyDescent="0.25">
      <c r="A304" s="19" t="s">
        <v>341</v>
      </c>
      <c r="B304" s="20">
        <f ca="1">INDIRECT(ADDRESS(MATCH(A304,Raw!$A:$A,0),2,1,1,"Raw"))</f>
        <v>0</v>
      </c>
      <c r="C304" s="20">
        <f>INDEX(Raw!$C:$C,MATCH(A304,Raw!$A:$A,0))</f>
        <v>0</v>
      </c>
      <c r="D304" s="21"/>
    </row>
    <row r="305" spans="1:4" ht="11.25" customHeight="1" x14ac:dyDescent="0.25">
      <c r="A305" s="22" t="s">
        <v>342</v>
      </c>
      <c r="B305" s="20">
        <f ca="1">INDIRECT(ADDRESS(MATCH(A305,Raw!$A:$A,0),2,1,1,"Raw"))</f>
        <v>0</v>
      </c>
      <c r="C305" s="20">
        <f>INDEX(Raw!$C:$C,MATCH(A305,Raw!$A:$A,0))</f>
        <v>0</v>
      </c>
      <c r="D305" s="21"/>
    </row>
    <row r="306" spans="1:4" ht="11.25" customHeight="1" x14ac:dyDescent="0.25">
      <c r="A306" s="19" t="s">
        <v>343</v>
      </c>
      <c r="B306" s="20">
        <f ca="1">INDIRECT(ADDRESS(MATCH(A306,Raw!$A:$A,0),2,1,1,"Raw"))</f>
        <v>0</v>
      </c>
      <c r="C306" s="20">
        <f>INDEX(Raw!$C:$C,MATCH(A306,Raw!$A:$A,0))</f>
        <v>0</v>
      </c>
      <c r="D306" s="21"/>
    </row>
    <row r="307" spans="1:4" ht="11.25" customHeight="1" x14ac:dyDescent="0.25">
      <c r="A307" s="22" t="s">
        <v>344</v>
      </c>
      <c r="B307" s="20">
        <f ca="1">INDIRECT(ADDRESS(MATCH(A307,Raw!$A:$A,0),2,1,1,"Raw"))</f>
        <v>0</v>
      </c>
      <c r="C307" s="20">
        <f>INDEX(Raw!$C:$C,MATCH(A307,Raw!$A:$A,0))</f>
        <v>0</v>
      </c>
      <c r="D307" s="21"/>
    </row>
    <row r="308" spans="1:4" ht="11.25" customHeight="1" x14ac:dyDescent="0.25">
      <c r="A308" s="19" t="s">
        <v>345</v>
      </c>
      <c r="B308" s="20">
        <f ca="1">INDIRECT(ADDRESS(MATCH(A308,Raw!$A:$A,0),2,1,1,"Raw"))</f>
        <v>0</v>
      </c>
      <c r="C308" s="20">
        <f>INDEX(Raw!$C:$C,MATCH(A308,Raw!$A:$A,0))</f>
        <v>0</v>
      </c>
      <c r="D308" s="21"/>
    </row>
    <row r="309" spans="1:4" ht="11.25" customHeight="1" x14ac:dyDescent="0.25">
      <c r="A309" s="19" t="s">
        <v>346</v>
      </c>
      <c r="B309" s="20">
        <f ca="1">INDIRECT(ADDRESS(MATCH(A309,Raw!$A:$A,0),2,1,1,"Raw"))</f>
        <v>0</v>
      </c>
      <c r="C309" s="20">
        <f>INDEX(Raw!$C:$C,MATCH(A309,Raw!$A:$A,0))</f>
        <v>0</v>
      </c>
      <c r="D309" s="21"/>
    </row>
    <row r="310" spans="1:4" ht="11.25" customHeight="1" x14ac:dyDescent="0.25">
      <c r="A310" s="22" t="s">
        <v>347</v>
      </c>
      <c r="B310" s="20">
        <f ca="1">INDIRECT(ADDRESS(MATCH(A310,Raw!$A:$A,0),2,1,1,"Raw"))</f>
        <v>0</v>
      </c>
      <c r="C310" s="20">
        <f>INDEX(Raw!$C:$C,MATCH(A310,Raw!$A:$A,0))</f>
        <v>0</v>
      </c>
      <c r="D310" s="21"/>
    </row>
    <row r="311" spans="1:4" ht="11.25" customHeight="1" x14ac:dyDescent="0.25">
      <c r="A311" s="19" t="s">
        <v>348</v>
      </c>
      <c r="B311" s="20">
        <f ca="1">INDIRECT(ADDRESS(MATCH(A311,Raw!$A:$A,0),2,1,1,"Raw"))</f>
        <v>0</v>
      </c>
      <c r="C311" s="20">
        <f>INDEX(Raw!$C:$C,MATCH(A311,Raw!$A:$A,0))</f>
        <v>0</v>
      </c>
      <c r="D311" s="21"/>
    </row>
    <row r="312" spans="1:4" ht="11.25" customHeight="1" x14ac:dyDescent="0.25">
      <c r="A312" s="22" t="s">
        <v>349</v>
      </c>
      <c r="B312" s="20">
        <f ca="1">INDIRECT(ADDRESS(MATCH(A312,Raw!$A:$A,0),2,1,1,"Raw"))</f>
        <v>0</v>
      </c>
      <c r="C312" s="20">
        <f>INDEX(Raw!$C:$C,MATCH(A312,Raw!$A:$A,0))</f>
        <v>0</v>
      </c>
      <c r="D312" s="21"/>
    </row>
    <row r="313" spans="1:4" ht="11.25" customHeight="1" x14ac:dyDescent="0.25">
      <c r="A313" s="19" t="s">
        <v>350</v>
      </c>
      <c r="B313" s="20">
        <f ca="1">INDIRECT(ADDRESS(MATCH(A313,Raw!$A:$A,0),2,1,1,"Raw"))</f>
        <v>0</v>
      </c>
      <c r="C313" s="20">
        <f>INDEX(Raw!$C:$C,MATCH(A313,Raw!$A:$A,0))</f>
        <v>0</v>
      </c>
      <c r="D313" s="21"/>
    </row>
    <row r="314" spans="1:4" ht="11.25" customHeight="1" x14ac:dyDescent="0.25">
      <c r="A314" s="22" t="s">
        <v>351</v>
      </c>
      <c r="B314" s="20">
        <f ca="1">INDIRECT(ADDRESS(MATCH(A314,Raw!$A:$A,0),2,1,1,"Raw"))</f>
        <v>0</v>
      </c>
      <c r="C314" s="20">
        <f>INDEX(Raw!$C:$C,MATCH(A314,Raw!$A:$A,0))</f>
        <v>0</v>
      </c>
      <c r="D314" s="21"/>
    </row>
    <row r="315" spans="1:4" ht="11.25" customHeight="1" x14ac:dyDescent="0.25">
      <c r="A315" s="19" t="s">
        <v>352</v>
      </c>
      <c r="B315" s="20">
        <f ca="1">INDIRECT(ADDRESS(MATCH(A315,Raw!$A:$A,0),2,1,1,"Raw"))</f>
        <v>0</v>
      </c>
      <c r="C315" s="20">
        <f>INDEX(Raw!$C:$C,MATCH(A315,Raw!$A:$A,0))</f>
        <v>0</v>
      </c>
      <c r="D315" s="21"/>
    </row>
    <row r="316" spans="1:4" ht="11.25" customHeight="1" x14ac:dyDescent="0.25">
      <c r="A316" s="22" t="s">
        <v>353</v>
      </c>
      <c r="B316" s="20">
        <f ca="1">INDIRECT(ADDRESS(MATCH(A316,Raw!$A:$A,0),2,1,1,"Raw"))</f>
        <v>0</v>
      </c>
      <c r="C316" s="20">
        <f>INDEX(Raw!$C:$C,MATCH(A316,Raw!$A:$A,0))</f>
        <v>0</v>
      </c>
      <c r="D316" s="21"/>
    </row>
    <row r="317" spans="1:4" ht="11.25" customHeight="1" x14ac:dyDescent="0.25">
      <c r="A317" s="19" t="s">
        <v>354</v>
      </c>
      <c r="B317" s="20">
        <f ca="1">INDIRECT(ADDRESS(MATCH(A317,Raw!$A:$A,0),2,1,1,"Raw"))</f>
        <v>0</v>
      </c>
      <c r="C317" s="20">
        <f>INDEX(Raw!$C:$C,MATCH(A317,Raw!$A:$A,0))</f>
        <v>0</v>
      </c>
      <c r="D317" s="21"/>
    </row>
    <row r="318" spans="1:4" ht="11.25" customHeight="1" x14ac:dyDescent="0.25">
      <c r="A318" s="22" t="s">
        <v>355</v>
      </c>
      <c r="B318" s="20">
        <f ca="1">INDIRECT(ADDRESS(MATCH(A318,Raw!$A:$A,0),2,1,1,"Raw"))</f>
        <v>0</v>
      </c>
      <c r="C318" s="20">
        <f>INDEX(Raw!$C:$C,MATCH(A318,Raw!$A:$A,0))</f>
        <v>0</v>
      </c>
      <c r="D318" s="21"/>
    </row>
    <row r="319" spans="1:4" ht="11.25" customHeight="1" x14ac:dyDescent="0.25">
      <c r="A319" s="19" t="s">
        <v>356</v>
      </c>
      <c r="B319" s="20">
        <f ca="1">INDIRECT(ADDRESS(MATCH(A319,Raw!$A:$A,0),2,1,1,"Raw"))</f>
        <v>0</v>
      </c>
      <c r="C319" s="20">
        <f>INDEX(Raw!$C:$C,MATCH(A319,Raw!$A:$A,0))</f>
        <v>0</v>
      </c>
      <c r="D319" s="21"/>
    </row>
    <row r="320" spans="1:4" ht="11.25" customHeight="1" x14ac:dyDescent="0.25">
      <c r="A320" s="22" t="s">
        <v>357</v>
      </c>
      <c r="B320" s="20">
        <f ca="1">INDIRECT(ADDRESS(MATCH(A320,Raw!$A:$A,0),2,1,1,"Raw"))</f>
        <v>0</v>
      </c>
      <c r="C320" s="20">
        <f>INDEX(Raw!$C:$C,MATCH(A320,Raw!$A:$A,0))</f>
        <v>0</v>
      </c>
      <c r="D320" s="21"/>
    </row>
    <row r="321" spans="1:4" ht="11.25" customHeight="1" x14ac:dyDescent="0.25">
      <c r="A321" s="22" t="s">
        <v>358</v>
      </c>
      <c r="B321" s="20">
        <f ca="1">INDIRECT(ADDRESS(MATCH(A321,Raw!$A:$A,0),2,1,1,"Raw"))</f>
        <v>0</v>
      </c>
      <c r="C321" s="20">
        <f>INDEX(Raw!$C:$C,MATCH(A321,Raw!$A:$A,0))</f>
        <v>0</v>
      </c>
      <c r="D321" s="21"/>
    </row>
    <row r="322" spans="1:4" ht="11.25" customHeight="1" x14ac:dyDescent="0.25">
      <c r="A322" s="19" t="s">
        <v>359</v>
      </c>
      <c r="B322" s="20">
        <f ca="1">INDIRECT(ADDRESS(MATCH(A322,Raw!$A:$A,0),2,1,1,"Raw"))</f>
        <v>0</v>
      </c>
      <c r="C322" s="20">
        <f>INDEX(Raw!$C:$C,MATCH(A322,Raw!$A:$A,0))</f>
        <v>0</v>
      </c>
      <c r="D322" s="21"/>
    </row>
    <row r="323" spans="1:4" ht="11.25" customHeight="1" x14ac:dyDescent="0.25">
      <c r="A323" s="22" t="s">
        <v>360</v>
      </c>
      <c r="B323" s="20">
        <f ca="1">INDIRECT(ADDRESS(MATCH(A323,Raw!$A:$A,0),2,1,1,"Raw"))</f>
        <v>0</v>
      </c>
      <c r="C323" s="20">
        <f>INDEX(Raw!$C:$C,MATCH(A323,Raw!$A:$A,0))</f>
        <v>0</v>
      </c>
      <c r="D323" s="21"/>
    </row>
    <row r="324" spans="1:4" ht="11.25" customHeight="1" x14ac:dyDescent="0.25">
      <c r="A324" s="19" t="s">
        <v>361</v>
      </c>
      <c r="B324" s="20">
        <f ca="1">INDIRECT(ADDRESS(MATCH(A324,Raw!$A:$A,0),2,1,1,"Raw"))</f>
        <v>0</v>
      </c>
      <c r="C324" s="20">
        <f>INDEX(Raw!$C:$C,MATCH(A324,Raw!$A:$A,0))</f>
        <v>0</v>
      </c>
      <c r="D324" s="21"/>
    </row>
    <row r="325" spans="1:4" ht="11.25" customHeight="1" x14ac:dyDescent="0.25">
      <c r="A325" s="22" t="s">
        <v>362</v>
      </c>
      <c r="B325" s="20">
        <f ca="1">INDIRECT(ADDRESS(MATCH(A325,Raw!$A:$A,0),2,1,1,"Raw"))</f>
        <v>0</v>
      </c>
      <c r="C325" s="20">
        <f>INDEX(Raw!$C:$C,MATCH(A325,Raw!$A:$A,0))</f>
        <v>0</v>
      </c>
      <c r="D325" s="21"/>
    </row>
    <row r="326" spans="1:4" ht="11.25" customHeight="1" x14ac:dyDescent="0.25">
      <c r="A326" s="19" t="s">
        <v>363</v>
      </c>
      <c r="B326" s="20">
        <f ca="1">INDIRECT(ADDRESS(MATCH(A326,Raw!$A:$A,0),2,1,1,"Raw"))</f>
        <v>0</v>
      </c>
      <c r="C326" s="20">
        <f>INDEX(Raw!$C:$C,MATCH(A326,Raw!$A:$A,0))</f>
        <v>0</v>
      </c>
      <c r="D326" s="21"/>
    </row>
    <row r="327" spans="1:4" ht="11.25" customHeight="1" x14ac:dyDescent="0.25">
      <c r="A327" s="22" t="s">
        <v>364</v>
      </c>
      <c r="B327" s="20">
        <f ca="1">INDIRECT(ADDRESS(MATCH(A327,Raw!$A:$A,0),2,1,1,"Raw"))</f>
        <v>0</v>
      </c>
      <c r="C327" s="20">
        <f>INDEX(Raw!$C:$C,MATCH(A327,Raw!$A:$A,0))</f>
        <v>0</v>
      </c>
      <c r="D327" s="21"/>
    </row>
    <row r="328" spans="1:4" ht="11.25" customHeight="1" x14ac:dyDescent="0.25">
      <c r="A328" s="19" t="s">
        <v>365</v>
      </c>
      <c r="B328" s="20">
        <f ca="1">INDIRECT(ADDRESS(MATCH(A328,Raw!$A:$A,0),2,1,1,"Raw"))</f>
        <v>0</v>
      </c>
      <c r="C328" s="20">
        <f>INDEX(Raw!$C:$C,MATCH(A328,Raw!$A:$A,0))</f>
        <v>0</v>
      </c>
      <c r="D328" s="21"/>
    </row>
    <row r="329" spans="1:4" ht="11.25" customHeight="1" x14ac:dyDescent="0.25">
      <c r="A329" s="22" t="s">
        <v>366</v>
      </c>
      <c r="B329" s="20">
        <f ca="1">INDIRECT(ADDRESS(MATCH(A329,Raw!$A:$A,0),2,1,1,"Raw"))</f>
        <v>0</v>
      </c>
      <c r="C329" s="20">
        <f>INDEX(Raw!$C:$C,MATCH(A329,Raw!$A:$A,0))</f>
        <v>0</v>
      </c>
      <c r="D329" s="21"/>
    </row>
    <row r="330" spans="1:4" ht="11.25" customHeight="1" x14ac:dyDescent="0.25">
      <c r="A330" s="19" t="s">
        <v>367</v>
      </c>
      <c r="B330" s="20">
        <f ca="1">INDIRECT(ADDRESS(MATCH(A330,Raw!$A:$A,0),2,1,1,"Raw"))</f>
        <v>0</v>
      </c>
      <c r="C330" s="20">
        <f>INDEX(Raw!$C:$C,MATCH(A330,Raw!$A:$A,0))</f>
        <v>0</v>
      </c>
      <c r="D330" s="21"/>
    </row>
    <row r="331" spans="1:4" ht="11.25" customHeight="1" x14ac:dyDescent="0.25">
      <c r="A331" s="19" t="s">
        <v>368</v>
      </c>
      <c r="B331" s="20">
        <f ca="1">INDIRECT(ADDRESS(MATCH(A331,Raw!$A:$A,0),2,1,1,"Raw"))</f>
        <v>0</v>
      </c>
      <c r="C331" s="20">
        <f>INDEX(Raw!$C:$C,MATCH(A331,Raw!$A:$A,0))</f>
        <v>0</v>
      </c>
      <c r="D331" s="21"/>
    </row>
    <row r="332" spans="1:4" ht="11.25" customHeight="1" x14ac:dyDescent="0.25">
      <c r="A332" s="19" t="s">
        <v>369</v>
      </c>
      <c r="B332" s="20">
        <f ca="1">INDIRECT(ADDRESS(MATCH(A332,Raw!$A:$A,0),2,1,1,"Raw"))</f>
        <v>0</v>
      </c>
      <c r="C332" s="20">
        <f>INDEX(Raw!$C:$C,MATCH(A332,Raw!$A:$A,0))</f>
        <v>0</v>
      </c>
      <c r="D332" s="21"/>
    </row>
    <row r="333" spans="1:4" ht="11.25" customHeight="1" x14ac:dyDescent="0.25">
      <c r="A333" s="22" t="s">
        <v>370</v>
      </c>
      <c r="B333" s="20">
        <f ca="1">INDIRECT(ADDRESS(MATCH(A333,Raw!$A:$A,0),2,1,1,"Raw"))</f>
        <v>0</v>
      </c>
      <c r="C333" s="20">
        <f>INDEX(Raw!$C:$C,MATCH(A333,Raw!$A:$A,0))</f>
        <v>0</v>
      </c>
      <c r="D333" s="21"/>
    </row>
    <row r="334" spans="1:4" ht="11.25" customHeight="1" x14ac:dyDescent="0.25">
      <c r="A334" s="19" t="s">
        <v>371</v>
      </c>
      <c r="B334" s="20">
        <f ca="1">INDIRECT(ADDRESS(MATCH(A334,Raw!$A:$A,0),2,1,1,"Raw"))</f>
        <v>0</v>
      </c>
      <c r="C334" s="20">
        <f>INDEX(Raw!$C:$C,MATCH(A334,Raw!$A:$A,0))</f>
        <v>0</v>
      </c>
      <c r="D334" s="21"/>
    </row>
    <row r="335" spans="1:4" ht="11.25" customHeight="1" x14ac:dyDescent="0.25">
      <c r="A335" s="22" t="s">
        <v>372</v>
      </c>
      <c r="B335" s="20">
        <f ca="1">INDIRECT(ADDRESS(MATCH(A335,Raw!$A:$A,0),2,1,1,"Raw"))</f>
        <v>0</v>
      </c>
      <c r="C335" s="20">
        <f>INDEX(Raw!$C:$C,MATCH(A335,Raw!$A:$A,0))</f>
        <v>0</v>
      </c>
      <c r="D335" s="21"/>
    </row>
    <row r="336" spans="1:4" ht="11.25" customHeight="1" x14ac:dyDescent="0.25">
      <c r="A336" s="19" t="s">
        <v>373</v>
      </c>
      <c r="B336" s="20">
        <f ca="1">INDIRECT(ADDRESS(MATCH(A336,Raw!$A:$A,0),2,1,1,"Raw"))</f>
        <v>0</v>
      </c>
      <c r="C336" s="20">
        <f>INDEX(Raw!$C:$C,MATCH(A336,Raw!$A:$A,0))</f>
        <v>0</v>
      </c>
      <c r="D336" s="21"/>
    </row>
    <row r="337" spans="1:4" ht="11.25" customHeight="1" x14ac:dyDescent="0.25">
      <c r="A337" s="22" t="s">
        <v>374</v>
      </c>
      <c r="B337" s="20">
        <f ca="1">INDIRECT(ADDRESS(MATCH(A337,Raw!$A:$A,0),2,1,1,"Raw"))</f>
        <v>0</v>
      </c>
      <c r="C337" s="20">
        <f>INDEX(Raw!$C:$C,MATCH(A337,Raw!$A:$A,0))</f>
        <v>0</v>
      </c>
      <c r="D337" s="21"/>
    </row>
    <row r="338" spans="1:4" ht="11.25" customHeight="1" x14ac:dyDescent="0.25">
      <c r="A338" s="19" t="s">
        <v>375</v>
      </c>
      <c r="B338" s="20">
        <f ca="1">INDIRECT(ADDRESS(MATCH(A338,Raw!$A:$A,0),2,1,1,"Raw"))</f>
        <v>0</v>
      </c>
      <c r="C338" s="20">
        <f>INDEX(Raw!$C:$C,MATCH(A338,Raw!$A:$A,0))</f>
        <v>0</v>
      </c>
      <c r="D338" s="21"/>
    </row>
    <row r="339" spans="1:4" ht="11.25" customHeight="1" x14ac:dyDescent="0.25">
      <c r="A339" s="22" t="s">
        <v>376</v>
      </c>
      <c r="B339" s="20">
        <f ca="1">INDIRECT(ADDRESS(MATCH(A339,Raw!$A:$A,0),2,1,1,"Raw"))</f>
        <v>0</v>
      </c>
      <c r="C339" s="20">
        <f>INDEX(Raw!$C:$C,MATCH(A339,Raw!$A:$A,0))</f>
        <v>0</v>
      </c>
      <c r="D339" s="21"/>
    </row>
    <row r="340" spans="1:4" ht="11.25" customHeight="1" x14ac:dyDescent="0.25">
      <c r="A340" s="22" t="s">
        <v>377</v>
      </c>
      <c r="B340" s="20">
        <f ca="1">INDIRECT(ADDRESS(MATCH(A340,Raw!$A:$A,0),2,1,1,"Raw"))</f>
        <v>0</v>
      </c>
      <c r="C340" s="20">
        <f>INDEX(Raw!$C:$C,MATCH(A340,Raw!$A:$A,0))</f>
        <v>0</v>
      </c>
      <c r="D340" s="21"/>
    </row>
    <row r="341" spans="1:4" ht="11.25" customHeight="1" x14ac:dyDescent="0.25">
      <c r="A341" s="19" t="s">
        <v>378</v>
      </c>
      <c r="B341" s="20">
        <f ca="1">INDIRECT(ADDRESS(MATCH(A341,Raw!$A:$A,0),2,1,1,"Raw"))</f>
        <v>0</v>
      </c>
      <c r="C341" s="20">
        <f>INDEX(Raw!$C:$C,MATCH(A341,Raw!$A:$A,0))</f>
        <v>0</v>
      </c>
      <c r="D341" s="21"/>
    </row>
    <row r="342" spans="1:4" ht="11.25" customHeight="1" x14ac:dyDescent="0.25">
      <c r="A342" s="22" t="s">
        <v>379</v>
      </c>
      <c r="B342" s="20">
        <f ca="1">INDIRECT(ADDRESS(MATCH(A342,Raw!$A:$A,0),2,1,1,"Raw"))</f>
        <v>0</v>
      </c>
      <c r="C342" s="20">
        <f>INDEX(Raw!$C:$C,MATCH(A342,Raw!$A:$A,0))</f>
        <v>0</v>
      </c>
      <c r="D342" s="21"/>
    </row>
    <row r="343" spans="1:4" ht="11.25" customHeight="1" x14ac:dyDescent="0.25">
      <c r="A343" s="19" t="s">
        <v>380</v>
      </c>
      <c r="B343" s="20">
        <f ca="1">INDIRECT(ADDRESS(MATCH(A343,Raw!$A:$A,0),2,1,1,"Raw"))</f>
        <v>0</v>
      </c>
      <c r="C343" s="20">
        <f>INDEX(Raw!$C:$C,MATCH(A343,Raw!$A:$A,0))</f>
        <v>0</v>
      </c>
      <c r="D343" s="21"/>
    </row>
    <row r="344" spans="1:4" ht="11.25" customHeight="1" x14ac:dyDescent="0.25">
      <c r="A344" s="22" t="s">
        <v>381</v>
      </c>
      <c r="B344" s="20">
        <f ca="1">INDIRECT(ADDRESS(MATCH(A344,Raw!$A:$A,0),2,1,1,"Raw"))</f>
        <v>0</v>
      </c>
      <c r="C344" s="20">
        <f>INDEX(Raw!$C:$C,MATCH(A344,Raw!$A:$A,0))</f>
        <v>0</v>
      </c>
      <c r="D344" s="21"/>
    </row>
    <row r="345" spans="1:4" ht="11.25" customHeight="1" x14ac:dyDescent="0.25">
      <c r="A345" s="19" t="s">
        <v>382</v>
      </c>
      <c r="B345" s="20">
        <f ca="1">INDIRECT(ADDRESS(MATCH(A345,Raw!$A:$A,0),2,1,1,"Raw"))</f>
        <v>0</v>
      </c>
      <c r="C345" s="20">
        <f>INDEX(Raw!$C:$C,MATCH(A345,Raw!$A:$A,0))</f>
        <v>0</v>
      </c>
      <c r="D345" s="21"/>
    </row>
    <row r="346" spans="1:4" ht="11.25" customHeight="1" x14ac:dyDescent="0.25">
      <c r="A346" s="19" t="s">
        <v>383</v>
      </c>
      <c r="B346" s="20">
        <f ca="1">INDIRECT(ADDRESS(MATCH(A346,Raw!$A:$A,0),2,1,1,"Raw"))</f>
        <v>0</v>
      </c>
      <c r="C346" s="20">
        <f>INDEX(Raw!$C:$C,MATCH(A346,Raw!$A:$A,0))</f>
        <v>0</v>
      </c>
      <c r="D346" s="21"/>
    </row>
    <row r="347" spans="1:4" ht="11.25" customHeight="1" x14ac:dyDescent="0.25">
      <c r="A347" s="22" t="s">
        <v>384</v>
      </c>
      <c r="B347" s="20">
        <f ca="1">INDIRECT(ADDRESS(MATCH(A347,Raw!$A:$A,0),2,1,1,"Raw"))</f>
        <v>0</v>
      </c>
      <c r="C347" s="20">
        <f>INDEX(Raw!$C:$C,MATCH(A347,Raw!$A:$A,0))</f>
        <v>0</v>
      </c>
      <c r="D347" s="21"/>
    </row>
    <row r="348" spans="1:4" ht="11.25" customHeight="1" x14ac:dyDescent="0.25">
      <c r="A348" s="19" t="s">
        <v>385</v>
      </c>
      <c r="B348" s="20">
        <f ca="1">INDIRECT(ADDRESS(MATCH(A348,Raw!$A:$A,0),2,1,1,"Raw"))</f>
        <v>0</v>
      </c>
      <c r="C348" s="20">
        <f>INDEX(Raw!$C:$C,MATCH(A348,Raw!$A:$A,0))</f>
        <v>0</v>
      </c>
      <c r="D348" s="21"/>
    </row>
    <row r="349" spans="1:4" ht="11.25" customHeight="1" x14ac:dyDescent="0.25">
      <c r="A349" s="22" t="s">
        <v>386</v>
      </c>
      <c r="B349" s="20">
        <f ca="1">INDIRECT(ADDRESS(MATCH(A349,Raw!$A:$A,0),2,1,1,"Raw"))</f>
        <v>0</v>
      </c>
      <c r="C349" s="20">
        <f>INDEX(Raw!$C:$C,MATCH(A349,Raw!$A:$A,0))</f>
        <v>0</v>
      </c>
      <c r="D349" s="21"/>
    </row>
    <row r="350" spans="1:4" ht="11.25" customHeight="1" x14ac:dyDescent="0.25">
      <c r="A350" s="19" t="s">
        <v>387</v>
      </c>
      <c r="B350" s="20">
        <f ca="1">INDIRECT(ADDRESS(MATCH(A350,Raw!$A:$A,0),2,1,1,"Raw"))</f>
        <v>0</v>
      </c>
      <c r="C350" s="20">
        <f>INDEX(Raw!$C:$C,MATCH(A350,Raw!$A:$A,0))</f>
        <v>0</v>
      </c>
      <c r="D350" s="21"/>
    </row>
    <row r="351" spans="1:4" ht="11.25" customHeight="1" x14ac:dyDescent="0.25">
      <c r="A351" s="22" t="s">
        <v>388</v>
      </c>
      <c r="B351" s="20">
        <f ca="1">INDIRECT(ADDRESS(MATCH(A351,Raw!$A:$A,0),2,1,1,"Raw"))</f>
        <v>0</v>
      </c>
      <c r="C351" s="20">
        <f>INDEX(Raw!$C:$C,MATCH(A351,Raw!$A:$A,0))</f>
        <v>0</v>
      </c>
      <c r="D351" s="21"/>
    </row>
    <row r="352" spans="1:4" ht="11.25" customHeight="1" x14ac:dyDescent="0.25">
      <c r="A352" s="19" t="s">
        <v>389</v>
      </c>
      <c r="B352" s="20">
        <f ca="1">INDIRECT(ADDRESS(MATCH(A352,Raw!$A:$A,0),2,1,1,"Raw"))</f>
        <v>0</v>
      </c>
      <c r="C352" s="20">
        <f>INDEX(Raw!$C:$C,MATCH(A352,Raw!$A:$A,0))</f>
        <v>0</v>
      </c>
      <c r="D352" s="21"/>
    </row>
    <row r="353" spans="1:4" ht="11.25" customHeight="1" x14ac:dyDescent="0.25">
      <c r="A353" s="22" t="s">
        <v>390</v>
      </c>
      <c r="B353" s="20">
        <f ca="1">INDIRECT(ADDRESS(MATCH(A353,Raw!$A:$A,0),2,1,1,"Raw"))</f>
        <v>0</v>
      </c>
      <c r="C353" s="20">
        <f>INDEX(Raw!$C:$C,MATCH(A353,Raw!$A:$A,0))</f>
        <v>0</v>
      </c>
      <c r="D353" s="21"/>
    </row>
    <row r="354" spans="1:4" ht="11.25" customHeight="1" x14ac:dyDescent="0.25">
      <c r="A354" s="19" t="s">
        <v>391</v>
      </c>
      <c r="B354" s="20">
        <f ca="1">INDIRECT(ADDRESS(MATCH(A354,Raw!$A:$A,0),2,1,1,"Raw"))</f>
        <v>0</v>
      </c>
      <c r="C354" s="20">
        <f>INDEX(Raw!$C:$C,MATCH(A354,Raw!$A:$A,0))</f>
        <v>0</v>
      </c>
      <c r="D354" s="21"/>
    </row>
    <row r="355" spans="1:4" ht="11.25" customHeight="1" x14ac:dyDescent="0.25">
      <c r="A355" s="22" t="s">
        <v>392</v>
      </c>
      <c r="B355" s="20">
        <f ca="1">INDIRECT(ADDRESS(MATCH(A355,Raw!$A:$A,0),2,1,1,"Raw"))</f>
        <v>0</v>
      </c>
      <c r="C355" s="20">
        <f>INDEX(Raw!$C:$C,MATCH(A355,Raw!$A:$A,0))</f>
        <v>0</v>
      </c>
      <c r="D355" s="21"/>
    </row>
    <row r="356" spans="1:4" ht="11.25" customHeight="1" x14ac:dyDescent="0.25">
      <c r="A356" s="19" t="s">
        <v>393</v>
      </c>
      <c r="B356" s="20">
        <f ca="1">INDIRECT(ADDRESS(MATCH(A356,Raw!$A:$A,0),2,1,1,"Raw"))</f>
        <v>0</v>
      </c>
      <c r="C356" s="20">
        <f>INDEX(Raw!$C:$C,MATCH(A356,Raw!$A:$A,0))</f>
        <v>0</v>
      </c>
      <c r="D356" s="21"/>
    </row>
    <row r="357" spans="1:4" ht="11.25" customHeight="1" x14ac:dyDescent="0.25">
      <c r="A357" s="22" t="s">
        <v>394</v>
      </c>
      <c r="B357" s="20">
        <f ca="1">INDIRECT(ADDRESS(MATCH(A357,Raw!$A:$A,0),2,1,1,"Raw"))</f>
        <v>0</v>
      </c>
      <c r="C357" s="20">
        <f>INDEX(Raw!$C:$C,MATCH(A357,Raw!$A:$A,0))</f>
        <v>0</v>
      </c>
      <c r="D357" s="21"/>
    </row>
    <row r="358" spans="1:4" ht="11.25" customHeight="1" x14ac:dyDescent="0.25">
      <c r="A358" s="22" t="s">
        <v>395</v>
      </c>
      <c r="B358" s="20">
        <f ca="1">INDIRECT(ADDRESS(MATCH(A358,Raw!$A:$A,0),2,1,1,"Raw"))</f>
        <v>0</v>
      </c>
      <c r="C358" s="20">
        <f>INDEX(Raw!$C:$C,MATCH(A358,Raw!$A:$A,0))</f>
        <v>0</v>
      </c>
      <c r="D358" s="21"/>
    </row>
    <row r="359" spans="1:4" ht="11.25" customHeight="1" x14ac:dyDescent="0.25">
      <c r="A359" s="19" t="s">
        <v>396</v>
      </c>
      <c r="B359" s="20">
        <f ca="1">INDIRECT(ADDRESS(MATCH(A359,Raw!$A:$A,0),2,1,1,"Raw"))</f>
        <v>0</v>
      </c>
      <c r="C359" s="20">
        <f>INDEX(Raw!$C:$C,MATCH(A359,Raw!$A:$A,0))</f>
        <v>0</v>
      </c>
      <c r="D359" s="21"/>
    </row>
    <row r="360" spans="1:4" ht="11.25" customHeight="1" x14ac:dyDescent="0.25">
      <c r="A360" s="22" t="s">
        <v>397</v>
      </c>
      <c r="B360" s="20">
        <f ca="1">INDIRECT(ADDRESS(MATCH(A360,Raw!$A:$A,0),2,1,1,"Raw"))</f>
        <v>0</v>
      </c>
      <c r="C360" s="20">
        <f>INDEX(Raw!$C:$C,MATCH(A360,Raw!$A:$A,0))</f>
        <v>0</v>
      </c>
      <c r="D360" s="21"/>
    </row>
    <row r="361" spans="1:4" ht="11.25" customHeight="1" x14ac:dyDescent="0.25">
      <c r="A361" s="19" t="s">
        <v>398</v>
      </c>
      <c r="B361" s="20">
        <f ca="1">INDIRECT(ADDRESS(MATCH(A361,Raw!$A:$A,0),2,1,1,"Raw"))</f>
        <v>0</v>
      </c>
      <c r="C361" s="20">
        <f>INDEX(Raw!$C:$C,MATCH(A361,Raw!$A:$A,0))</f>
        <v>0</v>
      </c>
      <c r="D361" s="21"/>
    </row>
    <row r="362" spans="1:4" ht="11.25" customHeight="1" x14ac:dyDescent="0.25">
      <c r="A362" s="22" t="s">
        <v>399</v>
      </c>
      <c r="B362" s="20">
        <f ca="1">INDIRECT(ADDRESS(MATCH(A362,Raw!$A:$A,0),2,1,1,"Raw"))</f>
        <v>0</v>
      </c>
      <c r="C362" s="20">
        <f>INDEX(Raw!$C:$C,MATCH(A362,Raw!$A:$A,0))</f>
        <v>0</v>
      </c>
      <c r="D362" s="21"/>
    </row>
    <row r="363" spans="1:4" ht="11.25" customHeight="1" x14ac:dyDescent="0.25">
      <c r="A363" s="19" t="s">
        <v>400</v>
      </c>
      <c r="B363" s="20">
        <f ca="1">INDIRECT(ADDRESS(MATCH(A363,Raw!$A:$A,0),2,1,1,"Raw"))</f>
        <v>0</v>
      </c>
      <c r="C363" s="20">
        <f>INDEX(Raw!$C:$C,MATCH(A363,Raw!$A:$A,0))</f>
        <v>0</v>
      </c>
      <c r="D363" s="21"/>
    </row>
    <row r="364" spans="1:4" ht="11.25" customHeight="1" x14ac:dyDescent="0.25">
      <c r="A364" s="22" t="s">
        <v>401</v>
      </c>
      <c r="B364" s="20">
        <f ca="1">INDIRECT(ADDRESS(MATCH(A364,Raw!$A:$A,0),2,1,1,"Raw"))</f>
        <v>0</v>
      </c>
      <c r="C364" s="20">
        <f>INDEX(Raw!$C:$C,MATCH(A364,Raw!$A:$A,0))</f>
        <v>0</v>
      </c>
      <c r="D364" s="21"/>
    </row>
    <row r="365" spans="1:4" ht="11.25" customHeight="1" x14ac:dyDescent="0.25">
      <c r="A365" s="19" t="s">
        <v>402</v>
      </c>
      <c r="B365" s="20">
        <f ca="1">INDIRECT(ADDRESS(MATCH(A365,Raw!$A:$A,0),2,1,1,"Raw"))</f>
        <v>0</v>
      </c>
      <c r="C365" s="20">
        <f>INDEX(Raw!$C:$C,MATCH(A365,Raw!$A:$A,0))</f>
        <v>0</v>
      </c>
      <c r="D365" s="21"/>
    </row>
    <row r="366" spans="1:4" ht="11.25" customHeight="1" x14ac:dyDescent="0.25">
      <c r="A366" s="22" t="s">
        <v>403</v>
      </c>
      <c r="B366" s="20">
        <f ca="1">INDIRECT(ADDRESS(MATCH(A366,Raw!$A:$A,0),2,1,1,"Raw"))</f>
        <v>0</v>
      </c>
      <c r="C366" s="20">
        <f>INDEX(Raw!$C:$C,MATCH(A366,Raw!$A:$A,0))</f>
        <v>0</v>
      </c>
      <c r="D366" s="21"/>
    </row>
    <row r="367" spans="1:4" ht="11.25" customHeight="1" x14ac:dyDescent="0.25">
      <c r="A367" s="19" t="s">
        <v>404</v>
      </c>
      <c r="B367" s="20">
        <f ca="1">INDIRECT(ADDRESS(MATCH(A367,Raw!$A:$A,0),2,1,1,"Raw"))</f>
        <v>0</v>
      </c>
      <c r="C367" s="20">
        <f>INDEX(Raw!$C:$C,MATCH(A367,Raw!$A:$A,0))</f>
        <v>0</v>
      </c>
      <c r="D367" s="21"/>
    </row>
    <row r="368" spans="1:4" ht="11.25" customHeight="1" x14ac:dyDescent="0.25">
      <c r="A368" s="22" t="s">
        <v>405</v>
      </c>
      <c r="B368" s="20">
        <f ca="1">INDIRECT(ADDRESS(MATCH(A368,Raw!$A:$A,0),2,1,1,"Raw"))</f>
        <v>0</v>
      </c>
      <c r="C368" s="20">
        <f>INDEX(Raw!$C:$C,MATCH(A368,Raw!$A:$A,0))</f>
        <v>0</v>
      </c>
      <c r="D368" s="21"/>
    </row>
    <row r="369" spans="1:4" ht="11.25" customHeight="1" x14ac:dyDescent="0.25">
      <c r="A369" s="19" t="s">
        <v>406</v>
      </c>
      <c r="B369" s="20">
        <f ca="1">INDIRECT(ADDRESS(MATCH(A369,Raw!$A:$A,0),2,1,1,"Raw"))</f>
        <v>0</v>
      </c>
      <c r="C369" s="20">
        <f>INDEX(Raw!$C:$C,MATCH(A369,Raw!$A:$A,0))</f>
        <v>0</v>
      </c>
      <c r="D369" s="21"/>
    </row>
    <row r="370" spans="1:4" ht="11.25" customHeight="1" x14ac:dyDescent="0.25">
      <c r="A370" s="19" t="s">
        <v>407</v>
      </c>
      <c r="B370" s="20">
        <f ca="1">INDIRECT(ADDRESS(MATCH(A370,Raw!$A:$A,0),2,1,1,"Raw"))</f>
        <v>0</v>
      </c>
      <c r="C370" s="20">
        <f>INDEX(Raw!$C:$C,MATCH(A370,Raw!$A:$A,0))</f>
        <v>0</v>
      </c>
      <c r="D370" s="21"/>
    </row>
    <row r="371" spans="1:4" ht="11.25" customHeight="1" x14ac:dyDescent="0.25">
      <c r="A371" s="22" t="s">
        <v>408</v>
      </c>
      <c r="B371" s="20">
        <f ca="1">INDIRECT(ADDRESS(MATCH(A371,Raw!$A:$A,0),2,1,1,"Raw"))</f>
        <v>0</v>
      </c>
      <c r="C371" s="20">
        <f>INDEX(Raw!$C:$C,MATCH(A371,Raw!$A:$A,0))</f>
        <v>0</v>
      </c>
      <c r="D371" s="21"/>
    </row>
    <row r="372" spans="1:4" ht="11.25" customHeight="1" x14ac:dyDescent="0.25">
      <c r="A372" s="19" t="s">
        <v>409</v>
      </c>
      <c r="B372" s="20">
        <f ca="1">INDIRECT(ADDRESS(MATCH(A372,Raw!$A:$A,0),2,1,1,"Raw"))</f>
        <v>0</v>
      </c>
      <c r="C372" s="20">
        <f>INDEX(Raw!$C:$C,MATCH(A372,Raw!$A:$A,0))</f>
        <v>0</v>
      </c>
      <c r="D372" s="21"/>
    </row>
    <row r="373" spans="1:4" ht="11.25" customHeight="1" x14ac:dyDescent="0.25">
      <c r="A373" s="22" t="s">
        <v>410</v>
      </c>
      <c r="B373" s="20">
        <f ca="1">INDIRECT(ADDRESS(MATCH(A373,Raw!$A:$A,0),2,1,1,"Raw"))</f>
        <v>0</v>
      </c>
      <c r="C373" s="20">
        <f>INDEX(Raw!$C:$C,MATCH(A373,Raw!$A:$A,0))</f>
        <v>0</v>
      </c>
      <c r="D373" s="21"/>
    </row>
    <row r="374" spans="1:4" ht="11.25" customHeight="1" x14ac:dyDescent="0.25">
      <c r="A374" s="22" t="s">
        <v>411</v>
      </c>
      <c r="B374" s="20">
        <f ca="1">INDIRECT(ADDRESS(MATCH(A374,Raw!$A:$A,0),2,1,1,"Raw"))</f>
        <v>0</v>
      </c>
      <c r="C374" s="20">
        <f>INDEX(Raw!$C:$C,MATCH(A374,Raw!$A:$A,0))</f>
        <v>0</v>
      </c>
      <c r="D374" s="21"/>
    </row>
    <row r="375" spans="1:4" ht="11.25" customHeight="1" x14ac:dyDescent="0.25">
      <c r="A375" s="19" t="s">
        <v>412</v>
      </c>
      <c r="B375" s="20">
        <f ca="1">INDIRECT(ADDRESS(MATCH(A375,Raw!$A:$A,0),2,1,1,"Raw"))</f>
        <v>0</v>
      </c>
      <c r="C375" s="20">
        <f>INDEX(Raw!$C:$C,MATCH(A375,Raw!$A:$A,0))</f>
        <v>0</v>
      </c>
      <c r="D375" s="21"/>
    </row>
    <row r="376" spans="1:4" ht="11.25" customHeight="1" x14ac:dyDescent="0.25">
      <c r="A376" s="19" t="s">
        <v>413</v>
      </c>
      <c r="B376" s="20">
        <f ca="1">INDIRECT(ADDRESS(MATCH(A376,Raw!$A:$A,0),2,1,1,"Raw"))</f>
        <v>0</v>
      </c>
      <c r="C376" s="20">
        <f>INDEX(Raw!$C:$C,MATCH(A376,Raw!$A:$A,0))</f>
        <v>0</v>
      </c>
      <c r="D376" s="21"/>
    </row>
    <row r="377" spans="1:4" ht="11.25" customHeight="1" x14ac:dyDescent="0.25">
      <c r="A377" s="22" t="s">
        <v>414</v>
      </c>
      <c r="B377" s="20">
        <f ca="1">INDIRECT(ADDRESS(MATCH(A377,Raw!$A:$A,0),2,1,1,"Raw"))</f>
        <v>0</v>
      </c>
      <c r="C377" s="20">
        <f>INDEX(Raw!$C:$C,MATCH(A377,Raw!$A:$A,0))</f>
        <v>0</v>
      </c>
      <c r="D377" s="21"/>
    </row>
    <row r="378" spans="1:4" ht="11.25" customHeight="1" x14ac:dyDescent="0.25">
      <c r="A378" s="22" t="s">
        <v>415</v>
      </c>
      <c r="B378" s="20">
        <f ca="1">INDIRECT(ADDRESS(MATCH(A378,Raw!$A:$A,0),2,1,1,"Raw"))</f>
        <v>0</v>
      </c>
      <c r="C378" s="20">
        <f>INDEX(Raw!$C:$C,MATCH(A378,Raw!$A:$A,0))</f>
        <v>0</v>
      </c>
      <c r="D378" s="21"/>
    </row>
    <row r="379" spans="1:4" ht="11.25" customHeight="1" x14ac:dyDescent="0.25">
      <c r="A379" s="22" t="s">
        <v>416</v>
      </c>
      <c r="B379" s="20">
        <f ca="1">INDIRECT(ADDRESS(MATCH(A379,Raw!$A:$A,0),2,1,1,"Raw"))</f>
        <v>0</v>
      </c>
      <c r="C379" s="20">
        <f>INDEX(Raw!$C:$C,MATCH(A379,Raw!$A:$A,0))</f>
        <v>0</v>
      </c>
      <c r="D379" s="21"/>
    </row>
    <row r="380" spans="1:4" ht="11.25" customHeight="1" x14ac:dyDescent="0.25">
      <c r="A380" s="22" t="s">
        <v>417</v>
      </c>
      <c r="B380" s="20">
        <f ca="1">INDIRECT(ADDRESS(MATCH(A380,Raw!$A:$A,0),2,1,1,"Raw"))</f>
        <v>0</v>
      </c>
      <c r="C380" s="20">
        <f>INDEX(Raw!$C:$C,MATCH(A380,Raw!$A:$A,0))</f>
        <v>0</v>
      </c>
      <c r="D380" s="21"/>
    </row>
    <row r="381" spans="1:4" ht="11.25" customHeight="1" x14ac:dyDescent="0.25">
      <c r="A381" s="22" t="s">
        <v>418</v>
      </c>
      <c r="B381" s="20">
        <f ca="1">INDIRECT(ADDRESS(MATCH(A381,Raw!$A:$A,0),2,1,1,"Raw"))</f>
        <v>0</v>
      </c>
      <c r="C381" s="20">
        <f>INDEX(Raw!$C:$C,MATCH(A381,Raw!$A:$A,0))</f>
        <v>0</v>
      </c>
      <c r="D381" s="21"/>
    </row>
    <row r="382" spans="1:4" ht="11.25" customHeight="1" x14ac:dyDescent="0.25">
      <c r="A382" s="22" t="s">
        <v>419</v>
      </c>
      <c r="B382" s="20">
        <f ca="1">INDIRECT(ADDRESS(MATCH(A382,Raw!$A:$A,0),2,1,1,"Raw"))</f>
        <v>0</v>
      </c>
      <c r="C382" s="20">
        <f>INDEX(Raw!$C:$C,MATCH(A382,Raw!$A:$A,0))</f>
        <v>0</v>
      </c>
      <c r="D382" s="21"/>
    </row>
    <row r="383" spans="1:4" ht="11.25" customHeight="1" x14ac:dyDescent="0.25">
      <c r="A383" s="22" t="s">
        <v>420</v>
      </c>
      <c r="B383" s="20">
        <f ca="1">INDIRECT(ADDRESS(MATCH(A383,Raw!$A:$A,0),2,1,1,"Raw"))</f>
        <v>0</v>
      </c>
      <c r="C383" s="20">
        <f>INDEX(Raw!$C:$C,MATCH(A383,Raw!$A:$A,0))</f>
        <v>0</v>
      </c>
      <c r="D383" s="21"/>
    </row>
    <row r="384" spans="1:4" ht="11.25" customHeight="1" x14ac:dyDescent="0.25">
      <c r="A384" s="22" t="s">
        <v>421</v>
      </c>
      <c r="B384" s="20">
        <f ca="1">INDIRECT(ADDRESS(MATCH(A384,Raw!$A:$A,0),2,1,1,"Raw"))</f>
        <v>0</v>
      </c>
      <c r="C384" s="20">
        <f>INDEX(Raw!$C:$C,MATCH(A384,Raw!$A:$A,0))</f>
        <v>0</v>
      </c>
      <c r="D384" s="21"/>
    </row>
    <row r="385" spans="1:4" ht="11.25" customHeight="1" x14ac:dyDescent="0.25">
      <c r="A385" s="22" t="s">
        <v>422</v>
      </c>
      <c r="B385" s="20">
        <f ca="1">INDIRECT(ADDRESS(MATCH(A385,Raw!$A:$A,0),2,1,1,"Raw"))</f>
        <v>0</v>
      </c>
      <c r="C385" s="20">
        <f>INDEX(Raw!$C:$C,MATCH(A385,Raw!$A:$A,0))</f>
        <v>0</v>
      </c>
      <c r="D385" s="21"/>
    </row>
    <row r="386" spans="1:4" ht="11.25" customHeight="1" x14ac:dyDescent="0.25">
      <c r="A386" s="22" t="s">
        <v>423</v>
      </c>
      <c r="B386" s="20">
        <f ca="1">INDIRECT(ADDRESS(MATCH(A386,Raw!$A:$A,0),2,1,1,"Raw"))</f>
        <v>0</v>
      </c>
      <c r="C386" s="20">
        <f>INDEX(Raw!$C:$C,MATCH(A386,Raw!$A:$A,0))</f>
        <v>0</v>
      </c>
      <c r="D386" s="21"/>
    </row>
    <row r="387" spans="1:4" ht="11.25" customHeight="1" x14ac:dyDescent="0.25">
      <c r="A387" s="22" t="s">
        <v>424</v>
      </c>
      <c r="B387" s="20">
        <f ca="1">INDIRECT(ADDRESS(MATCH(A387,Raw!$A:$A,0),2,1,1,"Raw"))</f>
        <v>0</v>
      </c>
      <c r="C387" s="20">
        <f>INDEX(Raw!$C:$C,MATCH(A387,Raw!$A:$A,0))</f>
        <v>0</v>
      </c>
      <c r="D387" s="21"/>
    </row>
    <row r="388" spans="1:4" ht="11.25" customHeight="1" x14ac:dyDescent="0.25">
      <c r="A388" s="22" t="s">
        <v>425</v>
      </c>
      <c r="B388" s="20">
        <f ca="1">INDIRECT(ADDRESS(MATCH(A388,Raw!$A:$A,0),2,1,1,"Raw"))</f>
        <v>0</v>
      </c>
      <c r="C388" s="20">
        <f>INDEX(Raw!$C:$C,MATCH(A388,Raw!$A:$A,0))</f>
        <v>0</v>
      </c>
      <c r="D388" s="21"/>
    </row>
    <row r="389" spans="1:4" ht="11.25" customHeight="1" x14ac:dyDescent="0.25">
      <c r="A389" s="22" t="s">
        <v>426</v>
      </c>
      <c r="B389" s="20">
        <f ca="1">INDIRECT(ADDRESS(MATCH(A389,Raw!$A:$A,0),2,1,1,"Raw"))</f>
        <v>0</v>
      </c>
      <c r="C389" s="20">
        <f>INDEX(Raw!$C:$C,MATCH(A389,Raw!$A:$A,0))</f>
        <v>0</v>
      </c>
      <c r="D389" s="21"/>
    </row>
    <row r="390" spans="1:4" ht="11.25" customHeight="1" x14ac:dyDescent="0.25">
      <c r="A390" s="22" t="s">
        <v>427</v>
      </c>
      <c r="B390" s="20">
        <f ca="1">INDIRECT(ADDRESS(MATCH(A390,Raw!$A:$A,0),2,1,1,"Raw"))</f>
        <v>0</v>
      </c>
      <c r="C390" s="20">
        <f>INDEX(Raw!$C:$C,MATCH(A390,Raw!$A:$A,0))</f>
        <v>0</v>
      </c>
      <c r="D390" s="21"/>
    </row>
    <row r="391" spans="1:4" ht="11.25" customHeight="1" x14ac:dyDescent="0.25">
      <c r="A391" s="22" t="s">
        <v>428</v>
      </c>
      <c r="B391" s="20">
        <f ca="1">INDIRECT(ADDRESS(MATCH(A391,Raw!$A:$A,0),2,1,1,"Raw"))</f>
        <v>0</v>
      </c>
      <c r="C391" s="20">
        <f>INDEX(Raw!$C:$C,MATCH(A391,Raw!$A:$A,0))</f>
        <v>0</v>
      </c>
      <c r="D391" s="21"/>
    </row>
    <row r="392" spans="1:4" ht="11.25" customHeight="1" x14ac:dyDescent="0.25">
      <c r="A392" s="22" t="s">
        <v>429</v>
      </c>
      <c r="B392" s="20">
        <f ca="1">INDIRECT(ADDRESS(MATCH(A392,Raw!$A:$A,0),2,1,1,"Raw"))</f>
        <v>0</v>
      </c>
      <c r="C392" s="20">
        <f>INDEX(Raw!$C:$C,MATCH(A392,Raw!$A:$A,0))</f>
        <v>0</v>
      </c>
      <c r="D392" s="21"/>
    </row>
    <row r="393" spans="1:4" ht="11.25" customHeight="1" x14ac:dyDescent="0.25">
      <c r="A393" s="22" t="s">
        <v>430</v>
      </c>
      <c r="B393" s="20">
        <f ca="1">INDIRECT(ADDRESS(MATCH(A393,Raw!$A:$A,0),2,1,1,"Raw"))</f>
        <v>0</v>
      </c>
      <c r="C393" s="20">
        <f>INDEX(Raw!$C:$C,MATCH(A393,Raw!$A:$A,0))</f>
        <v>0</v>
      </c>
      <c r="D393" s="21"/>
    </row>
    <row r="394" spans="1:4" ht="11.25" customHeight="1" x14ac:dyDescent="0.25">
      <c r="A394" s="22" t="s">
        <v>431</v>
      </c>
      <c r="B394" s="20">
        <f ca="1">INDIRECT(ADDRESS(MATCH(A394,Raw!$A:$A,0),2,1,1,"Raw"))</f>
        <v>0</v>
      </c>
      <c r="C394" s="20">
        <f>INDEX(Raw!$C:$C,MATCH(A394,Raw!$A:$A,0))</f>
        <v>0</v>
      </c>
      <c r="D394" s="21"/>
    </row>
    <row r="395" spans="1:4" ht="11.25" customHeight="1" x14ac:dyDescent="0.25">
      <c r="A395" s="22" t="s">
        <v>432</v>
      </c>
      <c r="B395" s="20">
        <f ca="1">INDIRECT(ADDRESS(MATCH(A395,Raw!$A:$A,0),2,1,1,"Raw"))</f>
        <v>0</v>
      </c>
      <c r="C395" s="20">
        <f>INDEX(Raw!$C:$C,MATCH(A395,Raw!$A:$A,0))</f>
        <v>0</v>
      </c>
      <c r="D395" s="21"/>
    </row>
    <row r="396" spans="1:4" ht="11.25" customHeight="1" x14ac:dyDescent="0.25">
      <c r="A396" s="22" t="s">
        <v>433</v>
      </c>
      <c r="B396" s="20">
        <f ca="1">INDIRECT(ADDRESS(MATCH(A396,Raw!$A:$A,0),2,1,1,"Raw"))</f>
        <v>0</v>
      </c>
      <c r="C396" s="20">
        <f>INDEX(Raw!$C:$C,MATCH(A396,Raw!$A:$A,0))</f>
        <v>0</v>
      </c>
      <c r="D396" s="21"/>
    </row>
    <row r="397" spans="1:4" ht="11.25" customHeight="1" x14ac:dyDescent="0.25">
      <c r="A397" s="22" t="s">
        <v>434</v>
      </c>
      <c r="B397" s="20">
        <f ca="1">INDIRECT(ADDRESS(MATCH(A397,Raw!$A:$A,0),2,1,1,"Raw"))</f>
        <v>0</v>
      </c>
      <c r="C397" s="20">
        <f>INDEX(Raw!$C:$C,MATCH(A397,Raw!$A:$A,0))</f>
        <v>0</v>
      </c>
      <c r="D397" s="21"/>
    </row>
    <row r="398" spans="1:4" ht="11.25" customHeight="1" x14ac:dyDescent="0.25">
      <c r="A398" s="22" t="s">
        <v>435</v>
      </c>
      <c r="B398" s="20">
        <f ca="1">INDIRECT(ADDRESS(MATCH(A398,Raw!$A:$A,0),2,1,1,"Raw"))</f>
        <v>0</v>
      </c>
      <c r="C398" s="20">
        <f>INDEX(Raw!$C:$C,MATCH(A398,Raw!$A:$A,0))</f>
        <v>0</v>
      </c>
      <c r="D398" s="21"/>
    </row>
    <row r="399" spans="1:4" ht="11.25" customHeight="1" x14ac:dyDescent="0.25">
      <c r="A399" s="22" t="s">
        <v>436</v>
      </c>
      <c r="B399" s="20">
        <f ca="1">INDIRECT(ADDRESS(MATCH(A399,Raw!$A:$A,0),2,1,1,"Raw"))</f>
        <v>0</v>
      </c>
      <c r="C399" s="20">
        <f>INDEX(Raw!$C:$C,MATCH(A399,Raw!$A:$A,0))</f>
        <v>0</v>
      </c>
      <c r="D399" s="21"/>
    </row>
    <row r="400" spans="1:4" ht="11.25" customHeight="1" x14ac:dyDescent="0.25">
      <c r="A400" s="22" t="s">
        <v>437</v>
      </c>
      <c r="B400" s="20">
        <f ca="1">INDIRECT(ADDRESS(MATCH(A400,Raw!$A:$A,0),2,1,1,"Raw"))</f>
        <v>0</v>
      </c>
      <c r="C400" s="20">
        <f>INDEX(Raw!$C:$C,MATCH(A400,Raw!$A:$A,0))</f>
        <v>0</v>
      </c>
      <c r="D400" s="21"/>
    </row>
    <row r="401" spans="1:4" ht="11.25" customHeight="1" x14ac:dyDescent="0.25">
      <c r="A401" s="22" t="s">
        <v>438</v>
      </c>
      <c r="B401" s="20">
        <f ca="1">INDIRECT(ADDRESS(MATCH(A401,Raw!$A:$A,0),2,1,1,"Raw"))</f>
        <v>0</v>
      </c>
      <c r="C401" s="20">
        <f>INDEX(Raw!$C:$C,MATCH(A401,Raw!$A:$A,0))</f>
        <v>0</v>
      </c>
      <c r="D401" s="21"/>
    </row>
    <row r="402" spans="1:4" ht="11.25" customHeight="1" x14ac:dyDescent="0.25">
      <c r="A402" s="22" t="s">
        <v>439</v>
      </c>
      <c r="B402" s="20">
        <f ca="1">INDIRECT(ADDRESS(MATCH(A402,Raw!$A:$A,0),2,1,1,"Raw"))</f>
        <v>0</v>
      </c>
      <c r="C402" s="20">
        <f>INDEX(Raw!$C:$C,MATCH(A402,Raw!$A:$A,0))</f>
        <v>0</v>
      </c>
      <c r="D402" s="21"/>
    </row>
    <row r="403" spans="1:4" ht="11.25" customHeight="1" x14ac:dyDescent="0.25">
      <c r="A403" s="22" t="s">
        <v>440</v>
      </c>
      <c r="B403" s="20">
        <f ca="1">INDIRECT(ADDRESS(MATCH(A403,Raw!$A:$A,0),2,1,1,"Raw"))</f>
        <v>0</v>
      </c>
      <c r="C403" s="20">
        <f>INDEX(Raw!$C:$C,MATCH(A403,Raw!$A:$A,0))</f>
        <v>0</v>
      </c>
      <c r="D403" s="21"/>
    </row>
    <row r="404" spans="1:4" ht="11.25" customHeight="1" x14ac:dyDescent="0.25">
      <c r="A404" s="22" t="s">
        <v>441</v>
      </c>
      <c r="B404" s="20">
        <f ca="1">INDIRECT(ADDRESS(MATCH(A404,Raw!$A:$A,0),2,1,1,"Raw"))</f>
        <v>0</v>
      </c>
      <c r="C404" s="20">
        <f>INDEX(Raw!$C:$C,MATCH(A404,Raw!$A:$A,0))</f>
        <v>0</v>
      </c>
      <c r="D404" s="21"/>
    </row>
    <row r="405" spans="1:4" ht="11.25" customHeight="1" x14ac:dyDescent="0.25">
      <c r="A405" s="22" t="s">
        <v>442</v>
      </c>
      <c r="B405" s="20">
        <f ca="1">INDIRECT(ADDRESS(MATCH(A405,Raw!$A:$A,0),2,1,1,"Raw"))</f>
        <v>0</v>
      </c>
      <c r="C405" s="20">
        <f>INDEX(Raw!$C:$C,MATCH(A405,Raw!$A:$A,0))</f>
        <v>0</v>
      </c>
      <c r="D405" s="21"/>
    </row>
    <row r="406" spans="1:4" ht="11.25" customHeight="1" x14ac:dyDescent="0.25">
      <c r="A406" s="22" t="s">
        <v>443</v>
      </c>
      <c r="B406" s="20">
        <f ca="1">INDIRECT(ADDRESS(MATCH(A406,Raw!$A:$A,0),2,1,1,"Raw"))</f>
        <v>0</v>
      </c>
      <c r="C406" s="20">
        <f>INDEX(Raw!$C:$C,MATCH(A406,Raw!$A:$A,0))</f>
        <v>0</v>
      </c>
      <c r="D406" s="21"/>
    </row>
    <row r="407" spans="1:4" ht="11.25" customHeight="1" x14ac:dyDescent="0.25">
      <c r="A407" s="22" t="s">
        <v>444</v>
      </c>
      <c r="B407" s="20">
        <f ca="1">INDIRECT(ADDRESS(MATCH(A407,Raw!$A:$A,0),2,1,1,"Raw"))</f>
        <v>0</v>
      </c>
      <c r="C407" s="20">
        <f>INDEX(Raw!$C:$C,MATCH(A407,Raw!$A:$A,0))</f>
        <v>0</v>
      </c>
      <c r="D407" s="21"/>
    </row>
    <row r="408" spans="1:4" ht="11.25" customHeight="1" x14ac:dyDescent="0.25">
      <c r="A408" s="22" t="s">
        <v>445</v>
      </c>
      <c r="B408" s="20">
        <f ca="1">INDIRECT(ADDRESS(MATCH(A408,Raw!$A:$A,0),2,1,1,"Raw"))</f>
        <v>0</v>
      </c>
      <c r="C408" s="20">
        <f>INDEX(Raw!$C:$C,MATCH(A408,Raw!$A:$A,0))</f>
        <v>0</v>
      </c>
      <c r="D408" s="21"/>
    </row>
    <row r="409" spans="1:4" ht="11.25" customHeight="1" x14ac:dyDescent="0.25">
      <c r="A409" s="22" t="s">
        <v>446</v>
      </c>
      <c r="B409" s="20">
        <f ca="1">INDIRECT(ADDRESS(MATCH(A409,Raw!$A:$A,0),2,1,1,"Raw"))</f>
        <v>0</v>
      </c>
      <c r="C409" s="20">
        <f>INDEX(Raw!$C:$C,MATCH(A409,Raw!$A:$A,0))</f>
        <v>0</v>
      </c>
      <c r="D409" s="21"/>
    </row>
    <row r="410" spans="1:4" ht="11.25" customHeight="1" x14ac:dyDescent="0.25">
      <c r="A410" s="22" t="s">
        <v>447</v>
      </c>
      <c r="B410" s="20">
        <f ca="1">INDIRECT(ADDRESS(MATCH(A410,Raw!$A:$A,0),2,1,1,"Raw"))</f>
        <v>0</v>
      </c>
      <c r="C410" s="20">
        <f>INDEX(Raw!$C:$C,MATCH(A410,Raw!$A:$A,0))</f>
        <v>0</v>
      </c>
      <c r="D410" s="21"/>
    </row>
    <row r="411" spans="1:4" ht="11.25" customHeight="1" x14ac:dyDescent="0.25">
      <c r="A411" s="22" t="s">
        <v>448</v>
      </c>
      <c r="B411" s="20">
        <f ca="1">INDIRECT(ADDRESS(MATCH(A411,Raw!$A:$A,0),2,1,1,"Raw"))</f>
        <v>0</v>
      </c>
      <c r="C411" s="20">
        <f>INDEX(Raw!$C:$C,MATCH(A411,Raw!$A:$A,0))</f>
        <v>0</v>
      </c>
      <c r="D411" s="21"/>
    </row>
    <row r="412" spans="1:4" ht="11.25" customHeight="1" x14ac:dyDescent="0.25">
      <c r="A412" s="22" t="s">
        <v>449</v>
      </c>
      <c r="B412" s="20">
        <f ca="1">INDIRECT(ADDRESS(MATCH(A412,Raw!$A:$A,0),2,1,1,"Raw"))</f>
        <v>0</v>
      </c>
      <c r="C412" s="20">
        <f>INDEX(Raw!$C:$C,MATCH(A412,Raw!$A:$A,0))</f>
        <v>0</v>
      </c>
      <c r="D412" s="21"/>
    </row>
    <row r="413" spans="1:4" ht="11.25" customHeight="1" x14ac:dyDescent="0.25">
      <c r="A413" s="22" t="s">
        <v>450</v>
      </c>
      <c r="B413" s="20">
        <f ca="1">INDIRECT(ADDRESS(MATCH(A413,Raw!$A:$A,0),2,1,1,"Raw"))</f>
        <v>0</v>
      </c>
      <c r="C413" s="20">
        <f>INDEX(Raw!$C:$C,MATCH(A413,Raw!$A:$A,0))</f>
        <v>0</v>
      </c>
      <c r="D413" s="21"/>
    </row>
    <row r="414" spans="1:4" ht="11.25" customHeight="1" x14ac:dyDescent="0.25">
      <c r="A414" s="22" t="s">
        <v>451</v>
      </c>
      <c r="B414" s="20">
        <f ca="1">INDIRECT(ADDRESS(MATCH(A414,Raw!$A:$A,0),2,1,1,"Raw"))</f>
        <v>0</v>
      </c>
      <c r="C414" s="20">
        <f>INDEX(Raw!$C:$C,MATCH(A414,Raw!$A:$A,0))</f>
        <v>0</v>
      </c>
      <c r="D414" s="21"/>
    </row>
    <row r="415" spans="1:4" ht="11.25" customHeight="1" x14ac:dyDescent="0.25">
      <c r="A415" s="22" t="s">
        <v>452</v>
      </c>
      <c r="B415" s="20">
        <f ca="1">INDIRECT(ADDRESS(MATCH(A415,Raw!$A:$A,0),2,1,1,"Raw"))</f>
        <v>0</v>
      </c>
      <c r="C415" s="20">
        <f>INDEX(Raw!$C:$C,MATCH(A415,Raw!$A:$A,0))</f>
        <v>0</v>
      </c>
      <c r="D415" s="21"/>
    </row>
    <row r="416" spans="1:4" ht="11.25" customHeight="1" x14ac:dyDescent="0.25">
      <c r="A416" s="22" t="s">
        <v>453</v>
      </c>
      <c r="B416" s="20">
        <f ca="1">INDIRECT(ADDRESS(MATCH(A416,Raw!$A:$A,0),2,1,1,"Raw"))</f>
        <v>0</v>
      </c>
      <c r="C416" s="20">
        <f>INDEX(Raw!$C:$C,MATCH(A416,Raw!$A:$A,0))</f>
        <v>0</v>
      </c>
      <c r="D416" s="21"/>
    </row>
    <row r="417" spans="1:4" ht="11.25" customHeight="1" x14ac:dyDescent="0.25">
      <c r="A417" s="22" t="s">
        <v>454</v>
      </c>
      <c r="B417" s="20">
        <f ca="1">INDIRECT(ADDRESS(MATCH(A417,Raw!$A:$A,0),2,1,1,"Raw"))</f>
        <v>0</v>
      </c>
      <c r="C417" s="20">
        <f>INDEX(Raw!$C:$C,MATCH(A417,Raw!$A:$A,0))</f>
        <v>0</v>
      </c>
      <c r="D417" s="21"/>
    </row>
    <row r="418" spans="1:4" ht="11.25" customHeight="1" x14ac:dyDescent="0.25">
      <c r="A418" s="22" t="s">
        <v>455</v>
      </c>
      <c r="B418" s="20">
        <f ca="1">INDIRECT(ADDRESS(MATCH(A418,Raw!$A:$A,0),2,1,1,"Raw"))</f>
        <v>0</v>
      </c>
      <c r="C418" s="20">
        <f>INDEX(Raw!$C:$C,MATCH(A418,Raw!$A:$A,0))</f>
        <v>0</v>
      </c>
      <c r="D418" s="21"/>
    </row>
    <row r="419" spans="1:4" ht="11.25" customHeight="1" x14ac:dyDescent="0.25">
      <c r="A419" s="22" t="s">
        <v>456</v>
      </c>
      <c r="B419" s="20">
        <f ca="1">INDIRECT(ADDRESS(MATCH(A419,Raw!$A:$A,0),2,1,1,"Raw"))</f>
        <v>0</v>
      </c>
      <c r="C419" s="20">
        <f>INDEX(Raw!$C:$C,MATCH(A419,Raw!$A:$A,0))</f>
        <v>0</v>
      </c>
      <c r="D419" s="21"/>
    </row>
    <row r="420" spans="1:4" ht="11.25" customHeight="1" x14ac:dyDescent="0.25">
      <c r="A420" s="22" t="s">
        <v>457</v>
      </c>
      <c r="B420" s="20">
        <f ca="1">INDIRECT(ADDRESS(MATCH(A420,Raw!$A:$A,0),2,1,1,"Raw"))</f>
        <v>0</v>
      </c>
      <c r="C420" s="20">
        <f>INDEX(Raw!$C:$C,MATCH(A420,Raw!$A:$A,0))</f>
        <v>0</v>
      </c>
      <c r="D420" s="21"/>
    </row>
    <row r="421" spans="1:4" ht="11.25" customHeight="1" x14ac:dyDescent="0.25">
      <c r="A421" s="22" t="s">
        <v>458</v>
      </c>
      <c r="B421" s="20">
        <f ca="1">INDIRECT(ADDRESS(MATCH(A421,Raw!$A:$A,0),2,1,1,"Raw"))</f>
        <v>0</v>
      </c>
      <c r="C421" s="20">
        <f>INDEX(Raw!$C:$C,MATCH(A421,Raw!$A:$A,0))</f>
        <v>0</v>
      </c>
      <c r="D421" s="21"/>
    </row>
    <row r="422" spans="1:4" ht="11.25" customHeight="1" x14ac:dyDescent="0.25">
      <c r="A422" s="22" t="s">
        <v>459</v>
      </c>
      <c r="B422" s="20">
        <f ca="1">INDIRECT(ADDRESS(MATCH(A422,Raw!$A:$A,0),2,1,1,"Raw"))</f>
        <v>0</v>
      </c>
      <c r="C422" s="20">
        <f>INDEX(Raw!$C:$C,MATCH(A422,Raw!$A:$A,0))</f>
        <v>0</v>
      </c>
      <c r="D422" s="21"/>
    </row>
    <row r="423" spans="1:4" ht="11.25" customHeight="1" x14ac:dyDescent="0.25">
      <c r="A423" s="22" t="s">
        <v>460</v>
      </c>
      <c r="B423" s="20">
        <f ca="1">INDIRECT(ADDRESS(MATCH(A423,Raw!$A:$A,0),2,1,1,"Raw"))</f>
        <v>0</v>
      </c>
      <c r="C423" s="20">
        <f>INDEX(Raw!$C:$C,MATCH(A423,Raw!$A:$A,0))</f>
        <v>0</v>
      </c>
      <c r="D423" s="21"/>
    </row>
    <row r="424" spans="1:4" ht="11.25" customHeight="1" x14ac:dyDescent="0.25">
      <c r="A424" s="22" t="s">
        <v>461</v>
      </c>
      <c r="B424" s="20">
        <f ca="1">INDIRECT(ADDRESS(MATCH(A424,Raw!$A:$A,0),2,1,1,"Raw"))</f>
        <v>0</v>
      </c>
      <c r="C424" s="20">
        <f>INDEX(Raw!$C:$C,MATCH(A424,Raw!$A:$A,0))</f>
        <v>0</v>
      </c>
      <c r="D424" s="21"/>
    </row>
    <row r="425" spans="1:4" ht="11.25" customHeight="1" x14ac:dyDescent="0.25">
      <c r="A425" s="22" t="s">
        <v>462</v>
      </c>
      <c r="B425" s="20">
        <f ca="1">INDIRECT(ADDRESS(MATCH(A425,Raw!$A:$A,0),2,1,1,"Raw"))</f>
        <v>0</v>
      </c>
      <c r="C425" s="20">
        <f>INDEX(Raw!$C:$C,MATCH(A425,Raw!$A:$A,0))</f>
        <v>0</v>
      </c>
      <c r="D425" s="21"/>
    </row>
    <row r="426" spans="1:4" ht="11.25" customHeight="1" x14ac:dyDescent="0.25">
      <c r="A426" s="22" t="s">
        <v>463</v>
      </c>
      <c r="B426" s="20">
        <f ca="1">INDIRECT(ADDRESS(MATCH(A426,Raw!$A:$A,0),2,1,1,"Raw"))</f>
        <v>0</v>
      </c>
      <c r="C426" s="20">
        <f>INDEX(Raw!$C:$C,MATCH(A426,Raw!$A:$A,0))</f>
        <v>0</v>
      </c>
      <c r="D426" s="21"/>
    </row>
    <row r="427" spans="1:4" ht="11.25" customHeight="1" x14ac:dyDescent="0.25">
      <c r="A427" s="22" t="s">
        <v>464</v>
      </c>
      <c r="B427" s="20">
        <f ca="1">INDIRECT(ADDRESS(MATCH(A427,Raw!$A:$A,0),2,1,1,"Raw"))</f>
        <v>0</v>
      </c>
      <c r="C427" s="20">
        <f>INDEX(Raw!$C:$C,MATCH(A427,Raw!$A:$A,0))</f>
        <v>0</v>
      </c>
      <c r="D427" s="21"/>
    </row>
    <row r="428" spans="1:4" ht="11.25" customHeight="1" x14ac:dyDescent="0.25">
      <c r="A428" s="22" t="s">
        <v>465</v>
      </c>
      <c r="B428" s="20">
        <f ca="1">INDIRECT(ADDRESS(MATCH(A428,Raw!$A:$A,0),2,1,1,"Raw"))</f>
        <v>0</v>
      </c>
      <c r="C428" s="20">
        <f>INDEX(Raw!$C:$C,MATCH(A428,Raw!$A:$A,0))</f>
        <v>0</v>
      </c>
      <c r="D428" s="21"/>
    </row>
    <row r="429" spans="1:4" ht="11.25" customHeight="1" x14ac:dyDescent="0.25">
      <c r="A429" s="22" t="s">
        <v>466</v>
      </c>
      <c r="B429" s="20">
        <f ca="1">INDIRECT(ADDRESS(MATCH(A429,Raw!$A:$A,0),2,1,1,"Raw"))</f>
        <v>0</v>
      </c>
      <c r="C429" s="20">
        <f>INDEX(Raw!$C:$C,MATCH(A429,Raw!$A:$A,0))</f>
        <v>0</v>
      </c>
      <c r="D429" s="21"/>
    </row>
    <row r="430" spans="1:4" ht="11.25" customHeight="1" x14ac:dyDescent="0.25">
      <c r="A430" s="22" t="s">
        <v>467</v>
      </c>
      <c r="B430" s="20">
        <f ca="1">INDIRECT(ADDRESS(MATCH(A430,Raw!$A:$A,0),2,1,1,"Raw"))</f>
        <v>0</v>
      </c>
      <c r="C430" s="20">
        <f>INDEX(Raw!$C:$C,MATCH(A430,Raw!$A:$A,0))</f>
        <v>0</v>
      </c>
      <c r="D430" s="21"/>
    </row>
    <row r="431" spans="1:4" ht="11.25" customHeight="1" x14ac:dyDescent="0.25">
      <c r="A431" s="22" t="s">
        <v>468</v>
      </c>
      <c r="B431" s="20">
        <f ca="1">INDIRECT(ADDRESS(MATCH(A431,Raw!$A:$A,0),2,1,1,"Raw"))</f>
        <v>0</v>
      </c>
      <c r="C431" s="20">
        <f>INDEX(Raw!$C:$C,MATCH(A431,Raw!$A:$A,0))</f>
        <v>0</v>
      </c>
      <c r="D431" s="21"/>
    </row>
    <row r="432" spans="1:4" ht="11.25" customHeight="1" x14ac:dyDescent="0.25">
      <c r="A432" s="22" t="s">
        <v>469</v>
      </c>
      <c r="B432" s="20">
        <f ca="1">INDIRECT(ADDRESS(MATCH(A432,Raw!$A:$A,0),2,1,1,"Raw"))</f>
        <v>0</v>
      </c>
      <c r="C432" s="20">
        <f>INDEX(Raw!$C:$C,MATCH(A432,Raw!$A:$A,0))</f>
        <v>0</v>
      </c>
      <c r="D432" s="21"/>
    </row>
    <row r="433" spans="1:4" ht="11.25" customHeight="1" x14ac:dyDescent="0.25">
      <c r="A433" s="22" t="s">
        <v>470</v>
      </c>
      <c r="B433" s="20">
        <f ca="1">INDIRECT(ADDRESS(MATCH(A433,Raw!$A:$A,0),2,1,1,"Raw"))</f>
        <v>0</v>
      </c>
      <c r="C433" s="20">
        <f>INDEX(Raw!$C:$C,MATCH(A433,Raw!$A:$A,0))</f>
        <v>0</v>
      </c>
      <c r="D433" s="21"/>
    </row>
    <row r="434" spans="1:4" ht="11.25" customHeight="1" x14ac:dyDescent="0.25">
      <c r="A434" s="22" t="s">
        <v>471</v>
      </c>
      <c r="B434" s="20">
        <f ca="1">INDIRECT(ADDRESS(MATCH(A434,Raw!$A:$A,0),2,1,1,"Raw"))</f>
        <v>0</v>
      </c>
      <c r="C434" s="20">
        <f>INDEX(Raw!$C:$C,MATCH(A434,Raw!$A:$A,0))</f>
        <v>0</v>
      </c>
      <c r="D434" s="21"/>
    </row>
    <row r="435" spans="1:4" ht="11.25" customHeight="1" x14ac:dyDescent="0.25">
      <c r="A435" s="22" t="s">
        <v>472</v>
      </c>
      <c r="B435" s="20">
        <f ca="1">INDIRECT(ADDRESS(MATCH(A435,Raw!$A:$A,0),2,1,1,"Raw"))</f>
        <v>0</v>
      </c>
      <c r="C435" s="20">
        <f>INDEX(Raw!$C:$C,MATCH(A435,Raw!$A:$A,0))</f>
        <v>0</v>
      </c>
      <c r="D435" s="21"/>
    </row>
    <row r="436" spans="1:4" ht="11.25" customHeight="1" x14ac:dyDescent="0.25">
      <c r="A436" s="22" t="s">
        <v>473</v>
      </c>
      <c r="B436" s="20">
        <f ca="1">INDIRECT(ADDRESS(MATCH(A436,Raw!$A:$A,0),2,1,1,"Raw"))</f>
        <v>0</v>
      </c>
      <c r="C436" s="20">
        <f>INDEX(Raw!$C:$C,MATCH(A436,Raw!$A:$A,0))</f>
        <v>0</v>
      </c>
      <c r="D436" s="21"/>
    </row>
    <row r="437" spans="1:4" ht="11.25" customHeight="1" x14ac:dyDescent="0.25">
      <c r="A437" s="22" t="s">
        <v>474</v>
      </c>
      <c r="B437" s="20">
        <f ca="1">INDIRECT(ADDRESS(MATCH(A437,Raw!$A:$A,0),2,1,1,"Raw"))</f>
        <v>0</v>
      </c>
      <c r="C437" s="20">
        <f>INDEX(Raw!$C:$C,MATCH(A437,Raw!$A:$A,0))</f>
        <v>0</v>
      </c>
      <c r="D437" s="21"/>
    </row>
    <row r="438" spans="1:4" ht="11.25" customHeight="1" x14ac:dyDescent="0.25">
      <c r="A438" s="22" t="s">
        <v>475</v>
      </c>
      <c r="B438" s="20">
        <f ca="1">INDIRECT(ADDRESS(MATCH(A438,Raw!$A:$A,0),2,1,1,"Raw"))</f>
        <v>0</v>
      </c>
      <c r="C438" s="20">
        <f>INDEX(Raw!$C:$C,MATCH(A438,Raw!$A:$A,0))</f>
        <v>0</v>
      </c>
      <c r="D438" s="21"/>
    </row>
    <row r="439" spans="1:4" ht="11.25" customHeight="1" x14ac:dyDescent="0.25">
      <c r="A439" s="22" t="s">
        <v>476</v>
      </c>
      <c r="B439" s="20">
        <f ca="1">INDIRECT(ADDRESS(MATCH(A439,Raw!$A:$A,0),2,1,1,"Raw"))</f>
        <v>0</v>
      </c>
      <c r="C439" s="20">
        <f>INDEX(Raw!$C:$C,MATCH(A439,Raw!$A:$A,0))</f>
        <v>0</v>
      </c>
      <c r="D439" s="21"/>
    </row>
    <row r="440" spans="1:4" ht="11.25" customHeight="1" x14ac:dyDescent="0.25">
      <c r="A440" s="22" t="s">
        <v>477</v>
      </c>
      <c r="B440" s="20">
        <f ca="1">INDIRECT(ADDRESS(MATCH(A440,Raw!$A:$A,0),2,1,1,"Raw"))</f>
        <v>0</v>
      </c>
      <c r="C440" s="20">
        <f>INDEX(Raw!$C:$C,MATCH(A440,Raw!$A:$A,0))</f>
        <v>0</v>
      </c>
      <c r="D440" s="21"/>
    </row>
    <row r="441" spans="1:4" ht="11.25" customHeight="1" x14ac:dyDescent="0.25">
      <c r="A441" s="22" t="s">
        <v>478</v>
      </c>
      <c r="B441" s="20">
        <f ca="1">INDIRECT(ADDRESS(MATCH(A441,Raw!$A:$A,0),2,1,1,"Raw"))</f>
        <v>0</v>
      </c>
      <c r="C441" s="20">
        <f>INDEX(Raw!$C:$C,MATCH(A441,Raw!$A:$A,0))</f>
        <v>0</v>
      </c>
      <c r="D441" s="21"/>
    </row>
    <row r="442" spans="1:4" ht="11.25" customHeight="1" x14ac:dyDescent="0.25">
      <c r="A442" s="22" t="s">
        <v>479</v>
      </c>
      <c r="B442" s="20">
        <f ca="1">INDIRECT(ADDRESS(MATCH(A442,Raw!$A:$A,0),2,1,1,"Raw"))</f>
        <v>0</v>
      </c>
      <c r="C442" s="20">
        <f>INDEX(Raw!$C:$C,MATCH(A442,Raw!$A:$A,0))</f>
        <v>0</v>
      </c>
      <c r="D442" s="21"/>
    </row>
    <row r="443" spans="1:4" ht="11.25" customHeight="1" x14ac:dyDescent="0.25">
      <c r="A443" s="22" t="s">
        <v>480</v>
      </c>
      <c r="B443" s="20">
        <f ca="1">INDIRECT(ADDRESS(MATCH(A443,Raw!$A:$A,0),2,1,1,"Raw"))</f>
        <v>0</v>
      </c>
      <c r="C443" s="20">
        <f>INDEX(Raw!$C:$C,MATCH(A443,Raw!$A:$A,0))</f>
        <v>0</v>
      </c>
      <c r="D443" s="21"/>
    </row>
    <row r="444" spans="1:4" ht="11.25" customHeight="1" x14ac:dyDescent="0.25">
      <c r="A444" s="22" t="s">
        <v>481</v>
      </c>
      <c r="B444" s="20">
        <f ca="1">INDIRECT(ADDRESS(MATCH(A444,Raw!$A:$A,0),2,1,1,"Raw"))</f>
        <v>0</v>
      </c>
      <c r="C444" s="20">
        <f>INDEX(Raw!$C:$C,MATCH(A444,Raw!$A:$A,0))</f>
        <v>0</v>
      </c>
      <c r="D444" s="21"/>
    </row>
    <row r="445" spans="1:4" ht="11.25" customHeight="1" x14ac:dyDescent="0.25">
      <c r="A445" s="22" t="s">
        <v>482</v>
      </c>
      <c r="B445" s="20">
        <f ca="1">INDIRECT(ADDRESS(MATCH(A445,Raw!$A:$A,0),2,1,1,"Raw"))</f>
        <v>0</v>
      </c>
      <c r="C445" s="20">
        <f>INDEX(Raw!$C:$C,MATCH(A445,Raw!$A:$A,0))</f>
        <v>0</v>
      </c>
      <c r="D445" s="21"/>
    </row>
    <row r="446" spans="1:4" ht="11.25" customHeight="1" x14ac:dyDescent="0.25">
      <c r="A446" s="22" t="s">
        <v>483</v>
      </c>
      <c r="B446" s="20">
        <f ca="1">INDIRECT(ADDRESS(MATCH(A446,Raw!$A:$A,0),2,1,1,"Raw"))</f>
        <v>0</v>
      </c>
      <c r="C446" s="20">
        <f>INDEX(Raw!$C:$C,MATCH(A446,Raw!$A:$A,0))</f>
        <v>0</v>
      </c>
      <c r="D446" s="21"/>
    </row>
    <row r="447" spans="1:4" ht="11.25" customHeight="1" x14ac:dyDescent="0.25">
      <c r="A447" s="22" t="s">
        <v>484</v>
      </c>
      <c r="B447" s="20">
        <f ca="1">INDIRECT(ADDRESS(MATCH(A447,Raw!$A:$A,0),2,1,1,"Raw"))</f>
        <v>0</v>
      </c>
      <c r="C447" s="20">
        <f>INDEX(Raw!$C:$C,MATCH(A447,Raw!$A:$A,0))</f>
        <v>0</v>
      </c>
      <c r="D447" s="21"/>
    </row>
    <row r="448" spans="1:4" ht="11.25" customHeight="1" x14ac:dyDescent="0.25">
      <c r="A448" s="22" t="s">
        <v>485</v>
      </c>
      <c r="B448" s="20">
        <f ca="1">INDIRECT(ADDRESS(MATCH(A448,Raw!$A:$A,0),2,1,1,"Raw"))</f>
        <v>0</v>
      </c>
      <c r="C448" s="20">
        <f>INDEX(Raw!$C:$C,MATCH(A448,Raw!$A:$A,0))</f>
        <v>0</v>
      </c>
      <c r="D448" s="21"/>
    </row>
    <row r="449" spans="1:4" ht="11.25" customHeight="1" x14ac:dyDescent="0.25">
      <c r="A449" s="22" t="s">
        <v>486</v>
      </c>
      <c r="B449" s="20">
        <f ca="1">INDIRECT(ADDRESS(MATCH(A449,Raw!$A:$A,0),2,1,1,"Raw"))</f>
        <v>0</v>
      </c>
      <c r="C449" s="20">
        <f>INDEX(Raw!$C:$C,MATCH(A449,Raw!$A:$A,0))</f>
        <v>0</v>
      </c>
      <c r="D449" s="21"/>
    </row>
    <row r="450" spans="1:4" ht="11.25" customHeight="1" x14ac:dyDescent="0.25">
      <c r="A450" s="22" t="s">
        <v>487</v>
      </c>
      <c r="B450" s="20">
        <f ca="1">INDIRECT(ADDRESS(MATCH(A450,Raw!$A:$A,0),2,1,1,"Raw"))</f>
        <v>0</v>
      </c>
      <c r="C450" s="20">
        <f>INDEX(Raw!$C:$C,MATCH(A450,Raw!$A:$A,0))</f>
        <v>0</v>
      </c>
      <c r="D450" s="21"/>
    </row>
    <row r="451" spans="1:4" ht="11.25" customHeight="1" x14ac:dyDescent="0.25">
      <c r="A451" s="22" t="s">
        <v>488</v>
      </c>
      <c r="B451" s="20">
        <f ca="1">INDIRECT(ADDRESS(MATCH(A451,Raw!$A:$A,0),2,1,1,"Raw"))</f>
        <v>0</v>
      </c>
      <c r="C451" s="20">
        <f>INDEX(Raw!$C:$C,MATCH(A451,Raw!$A:$A,0))</f>
        <v>0</v>
      </c>
      <c r="D451" s="21"/>
    </row>
    <row r="452" spans="1:4" ht="11.25" customHeight="1" x14ac:dyDescent="0.25">
      <c r="A452" s="22" t="s">
        <v>489</v>
      </c>
      <c r="B452" s="20">
        <f ca="1">INDIRECT(ADDRESS(MATCH(A452,Raw!$A:$A,0),2,1,1,"Raw"))</f>
        <v>0</v>
      </c>
      <c r="C452" s="20">
        <f>INDEX(Raw!$C:$C,MATCH(A452,Raw!$A:$A,0))</f>
        <v>0</v>
      </c>
      <c r="D452" s="21"/>
    </row>
    <row r="453" spans="1:4" ht="11.25" customHeight="1" x14ac:dyDescent="0.25">
      <c r="A453" s="22" t="s">
        <v>490</v>
      </c>
      <c r="B453" s="20">
        <f ca="1">INDIRECT(ADDRESS(MATCH(A453,Raw!$A:$A,0),2,1,1,"Raw"))</f>
        <v>0</v>
      </c>
      <c r="C453" s="20">
        <f>INDEX(Raw!$C:$C,MATCH(A453,Raw!$A:$A,0))</f>
        <v>0</v>
      </c>
      <c r="D453" s="21"/>
    </row>
    <row r="454" spans="1:4" ht="11.25" customHeight="1" x14ac:dyDescent="0.25">
      <c r="A454" s="22" t="s">
        <v>491</v>
      </c>
      <c r="B454" s="20">
        <f ca="1">INDIRECT(ADDRESS(MATCH(A454,Raw!$A:$A,0),2,1,1,"Raw"))</f>
        <v>0</v>
      </c>
      <c r="C454" s="20">
        <f>INDEX(Raw!$C:$C,MATCH(A454,Raw!$A:$A,0))</f>
        <v>0</v>
      </c>
      <c r="D454" s="21"/>
    </row>
    <row r="455" spans="1:4" ht="11.25" customHeight="1" x14ac:dyDescent="0.25">
      <c r="A455" s="22" t="s">
        <v>492</v>
      </c>
      <c r="B455" s="20">
        <f ca="1">INDIRECT(ADDRESS(MATCH(A455,Raw!$A:$A,0),2,1,1,"Raw"))</f>
        <v>0</v>
      </c>
      <c r="C455" s="20">
        <f>INDEX(Raw!$C:$C,MATCH(A455,Raw!$A:$A,0))</f>
        <v>0</v>
      </c>
      <c r="D455" s="21"/>
    </row>
    <row r="456" spans="1:4" ht="11.25" customHeight="1" x14ac:dyDescent="0.25">
      <c r="A456" s="22" t="s">
        <v>493</v>
      </c>
      <c r="B456" s="20">
        <f ca="1">INDIRECT(ADDRESS(MATCH(A456,Raw!$A:$A,0),2,1,1,"Raw"))</f>
        <v>0</v>
      </c>
      <c r="C456" s="20">
        <f>INDEX(Raw!$C:$C,MATCH(A456,Raw!$A:$A,0))</f>
        <v>0</v>
      </c>
      <c r="D456" s="21"/>
    </row>
    <row r="457" spans="1:4" ht="11.25" customHeight="1" x14ac:dyDescent="0.25">
      <c r="A457" s="22" t="s">
        <v>494</v>
      </c>
      <c r="B457" s="20">
        <f ca="1">INDIRECT(ADDRESS(MATCH(A457,Raw!$A:$A,0),2,1,1,"Raw"))</f>
        <v>0</v>
      </c>
      <c r="C457" s="20">
        <f>INDEX(Raw!$C:$C,MATCH(A457,Raw!$A:$A,0))</f>
        <v>0</v>
      </c>
      <c r="D457" s="21"/>
    </row>
    <row r="458" spans="1:4" ht="11.25" customHeight="1" x14ac:dyDescent="0.25">
      <c r="A458" s="22" t="s">
        <v>495</v>
      </c>
      <c r="B458" s="20">
        <f ca="1">INDIRECT(ADDRESS(MATCH(A458,Raw!$A:$A,0),2,1,1,"Raw"))</f>
        <v>0</v>
      </c>
      <c r="C458" s="20">
        <f>INDEX(Raw!$C:$C,MATCH(A458,Raw!$A:$A,0))</f>
        <v>0</v>
      </c>
      <c r="D458" s="21"/>
    </row>
    <row r="459" spans="1:4" ht="11.25" customHeight="1" x14ac:dyDescent="0.25">
      <c r="A459" s="22" t="s">
        <v>496</v>
      </c>
      <c r="B459" s="20">
        <f ca="1">INDIRECT(ADDRESS(MATCH(A459,Raw!$A:$A,0),2,1,1,"Raw"))</f>
        <v>0</v>
      </c>
      <c r="C459" s="20">
        <f>INDEX(Raw!$C:$C,MATCH(A459,Raw!$A:$A,0))</f>
        <v>0</v>
      </c>
      <c r="D459" s="21"/>
    </row>
    <row r="460" spans="1:4" ht="11.25" customHeight="1" x14ac:dyDescent="0.25">
      <c r="A460" s="22" t="s">
        <v>497</v>
      </c>
      <c r="B460" s="20">
        <f ca="1">INDIRECT(ADDRESS(MATCH(A460,Raw!$A:$A,0),2,1,1,"Raw"))</f>
        <v>0</v>
      </c>
      <c r="C460" s="20">
        <f>INDEX(Raw!$C:$C,MATCH(A460,Raw!$A:$A,0))</f>
        <v>0</v>
      </c>
      <c r="D460" s="21"/>
    </row>
    <row r="461" spans="1:4" ht="11.25" customHeight="1" x14ac:dyDescent="0.25">
      <c r="A461" s="22" t="s">
        <v>498</v>
      </c>
      <c r="B461" s="20">
        <f ca="1">INDIRECT(ADDRESS(MATCH(A461,Raw!$A:$A,0),2,1,1,"Raw"))</f>
        <v>0</v>
      </c>
      <c r="C461" s="20">
        <f>INDEX(Raw!$C:$C,MATCH(A461,Raw!$A:$A,0))</f>
        <v>0</v>
      </c>
      <c r="D461" s="21"/>
    </row>
    <row r="462" spans="1:4" ht="11.25" customHeight="1" x14ac:dyDescent="0.25">
      <c r="A462" s="22" t="s">
        <v>499</v>
      </c>
      <c r="B462" s="20">
        <f ca="1">INDIRECT(ADDRESS(MATCH(A462,Raw!$A:$A,0),2,1,1,"Raw"))</f>
        <v>0</v>
      </c>
      <c r="C462" s="20">
        <f>INDEX(Raw!$C:$C,MATCH(A462,Raw!$A:$A,0))</f>
        <v>0</v>
      </c>
      <c r="D462" s="21"/>
    </row>
    <row r="463" spans="1:4" ht="11.25" customHeight="1" x14ac:dyDescent="0.25">
      <c r="A463" s="22" t="s">
        <v>500</v>
      </c>
      <c r="B463" s="20">
        <f ca="1">INDIRECT(ADDRESS(MATCH(A463,Raw!$A:$A,0),2,1,1,"Raw"))</f>
        <v>0</v>
      </c>
      <c r="C463" s="20">
        <f>INDEX(Raw!$C:$C,MATCH(A463,Raw!$A:$A,0))</f>
        <v>0</v>
      </c>
      <c r="D463" s="21"/>
    </row>
    <row r="464" spans="1:4" ht="11.25" customHeight="1" x14ac:dyDescent="0.25">
      <c r="A464" s="22" t="s">
        <v>501</v>
      </c>
      <c r="B464" s="20">
        <f ca="1">INDIRECT(ADDRESS(MATCH(A464,Raw!$A:$A,0),2,1,1,"Raw"))</f>
        <v>0</v>
      </c>
      <c r="C464" s="20">
        <f>INDEX(Raw!$C:$C,MATCH(A464,Raw!$A:$A,0))</f>
        <v>0</v>
      </c>
      <c r="D464" s="21"/>
    </row>
    <row r="465" spans="1:4" ht="11.25" customHeight="1" x14ac:dyDescent="0.25">
      <c r="A465" s="22" t="s">
        <v>502</v>
      </c>
      <c r="B465" s="20">
        <f ca="1">INDIRECT(ADDRESS(MATCH(A465,Raw!$A:$A,0),2,1,1,"Raw"))</f>
        <v>0</v>
      </c>
      <c r="C465" s="20">
        <f>INDEX(Raw!$C:$C,MATCH(A465,Raw!$A:$A,0))</f>
        <v>0</v>
      </c>
      <c r="D465" s="21"/>
    </row>
    <row r="466" spans="1:4" ht="11.25" customHeight="1" x14ac:dyDescent="0.25">
      <c r="A466" s="22" t="s">
        <v>503</v>
      </c>
      <c r="B466" s="20">
        <f ca="1">INDIRECT(ADDRESS(MATCH(A466,Raw!$A:$A,0),2,1,1,"Raw"))</f>
        <v>0</v>
      </c>
      <c r="C466" s="20">
        <f>INDEX(Raw!$C:$C,MATCH(A466,Raw!$A:$A,0))</f>
        <v>0</v>
      </c>
      <c r="D466" s="21"/>
    </row>
    <row r="467" spans="1:4" ht="11.25" customHeight="1" x14ac:dyDescent="0.25">
      <c r="A467" s="22" t="s">
        <v>504</v>
      </c>
      <c r="B467" s="20">
        <f ca="1">INDIRECT(ADDRESS(MATCH(A467,Raw!$A:$A,0),2,1,1,"Raw"))</f>
        <v>0</v>
      </c>
      <c r="C467" s="20">
        <f>INDEX(Raw!$C:$C,MATCH(A467,Raw!$A:$A,0))</f>
        <v>0</v>
      </c>
      <c r="D467" s="21"/>
    </row>
    <row r="468" spans="1:4" ht="11.25" customHeight="1" x14ac:dyDescent="0.25">
      <c r="A468" s="22" t="s">
        <v>505</v>
      </c>
      <c r="B468" s="20">
        <f ca="1">INDIRECT(ADDRESS(MATCH(A468,Raw!$A:$A,0),2,1,1,"Raw"))</f>
        <v>0</v>
      </c>
      <c r="C468" s="20">
        <f>INDEX(Raw!$C:$C,MATCH(A468,Raw!$A:$A,0))</f>
        <v>0</v>
      </c>
      <c r="D468" s="21"/>
    </row>
    <row r="469" spans="1:4" ht="11.25" customHeight="1" x14ac:dyDescent="0.25">
      <c r="A469" s="22" t="s">
        <v>506</v>
      </c>
      <c r="B469" s="20">
        <f ca="1">INDIRECT(ADDRESS(MATCH(A469,Raw!$A:$A,0),2,1,1,"Raw"))</f>
        <v>0</v>
      </c>
      <c r="C469" s="20">
        <f>INDEX(Raw!$C:$C,MATCH(A469,Raw!$A:$A,0))</f>
        <v>0</v>
      </c>
      <c r="D469" s="21"/>
    </row>
    <row r="470" spans="1:4" ht="11.25" customHeight="1" x14ac:dyDescent="0.25">
      <c r="A470" s="22" t="s">
        <v>507</v>
      </c>
      <c r="B470" s="20">
        <f ca="1">INDIRECT(ADDRESS(MATCH(A470,Raw!$A:$A,0),2,1,1,"Raw"))</f>
        <v>0</v>
      </c>
      <c r="C470" s="20">
        <f>INDEX(Raw!$C:$C,MATCH(A470,Raw!$A:$A,0))</f>
        <v>0</v>
      </c>
      <c r="D470" s="21"/>
    </row>
    <row r="471" spans="1:4" ht="11.25" customHeight="1" x14ac:dyDescent="0.25">
      <c r="A471" s="22" t="s">
        <v>508</v>
      </c>
      <c r="B471" s="20">
        <f ca="1">INDIRECT(ADDRESS(MATCH(A471,Raw!$A:$A,0),2,1,1,"Raw"))</f>
        <v>0</v>
      </c>
      <c r="C471" s="20">
        <f>INDEX(Raw!$C:$C,MATCH(A471,Raw!$A:$A,0))</f>
        <v>0</v>
      </c>
      <c r="D471" s="21"/>
    </row>
    <row r="472" spans="1:4" ht="11.25" customHeight="1" x14ac:dyDescent="0.25">
      <c r="A472" s="22" t="s">
        <v>509</v>
      </c>
      <c r="B472" s="20">
        <f ca="1">INDIRECT(ADDRESS(MATCH(A472,Raw!$A:$A,0),2,1,1,"Raw"))</f>
        <v>0</v>
      </c>
      <c r="C472" s="20">
        <f>INDEX(Raw!$C:$C,MATCH(A472,Raw!$A:$A,0))</f>
        <v>0</v>
      </c>
      <c r="D472" s="21"/>
    </row>
    <row r="473" spans="1:4" ht="11.25" customHeight="1" x14ac:dyDescent="0.25">
      <c r="A473" s="22" t="s">
        <v>510</v>
      </c>
      <c r="B473" s="20">
        <f ca="1">INDIRECT(ADDRESS(MATCH(A473,Raw!$A:$A,0),2,1,1,"Raw"))</f>
        <v>0</v>
      </c>
      <c r="C473" s="20">
        <f>INDEX(Raw!$C:$C,MATCH(A473,Raw!$A:$A,0))</f>
        <v>0</v>
      </c>
      <c r="D473" s="21"/>
    </row>
    <row r="474" spans="1:4" ht="11.25" customHeight="1" x14ac:dyDescent="0.25">
      <c r="A474" s="22" t="s">
        <v>511</v>
      </c>
      <c r="B474" s="20">
        <f ca="1">INDIRECT(ADDRESS(MATCH(A474,Raw!$A:$A,0),2,1,1,"Raw"))</f>
        <v>0</v>
      </c>
      <c r="C474" s="20">
        <f>INDEX(Raw!$C:$C,MATCH(A474,Raw!$A:$A,0))</f>
        <v>0</v>
      </c>
      <c r="D474" s="21"/>
    </row>
    <row r="475" spans="1:4" ht="11.25" customHeight="1" x14ac:dyDescent="0.25">
      <c r="A475" s="22" t="s">
        <v>512</v>
      </c>
      <c r="B475" s="20">
        <f ca="1">INDIRECT(ADDRESS(MATCH(A475,Raw!$A:$A,0),2,1,1,"Raw"))</f>
        <v>0</v>
      </c>
      <c r="C475" s="20">
        <f>INDEX(Raw!$C:$C,MATCH(A475,Raw!$A:$A,0))</f>
        <v>0</v>
      </c>
      <c r="D475" s="21"/>
    </row>
    <row r="476" spans="1:4" ht="11.25" customHeight="1" x14ac:dyDescent="0.25">
      <c r="A476" s="22" t="s">
        <v>513</v>
      </c>
      <c r="B476" s="20">
        <f ca="1">INDIRECT(ADDRESS(MATCH(A476,Raw!$A:$A,0),2,1,1,"Raw"))</f>
        <v>0</v>
      </c>
      <c r="C476" s="20">
        <f>INDEX(Raw!$C:$C,MATCH(A476,Raw!$A:$A,0))</f>
        <v>0</v>
      </c>
      <c r="D476" s="21"/>
    </row>
    <row r="477" spans="1:4" ht="11.25" customHeight="1" x14ac:dyDescent="0.25">
      <c r="A477" s="22" t="s">
        <v>514</v>
      </c>
      <c r="B477" s="20">
        <f ca="1">INDIRECT(ADDRESS(MATCH(A477,Raw!$A:$A,0),2,1,1,"Raw"))</f>
        <v>0</v>
      </c>
      <c r="C477" s="20">
        <f>INDEX(Raw!$C:$C,MATCH(A477,Raw!$A:$A,0))</f>
        <v>0</v>
      </c>
      <c r="D477" s="21"/>
    </row>
    <row r="478" spans="1:4" ht="11.25" customHeight="1" x14ac:dyDescent="0.25">
      <c r="A478" s="22" t="s">
        <v>515</v>
      </c>
      <c r="B478" s="20">
        <f ca="1">INDIRECT(ADDRESS(MATCH(A478,Raw!$A:$A,0),2,1,1,"Raw"))</f>
        <v>0</v>
      </c>
      <c r="C478" s="20">
        <f>INDEX(Raw!$C:$C,MATCH(A478,Raw!$A:$A,0))</f>
        <v>0</v>
      </c>
      <c r="D478" s="21"/>
    </row>
    <row r="479" spans="1:4" ht="11.25" customHeight="1" x14ac:dyDescent="0.25">
      <c r="A479" s="22" t="s">
        <v>516</v>
      </c>
      <c r="B479" s="20">
        <f ca="1">INDIRECT(ADDRESS(MATCH(A479,Raw!$A:$A,0),2,1,1,"Raw"))</f>
        <v>0</v>
      </c>
      <c r="C479" s="20">
        <f>INDEX(Raw!$C:$C,MATCH(A479,Raw!$A:$A,0))</f>
        <v>0</v>
      </c>
      <c r="D479" s="21"/>
    </row>
    <row r="480" spans="1:4" ht="11.25" customHeight="1" x14ac:dyDescent="0.25">
      <c r="A480" s="22" t="s">
        <v>517</v>
      </c>
      <c r="B480" s="20">
        <f ca="1">INDIRECT(ADDRESS(MATCH(A480,Raw!$A:$A,0),2,1,1,"Raw"))</f>
        <v>0</v>
      </c>
      <c r="C480" s="20">
        <f>INDEX(Raw!$C:$C,MATCH(A480,Raw!$A:$A,0))</f>
        <v>0</v>
      </c>
      <c r="D480" s="21"/>
    </row>
    <row r="481" spans="1:4" ht="11.25" customHeight="1" x14ac:dyDescent="0.25">
      <c r="A481" s="22" t="s">
        <v>518</v>
      </c>
      <c r="B481" s="20">
        <f ca="1">INDIRECT(ADDRESS(MATCH(A481,Raw!$A:$A,0),2,1,1,"Raw"))</f>
        <v>0</v>
      </c>
      <c r="C481" s="20">
        <f>INDEX(Raw!$C:$C,MATCH(A481,Raw!$A:$A,0))</f>
        <v>0</v>
      </c>
      <c r="D481" s="21"/>
    </row>
    <row r="482" spans="1:4" ht="11.25" customHeight="1" x14ac:dyDescent="0.25">
      <c r="A482" s="22" t="s">
        <v>519</v>
      </c>
      <c r="B482" s="20">
        <f ca="1">INDIRECT(ADDRESS(MATCH(A482,Raw!$A:$A,0),2,1,1,"Raw"))</f>
        <v>0</v>
      </c>
      <c r="C482" s="20">
        <f>INDEX(Raw!$C:$C,MATCH(A482,Raw!$A:$A,0))</f>
        <v>0</v>
      </c>
      <c r="D482" s="21"/>
    </row>
    <row r="483" spans="1:4" ht="11.25" customHeight="1" x14ac:dyDescent="0.25">
      <c r="A483" s="22" t="s">
        <v>520</v>
      </c>
      <c r="B483" s="20">
        <f ca="1">INDIRECT(ADDRESS(MATCH(A483,Raw!$A:$A,0),2,1,1,"Raw"))</f>
        <v>0</v>
      </c>
      <c r="C483" s="20">
        <f>INDEX(Raw!$C:$C,MATCH(A483,Raw!$A:$A,0))</f>
        <v>0</v>
      </c>
      <c r="D483" s="21"/>
    </row>
    <row r="484" spans="1:4" ht="11.25" customHeight="1" x14ac:dyDescent="0.25">
      <c r="A484" s="22" t="s">
        <v>521</v>
      </c>
      <c r="B484" s="20">
        <f ca="1">INDIRECT(ADDRESS(MATCH(A484,Raw!$A:$A,0),2,1,1,"Raw"))</f>
        <v>0</v>
      </c>
      <c r="C484" s="20">
        <f>INDEX(Raw!$C:$C,MATCH(A484,Raw!$A:$A,0))</f>
        <v>0</v>
      </c>
      <c r="D484" s="21"/>
    </row>
    <row r="485" spans="1:4" ht="11.25" customHeight="1" x14ac:dyDescent="0.25">
      <c r="A485" s="22" t="s">
        <v>522</v>
      </c>
      <c r="B485" s="20">
        <f ca="1">INDIRECT(ADDRESS(MATCH(A485,Raw!$A:$A,0),2,1,1,"Raw"))</f>
        <v>0</v>
      </c>
      <c r="C485" s="20">
        <f>INDEX(Raw!$C:$C,MATCH(A485,Raw!$A:$A,0))</f>
        <v>0</v>
      </c>
      <c r="D485" s="21"/>
    </row>
    <row r="486" spans="1:4" ht="11.25" customHeight="1" x14ac:dyDescent="0.25">
      <c r="A486" s="22" t="s">
        <v>523</v>
      </c>
      <c r="B486" s="20">
        <f ca="1">INDIRECT(ADDRESS(MATCH(A486,Raw!$A:$A,0),2,1,1,"Raw"))</f>
        <v>0</v>
      </c>
      <c r="C486" s="20">
        <f>INDEX(Raw!$C:$C,MATCH(A486,Raw!$A:$A,0))</f>
        <v>0</v>
      </c>
      <c r="D486" s="21"/>
    </row>
    <row r="487" spans="1:4" ht="11.25" customHeight="1" x14ac:dyDescent="0.25">
      <c r="A487" s="22" t="s">
        <v>524</v>
      </c>
      <c r="B487" s="20">
        <f ca="1">INDIRECT(ADDRESS(MATCH(A487,Raw!$A:$A,0),2,1,1,"Raw"))</f>
        <v>0</v>
      </c>
      <c r="C487" s="20">
        <f>INDEX(Raw!$C:$C,MATCH(A487,Raw!$A:$A,0))</f>
        <v>0</v>
      </c>
      <c r="D487" s="21"/>
    </row>
    <row r="488" spans="1:4" ht="11.25" customHeight="1" x14ac:dyDescent="0.25">
      <c r="A488" s="22" t="s">
        <v>525</v>
      </c>
      <c r="B488" s="20">
        <f ca="1">INDIRECT(ADDRESS(MATCH(A488,Raw!$A:$A,0),2,1,1,"Raw"))</f>
        <v>0</v>
      </c>
      <c r="C488" s="20">
        <f>INDEX(Raw!$C:$C,MATCH(A488,Raw!$A:$A,0))</f>
        <v>0</v>
      </c>
      <c r="D488" s="21"/>
    </row>
    <row r="489" spans="1:4" ht="11.25" customHeight="1" x14ac:dyDescent="0.25">
      <c r="A489" s="22" t="s">
        <v>526</v>
      </c>
      <c r="B489" s="20">
        <f ca="1">INDIRECT(ADDRESS(MATCH(A489,Raw!$A:$A,0),2,1,1,"Raw"))</f>
        <v>0</v>
      </c>
      <c r="C489" s="20">
        <f>INDEX(Raw!$C:$C,MATCH(A489,Raw!$A:$A,0))</f>
        <v>0</v>
      </c>
      <c r="D489" s="21"/>
    </row>
    <row r="490" spans="1:4" ht="11.25" customHeight="1" x14ac:dyDescent="0.25">
      <c r="A490" s="22" t="s">
        <v>527</v>
      </c>
      <c r="B490" s="20">
        <f ca="1">INDIRECT(ADDRESS(MATCH(A490,Raw!$A:$A,0),2,1,1,"Raw"))</f>
        <v>0</v>
      </c>
      <c r="C490" s="20">
        <f>INDEX(Raw!$C:$C,MATCH(A490,Raw!$A:$A,0))</f>
        <v>0</v>
      </c>
      <c r="D490" s="21"/>
    </row>
    <row r="491" spans="1:4" ht="11.25" customHeight="1" x14ac:dyDescent="0.25">
      <c r="A491" s="22" t="s">
        <v>528</v>
      </c>
      <c r="B491" s="20">
        <f ca="1">INDIRECT(ADDRESS(MATCH(A491,Raw!$A:$A,0),2,1,1,"Raw"))</f>
        <v>0</v>
      </c>
      <c r="C491" s="20">
        <f>INDEX(Raw!$C:$C,MATCH(A491,Raw!$A:$A,0))</f>
        <v>0</v>
      </c>
      <c r="D491" s="21"/>
    </row>
    <row r="492" spans="1:4" ht="11.25" customHeight="1" x14ac:dyDescent="0.25">
      <c r="A492" s="22" t="s">
        <v>529</v>
      </c>
      <c r="B492" s="20">
        <f ca="1">INDIRECT(ADDRESS(MATCH(A492,Raw!$A:$A,0),2,1,1,"Raw"))</f>
        <v>0</v>
      </c>
      <c r="C492" s="20">
        <f>INDEX(Raw!$C:$C,MATCH(A492,Raw!$A:$A,0))</f>
        <v>0</v>
      </c>
      <c r="D492" s="21"/>
    </row>
    <row r="493" spans="1:4" ht="11.25" customHeight="1" x14ac:dyDescent="0.25">
      <c r="A493" s="22" t="s">
        <v>530</v>
      </c>
      <c r="B493" s="20">
        <f ca="1">INDIRECT(ADDRESS(MATCH(A493,Raw!$A:$A,0),2,1,1,"Raw"))</f>
        <v>0</v>
      </c>
      <c r="C493" s="20">
        <f>INDEX(Raw!$C:$C,MATCH(A493,Raw!$A:$A,0))</f>
        <v>0</v>
      </c>
      <c r="D493" s="21"/>
    </row>
    <row r="494" spans="1:4" ht="11.25" customHeight="1" x14ac:dyDescent="0.25">
      <c r="A494" s="22" t="s">
        <v>531</v>
      </c>
      <c r="B494" s="20">
        <f ca="1">INDIRECT(ADDRESS(MATCH(A494,Raw!$A:$A,0),2,1,1,"Raw"))</f>
        <v>0</v>
      </c>
      <c r="C494" s="20">
        <f>INDEX(Raw!$C:$C,MATCH(A494,Raw!$A:$A,0))</f>
        <v>0</v>
      </c>
      <c r="D494" s="21"/>
    </row>
    <row r="495" spans="1:4" ht="11.25" customHeight="1" x14ac:dyDescent="0.25">
      <c r="A495" s="22" t="s">
        <v>532</v>
      </c>
      <c r="B495" s="20">
        <f ca="1">INDIRECT(ADDRESS(MATCH(A495,Raw!$A:$A,0),2,1,1,"Raw"))</f>
        <v>0</v>
      </c>
      <c r="C495" s="20">
        <f>INDEX(Raw!$C:$C,MATCH(A495,Raw!$A:$A,0))</f>
        <v>0</v>
      </c>
      <c r="D495" s="21"/>
    </row>
    <row r="496" spans="1:4" ht="11.25" customHeight="1" x14ac:dyDescent="0.25">
      <c r="A496" s="22" t="s">
        <v>533</v>
      </c>
      <c r="B496" s="20">
        <f ca="1">INDIRECT(ADDRESS(MATCH(A496,Raw!$A:$A,0),2,1,1,"Raw"))</f>
        <v>0</v>
      </c>
      <c r="C496" s="20">
        <f>INDEX(Raw!$C:$C,MATCH(A496,Raw!$A:$A,0))</f>
        <v>0</v>
      </c>
      <c r="D496" s="21"/>
    </row>
    <row r="497" spans="1:4" ht="11.25" customHeight="1" x14ac:dyDescent="0.25">
      <c r="A497" s="22" t="s">
        <v>534</v>
      </c>
      <c r="B497" s="20">
        <f ca="1">INDIRECT(ADDRESS(MATCH(A497,Raw!$A:$A,0),2,1,1,"Raw"))</f>
        <v>0</v>
      </c>
      <c r="C497" s="20">
        <f>INDEX(Raw!$C:$C,MATCH(A497,Raw!$A:$A,0))</f>
        <v>0</v>
      </c>
      <c r="D497" s="21"/>
    </row>
    <row r="498" spans="1:4" ht="11.25" customHeight="1" x14ac:dyDescent="0.25">
      <c r="A498" s="22" t="s">
        <v>535</v>
      </c>
      <c r="B498" s="20">
        <f ca="1">INDIRECT(ADDRESS(MATCH(A498,Raw!$A:$A,0),2,1,1,"Raw"))</f>
        <v>0</v>
      </c>
      <c r="C498" s="20">
        <f>INDEX(Raw!$C:$C,MATCH(A498,Raw!$A:$A,0))</f>
        <v>0</v>
      </c>
      <c r="D498" s="21"/>
    </row>
    <row r="499" spans="1:4" ht="11.25" customHeight="1" x14ac:dyDescent="0.25">
      <c r="A499" s="22" t="s">
        <v>536</v>
      </c>
      <c r="B499" s="20">
        <f ca="1">INDIRECT(ADDRESS(MATCH(A499,Raw!$A:$A,0),2,1,1,"Raw"))</f>
        <v>0</v>
      </c>
      <c r="C499" s="20">
        <f>INDEX(Raw!$C:$C,MATCH(A499,Raw!$A:$A,0))</f>
        <v>0</v>
      </c>
      <c r="D499" s="21"/>
    </row>
    <row r="500" spans="1:4" ht="11.25" customHeight="1" x14ac:dyDescent="0.25">
      <c r="A500" s="22" t="s">
        <v>537</v>
      </c>
      <c r="B500" s="20">
        <f ca="1">INDIRECT(ADDRESS(MATCH(A500,Raw!$A:$A,0),2,1,1,"Raw"))</f>
        <v>0</v>
      </c>
      <c r="C500" s="20">
        <f>INDEX(Raw!$C:$C,MATCH(A500,Raw!$A:$A,0))</f>
        <v>0</v>
      </c>
      <c r="D500" s="21"/>
    </row>
    <row r="501" spans="1:4" ht="11.25" customHeight="1" x14ac:dyDescent="0.25">
      <c r="A501" s="22" t="s">
        <v>538</v>
      </c>
      <c r="B501" s="20">
        <f ca="1">INDIRECT(ADDRESS(MATCH(A501,Raw!$A:$A,0),2,1,1,"Raw"))</f>
        <v>0</v>
      </c>
      <c r="C501" s="20">
        <f>INDEX(Raw!$C:$C,MATCH(A501,Raw!$A:$A,0))</f>
        <v>0</v>
      </c>
      <c r="D501" s="21"/>
    </row>
    <row r="502" spans="1:4" ht="11.25" customHeight="1" x14ac:dyDescent="0.25">
      <c r="A502" s="22" t="s">
        <v>539</v>
      </c>
      <c r="B502" s="20">
        <f ca="1">INDIRECT(ADDRESS(MATCH(A502,Raw!$A:$A,0),2,1,1,"Raw"))</f>
        <v>0</v>
      </c>
      <c r="C502" s="20">
        <f>INDEX(Raw!$C:$C,MATCH(A502,Raw!$A:$A,0))</f>
        <v>0</v>
      </c>
      <c r="D502" s="21"/>
    </row>
    <row r="503" spans="1:4" ht="11.25" customHeight="1" x14ac:dyDescent="0.25">
      <c r="A503" s="22" t="s">
        <v>540</v>
      </c>
      <c r="B503" s="20">
        <f ca="1">INDIRECT(ADDRESS(MATCH(A503,Raw!$A:$A,0),2,1,1,"Raw"))</f>
        <v>0</v>
      </c>
      <c r="C503" s="20">
        <f>INDEX(Raw!$C:$C,MATCH(A503,Raw!$A:$A,0))</f>
        <v>0</v>
      </c>
      <c r="D503" s="21"/>
    </row>
    <row r="504" spans="1:4" ht="11.25" customHeight="1" x14ac:dyDescent="0.25">
      <c r="A504" s="22" t="s">
        <v>541</v>
      </c>
      <c r="B504" s="20">
        <f ca="1">INDIRECT(ADDRESS(MATCH(A504,Raw!$A:$A,0),2,1,1,"Raw"))</f>
        <v>0</v>
      </c>
      <c r="C504" s="20">
        <f>INDEX(Raw!$C:$C,MATCH(A504,Raw!$A:$A,0))</f>
        <v>0</v>
      </c>
      <c r="D504" s="21"/>
    </row>
    <row r="505" spans="1:4" ht="11.25" customHeight="1" x14ac:dyDescent="0.25">
      <c r="A505" s="22" t="s">
        <v>542</v>
      </c>
      <c r="B505" s="20">
        <f ca="1">INDIRECT(ADDRESS(MATCH(A505,Raw!$A:$A,0),2,1,1,"Raw"))</f>
        <v>0</v>
      </c>
      <c r="C505" s="20">
        <f>INDEX(Raw!$C:$C,MATCH(A505,Raw!$A:$A,0))</f>
        <v>0</v>
      </c>
      <c r="D505" s="21"/>
    </row>
    <row r="506" spans="1:4" ht="11.25" customHeight="1" x14ac:dyDescent="0.25">
      <c r="A506" s="22" t="s">
        <v>543</v>
      </c>
      <c r="B506" s="20">
        <f ca="1">INDIRECT(ADDRESS(MATCH(A506,Raw!$A:$A,0),2,1,1,"Raw"))</f>
        <v>0</v>
      </c>
      <c r="C506" s="20">
        <f>INDEX(Raw!$C:$C,MATCH(A506,Raw!$A:$A,0))</f>
        <v>0</v>
      </c>
      <c r="D506" s="21"/>
    </row>
    <row r="507" spans="1:4" ht="11.25" customHeight="1" x14ac:dyDescent="0.25">
      <c r="A507" s="22" t="s">
        <v>544</v>
      </c>
      <c r="B507" s="20">
        <f ca="1">INDIRECT(ADDRESS(MATCH(A507,Raw!$A:$A,0),2,1,1,"Raw"))</f>
        <v>0</v>
      </c>
      <c r="C507" s="20">
        <f>INDEX(Raw!$C:$C,MATCH(A507,Raw!$A:$A,0))</f>
        <v>0</v>
      </c>
      <c r="D507" s="21"/>
    </row>
    <row r="508" spans="1:4" ht="11.25" customHeight="1" x14ac:dyDescent="0.25">
      <c r="A508" s="22" t="s">
        <v>545</v>
      </c>
      <c r="B508" s="20">
        <f ca="1">INDIRECT(ADDRESS(MATCH(A508,Raw!$A:$A,0),2,1,1,"Raw"))</f>
        <v>0</v>
      </c>
      <c r="C508" s="20">
        <f>INDEX(Raw!$C:$C,MATCH(A508,Raw!$A:$A,0))</f>
        <v>0</v>
      </c>
      <c r="D508" s="21"/>
    </row>
    <row r="509" spans="1:4" ht="11.25" customHeight="1" x14ac:dyDescent="0.25">
      <c r="A509" s="22" t="s">
        <v>546</v>
      </c>
      <c r="B509" s="20">
        <f ca="1">INDIRECT(ADDRESS(MATCH(A509,Raw!$A:$A,0),2,1,1,"Raw"))</f>
        <v>0</v>
      </c>
      <c r="C509" s="20">
        <f>INDEX(Raw!$C:$C,MATCH(A509,Raw!$A:$A,0))</f>
        <v>0</v>
      </c>
      <c r="D509" s="21"/>
    </row>
    <row r="510" spans="1:4" ht="11.25" customHeight="1" x14ac:dyDescent="0.25">
      <c r="A510" s="22" t="s">
        <v>547</v>
      </c>
      <c r="B510" s="20">
        <f ca="1">INDIRECT(ADDRESS(MATCH(A510,Raw!$A:$A,0),2,1,1,"Raw"))</f>
        <v>0</v>
      </c>
      <c r="C510" s="20">
        <f>INDEX(Raw!$C:$C,MATCH(A510,Raw!$A:$A,0))</f>
        <v>0</v>
      </c>
      <c r="D510" s="21"/>
    </row>
    <row r="511" spans="1:4" ht="11.25" customHeight="1" x14ac:dyDescent="0.25">
      <c r="A511" s="22" t="s">
        <v>548</v>
      </c>
      <c r="B511" s="20">
        <f ca="1">INDIRECT(ADDRESS(MATCH(A511,Raw!$A:$A,0),2,1,1,"Raw"))</f>
        <v>0</v>
      </c>
      <c r="C511" s="20">
        <f>INDEX(Raw!$C:$C,MATCH(A511,Raw!$A:$A,0))</f>
        <v>0</v>
      </c>
      <c r="D511" s="21"/>
    </row>
    <row r="512" spans="1:4" ht="11.25" customHeight="1" x14ac:dyDescent="0.25">
      <c r="A512" s="22" t="s">
        <v>549</v>
      </c>
      <c r="B512" s="20">
        <f ca="1">INDIRECT(ADDRESS(MATCH(A512,Raw!$A:$A,0),2,1,1,"Raw"))</f>
        <v>0</v>
      </c>
      <c r="C512" s="20">
        <f>INDEX(Raw!$C:$C,MATCH(A512,Raw!$A:$A,0))</f>
        <v>0</v>
      </c>
      <c r="D512" s="21"/>
    </row>
    <row r="513" spans="1:4" ht="11.25" customHeight="1" x14ac:dyDescent="0.25">
      <c r="A513" s="22" t="s">
        <v>550</v>
      </c>
      <c r="B513" s="20">
        <f ca="1">INDIRECT(ADDRESS(MATCH(A513,Raw!$A:$A,0),2,1,1,"Raw"))</f>
        <v>0</v>
      </c>
      <c r="C513" s="20">
        <f>INDEX(Raw!$C:$C,MATCH(A513,Raw!$A:$A,0))</f>
        <v>0</v>
      </c>
      <c r="D513" s="21"/>
    </row>
    <row r="514" spans="1:4" ht="11.25" customHeight="1" x14ac:dyDescent="0.25">
      <c r="A514" s="22" t="s">
        <v>551</v>
      </c>
      <c r="B514" s="20">
        <f ca="1">INDIRECT(ADDRESS(MATCH(A514,Raw!$A:$A,0),2,1,1,"Raw"))</f>
        <v>0</v>
      </c>
      <c r="C514" s="20">
        <f>INDEX(Raw!$C:$C,MATCH(A514,Raw!$A:$A,0))</f>
        <v>0</v>
      </c>
      <c r="D514" s="21"/>
    </row>
    <row r="515" spans="1:4" ht="11.25" customHeight="1" x14ac:dyDescent="0.25">
      <c r="A515" s="22" t="s">
        <v>552</v>
      </c>
      <c r="B515" s="20">
        <f ca="1">INDIRECT(ADDRESS(MATCH(A515,Raw!$A:$A,0),2,1,1,"Raw"))</f>
        <v>0</v>
      </c>
      <c r="C515" s="20">
        <f>INDEX(Raw!$C:$C,MATCH(A515,Raw!$A:$A,0))</f>
        <v>0</v>
      </c>
      <c r="D515" s="21"/>
    </row>
    <row r="516" spans="1:4" ht="11.25" customHeight="1" x14ac:dyDescent="0.25">
      <c r="A516" s="22" t="s">
        <v>553</v>
      </c>
      <c r="B516" s="20">
        <f ca="1">INDIRECT(ADDRESS(MATCH(A516,Raw!$A:$A,0),2,1,1,"Raw"))</f>
        <v>0</v>
      </c>
      <c r="C516" s="20">
        <f>INDEX(Raw!$C:$C,MATCH(A516,Raw!$A:$A,0))</f>
        <v>0</v>
      </c>
      <c r="D516" s="21"/>
    </row>
    <row r="517" spans="1:4" ht="11.25" customHeight="1" x14ac:dyDescent="0.25">
      <c r="A517" s="22" t="s">
        <v>554</v>
      </c>
      <c r="B517" s="20">
        <f ca="1">INDIRECT(ADDRESS(MATCH(A517,Raw!$A:$A,0),2,1,1,"Raw"))</f>
        <v>0</v>
      </c>
      <c r="C517" s="20">
        <f>INDEX(Raw!$C:$C,MATCH(A517,Raw!$A:$A,0))</f>
        <v>0</v>
      </c>
      <c r="D517" s="21"/>
    </row>
    <row r="518" spans="1:4" ht="11.25" customHeight="1" x14ac:dyDescent="0.25">
      <c r="A518" s="22" t="s">
        <v>555</v>
      </c>
      <c r="B518" s="20">
        <f ca="1">INDIRECT(ADDRESS(MATCH(A518,Raw!$A:$A,0),2,1,1,"Raw"))</f>
        <v>0</v>
      </c>
      <c r="C518" s="20">
        <f>INDEX(Raw!$C:$C,MATCH(A518,Raw!$A:$A,0))</f>
        <v>0</v>
      </c>
      <c r="D518" s="21"/>
    </row>
    <row r="519" spans="1:4" ht="11.25" customHeight="1" x14ac:dyDescent="0.25">
      <c r="A519" s="22" t="s">
        <v>556</v>
      </c>
      <c r="B519" s="20">
        <f ca="1">INDIRECT(ADDRESS(MATCH(A519,Raw!$A:$A,0),2,1,1,"Raw"))</f>
        <v>0</v>
      </c>
      <c r="C519" s="20">
        <f>INDEX(Raw!$C:$C,MATCH(A519,Raw!$A:$A,0))</f>
        <v>0</v>
      </c>
      <c r="D519" s="21"/>
    </row>
    <row r="520" spans="1:4" ht="11.25" customHeight="1" x14ac:dyDescent="0.25">
      <c r="A520" s="22" t="s">
        <v>557</v>
      </c>
      <c r="B520" s="20">
        <f ca="1">INDIRECT(ADDRESS(MATCH(A520,Raw!$A:$A,0),2,1,1,"Raw"))</f>
        <v>0</v>
      </c>
      <c r="C520" s="20">
        <f>INDEX(Raw!$C:$C,MATCH(A520,Raw!$A:$A,0))</f>
        <v>0</v>
      </c>
      <c r="D520" s="21"/>
    </row>
    <row r="521" spans="1:4" ht="11.25" customHeight="1" x14ac:dyDescent="0.25">
      <c r="A521" s="22" t="s">
        <v>558</v>
      </c>
      <c r="B521" s="20">
        <f ca="1">INDIRECT(ADDRESS(MATCH(A521,Raw!$A:$A,0),2,1,1,"Raw"))</f>
        <v>0</v>
      </c>
      <c r="C521" s="20">
        <f>INDEX(Raw!$C:$C,MATCH(A521,Raw!$A:$A,0))</f>
        <v>0</v>
      </c>
      <c r="D521" s="21"/>
    </row>
    <row r="522" spans="1:4" ht="11.25" customHeight="1" x14ac:dyDescent="0.25">
      <c r="A522" s="22" t="s">
        <v>559</v>
      </c>
      <c r="B522" s="20">
        <f ca="1">INDIRECT(ADDRESS(MATCH(A522,Raw!$A:$A,0),2,1,1,"Raw"))</f>
        <v>0</v>
      </c>
      <c r="C522" s="20">
        <f>INDEX(Raw!$C:$C,MATCH(A522,Raw!$A:$A,0))</f>
        <v>0</v>
      </c>
      <c r="D522" s="21"/>
    </row>
    <row r="523" spans="1:4" ht="11.25" customHeight="1" x14ac:dyDescent="0.25">
      <c r="A523" s="22" t="s">
        <v>560</v>
      </c>
      <c r="B523" s="20">
        <f ca="1">INDIRECT(ADDRESS(MATCH(A523,Raw!$A:$A,0),2,1,1,"Raw"))</f>
        <v>0</v>
      </c>
      <c r="C523" s="20">
        <f>INDEX(Raw!$C:$C,MATCH(A523,Raw!$A:$A,0))</f>
        <v>0</v>
      </c>
      <c r="D523" s="21"/>
    </row>
    <row r="524" spans="1:4" ht="11.25" customHeight="1" x14ac:dyDescent="0.25">
      <c r="A524" s="22" t="s">
        <v>561</v>
      </c>
      <c r="B524" s="20">
        <f ca="1">INDIRECT(ADDRESS(MATCH(A524,Raw!$A:$A,0),2,1,1,"Raw"))</f>
        <v>0</v>
      </c>
      <c r="C524" s="20">
        <f>INDEX(Raw!$C:$C,MATCH(A524,Raw!$A:$A,0))</f>
        <v>0</v>
      </c>
      <c r="D524" s="21"/>
    </row>
    <row r="525" spans="1:4" ht="11.25" customHeight="1" x14ac:dyDescent="0.25">
      <c r="A525" s="22" t="s">
        <v>562</v>
      </c>
      <c r="B525" s="20">
        <f ca="1">INDIRECT(ADDRESS(MATCH(A525,Raw!$A:$A,0),2,1,1,"Raw"))</f>
        <v>0</v>
      </c>
      <c r="C525" s="20">
        <f>INDEX(Raw!$C:$C,MATCH(A525,Raw!$A:$A,0))</f>
        <v>0</v>
      </c>
      <c r="D525" s="21"/>
    </row>
    <row r="526" spans="1:4" ht="11.25" customHeight="1" x14ac:dyDescent="0.25">
      <c r="A526" s="22" t="s">
        <v>563</v>
      </c>
      <c r="B526" s="20">
        <f ca="1">INDIRECT(ADDRESS(MATCH(A526,Raw!$A:$A,0),2,1,1,"Raw"))</f>
        <v>0</v>
      </c>
      <c r="C526" s="20">
        <f>INDEX(Raw!$C:$C,MATCH(A526,Raw!$A:$A,0))</f>
        <v>0</v>
      </c>
      <c r="D526" s="21"/>
    </row>
    <row r="527" spans="1:4" ht="11.25" customHeight="1" x14ac:dyDescent="0.25">
      <c r="A527" s="22" t="s">
        <v>564</v>
      </c>
      <c r="B527" s="20">
        <f ca="1">INDIRECT(ADDRESS(MATCH(A527,Raw!$A:$A,0),2,1,1,"Raw"))</f>
        <v>0</v>
      </c>
      <c r="C527" s="20">
        <f>INDEX(Raw!$C:$C,MATCH(A527,Raw!$A:$A,0))</f>
        <v>0</v>
      </c>
      <c r="D527" s="21"/>
    </row>
    <row r="528" spans="1:4" ht="11.25" customHeight="1" x14ac:dyDescent="0.25">
      <c r="A528" s="22" t="s">
        <v>565</v>
      </c>
      <c r="B528" s="20">
        <f ca="1">INDIRECT(ADDRESS(MATCH(A528,Raw!$A:$A,0),2,1,1,"Raw"))</f>
        <v>0</v>
      </c>
      <c r="C528" s="20">
        <f>INDEX(Raw!$C:$C,MATCH(A528,Raw!$A:$A,0))</f>
        <v>0</v>
      </c>
      <c r="D528" s="21"/>
    </row>
    <row r="529" spans="1:4" ht="11.25" customHeight="1" x14ac:dyDescent="0.25">
      <c r="A529" s="22" t="s">
        <v>566</v>
      </c>
      <c r="B529" s="20">
        <f ca="1">INDIRECT(ADDRESS(MATCH(A529,Raw!$A:$A,0),2,1,1,"Raw"))</f>
        <v>0</v>
      </c>
      <c r="C529" s="20">
        <f>INDEX(Raw!$C:$C,MATCH(A529,Raw!$A:$A,0))</f>
        <v>0</v>
      </c>
      <c r="D529" s="21"/>
    </row>
    <row r="530" spans="1:4" ht="11.25" customHeight="1" x14ac:dyDescent="0.25">
      <c r="A530" s="22" t="s">
        <v>567</v>
      </c>
      <c r="B530" s="20">
        <f ca="1">INDIRECT(ADDRESS(MATCH(A530,Raw!$A:$A,0),2,1,1,"Raw"))</f>
        <v>0</v>
      </c>
      <c r="C530" s="20">
        <f>INDEX(Raw!$C:$C,MATCH(A530,Raw!$A:$A,0))</f>
        <v>0</v>
      </c>
      <c r="D530" s="21"/>
    </row>
    <row r="531" spans="1:4" ht="11.25" customHeight="1" x14ac:dyDescent="0.25">
      <c r="A531" s="22" t="s">
        <v>568</v>
      </c>
      <c r="B531" s="20">
        <f ca="1">INDIRECT(ADDRESS(MATCH(A531,Raw!$A:$A,0),2,1,1,"Raw"))</f>
        <v>0</v>
      </c>
      <c r="C531" s="20">
        <f>INDEX(Raw!$C:$C,MATCH(A531,Raw!$A:$A,0))</f>
        <v>0</v>
      </c>
      <c r="D531" s="21"/>
    </row>
    <row r="532" spans="1:4" ht="11.25" customHeight="1" x14ac:dyDescent="0.25">
      <c r="A532" s="22" t="s">
        <v>569</v>
      </c>
      <c r="B532" s="20">
        <f ca="1">INDIRECT(ADDRESS(MATCH(A532,Raw!$A:$A,0),2,1,1,"Raw"))</f>
        <v>0</v>
      </c>
      <c r="C532" s="20">
        <f>INDEX(Raw!$C:$C,MATCH(A532,Raw!$A:$A,0))</f>
        <v>0</v>
      </c>
      <c r="D532" s="21"/>
    </row>
    <row r="533" spans="1:4" ht="11.25" customHeight="1" x14ac:dyDescent="0.25">
      <c r="A533" s="22" t="s">
        <v>570</v>
      </c>
      <c r="B533" s="20">
        <f ca="1">INDIRECT(ADDRESS(MATCH(A533,Raw!$A:$A,0),2,1,1,"Raw"))</f>
        <v>0</v>
      </c>
      <c r="C533" s="20">
        <f>INDEX(Raw!$C:$C,MATCH(A533,Raw!$A:$A,0))</f>
        <v>0</v>
      </c>
      <c r="D533" s="21"/>
    </row>
    <row r="534" spans="1:4" ht="11.25" customHeight="1" x14ac:dyDescent="0.25">
      <c r="A534" s="22" t="s">
        <v>571</v>
      </c>
      <c r="B534" s="20">
        <f ca="1">INDIRECT(ADDRESS(MATCH(A534,Raw!$A:$A,0),2,1,1,"Raw"))</f>
        <v>0</v>
      </c>
      <c r="C534" s="20">
        <f>INDEX(Raw!$C:$C,MATCH(A534,Raw!$A:$A,0))</f>
        <v>0</v>
      </c>
      <c r="D534" s="21"/>
    </row>
    <row r="535" spans="1:4" ht="11.25" customHeight="1" x14ac:dyDescent="0.25">
      <c r="A535" s="22" t="s">
        <v>572</v>
      </c>
      <c r="B535" s="20">
        <f ca="1">INDIRECT(ADDRESS(MATCH(A535,Raw!$A:$A,0),2,1,1,"Raw"))</f>
        <v>0</v>
      </c>
      <c r="C535" s="20">
        <f>INDEX(Raw!$C:$C,MATCH(A535,Raw!$A:$A,0))</f>
        <v>0</v>
      </c>
      <c r="D535" s="21"/>
    </row>
    <row r="536" spans="1:4" ht="11.25" customHeight="1" x14ac:dyDescent="0.25">
      <c r="A536" s="22" t="s">
        <v>573</v>
      </c>
      <c r="B536" s="20">
        <f ca="1">INDIRECT(ADDRESS(MATCH(A536,Raw!$A:$A,0),2,1,1,"Raw"))</f>
        <v>0</v>
      </c>
      <c r="C536" s="20">
        <f>INDEX(Raw!$C:$C,MATCH(A536,Raw!$A:$A,0))</f>
        <v>0</v>
      </c>
      <c r="D536" s="21"/>
    </row>
    <row r="537" spans="1:4" ht="11.25" customHeight="1" x14ac:dyDescent="0.25">
      <c r="A537" s="22" t="s">
        <v>574</v>
      </c>
      <c r="B537" s="20">
        <f ca="1">INDIRECT(ADDRESS(MATCH(A537,Raw!$A:$A,0),2,1,1,"Raw"))</f>
        <v>0</v>
      </c>
      <c r="C537" s="20">
        <f>INDEX(Raw!$C:$C,MATCH(A537,Raw!$A:$A,0))</f>
        <v>0</v>
      </c>
      <c r="D537" s="21"/>
    </row>
    <row r="538" spans="1:4" ht="11.25" customHeight="1" x14ac:dyDescent="0.25">
      <c r="A538" s="22" t="s">
        <v>575</v>
      </c>
      <c r="B538" s="20">
        <f ca="1">INDIRECT(ADDRESS(MATCH(A538,Raw!$A:$A,0),2,1,1,"Raw"))</f>
        <v>0</v>
      </c>
      <c r="C538" s="20">
        <f>INDEX(Raw!$C:$C,MATCH(A538,Raw!$A:$A,0))</f>
        <v>0</v>
      </c>
      <c r="D538" s="21"/>
    </row>
    <row r="539" spans="1:4" ht="11.25" customHeight="1" x14ac:dyDescent="0.25">
      <c r="A539" s="22" t="s">
        <v>576</v>
      </c>
      <c r="B539" s="20">
        <f ca="1">INDIRECT(ADDRESS(MATCH(A539,Raw!$A:$A,0),2,1,1,"Raw"))</f>
        <v>0</v>
      </c>
      <c r="C539" s="20">
        <f>INDEX(Raw!$C:$C,MATCH(A539,Raw!$A:$A,0))</f>
        <v>0</v>
      </c>
      <c r="D539" s="21"/>
    </row>
    <row r="540" spans="1:4" ht="11.25" customHeight="1" x14ac:dyDescent="0.25">
      <c r="A540" s="22" t="s">
        <v>577</v>
      </c>
      <c r="B540" s="20">
        <f ca="1">INDIRECT(ADDRESS(MATCH(A540,Raw!$A:$A,0),2,1,1,"Raw"))</f>
        <v>0</v>
      </c>
      <c r="C540" s="20">
        <f>INDEX(Raw!$C:$C,MATCH(A540,Raw!$A:$A,0))</f>
        <v>0</v>
      </c>
      <c r="D540" s="21"/>
    </row>
    <row r="541" spans="1:4" ht="11.25" customHeight="1" x14ac:dyDescent="0.25">
      <c r="A541" s="22" t="s">
        <v>578</v>
      </c>
      <c r="B541" s="20">
        <f ca="1">INDIRECT(ADDRESS(MATCH(A541,Raw!$A:$A,0),2,1,1,"Raw"))</f>
        <v>0</v>
      </c>
      <c r="C541" s="20">
        <f>INDEX(Raw!$C:$C,MATCH(A541,Raw!$A:$A,0))</f>
        <v>0</v>
      </c>
      <c r="D541" s="21"/>
    </row>
    <row r="542" spans="1:4" ht="11.25" customHeight="1" x14ac:dyDescent="0.25">
      <c r="A542" s="22" t="s">
        <v>579</v>
      </c>
      <c r="B542" s="20">
        <f ca="1">INDIRECT(ADDRESS(MATCH(A542,Raw!$A:$A,0),2,1,1,"Raw"))</f>
        <v>0</v>
      </c>
      <c r="C542" s="20">
        <f>INDEX(Raw!$C:$C,MATCH(A542,Raw!$A:$A,0))</f>
        <v>0</v>
      </c>
      <c r="D542" s="21"/>
    </row>
    <row r="543" spans="1:4" ht="11.25" customHeight="1" x14ac:dyDescent="0.25">
      <c r="A543" s="22" t="s">
        <v>580</v>
      </c>
      <c r="B543" s="20">
        <f ca="1">INDIRECT(ADDRESS(MATCH(A543,Raw!$A:$A,0),2,1,1,"Raw"))</f>
        <v>0</v>
      </c>
      <c r="C543" s="20">
        <f>INDEX(Raw!$C:$C,MATCH(A543,Raw!$A:$A,0))</f>
        <v>0</v>
      </c>
      <c r="D543" s="21"/>
    </row>
    <row r="544" spans="1:4" ht="11.25" customHeight="1" x14ac:dyDescent="0.25">
      <c r="A544" s="22" t="s">
        <v>581</v>
      </c>
      <c r="B544" s="20">
        <f ca="1">INDIRECT(ADDRESS(MATCH(A544,Raw!$A:$A,0),2,1,1,"Raw"))</f>
        <v>0</v>
      </c>
      <c r="C544" s="20">
        <f>INDEX(Raw!$C:$C,MATCH(A544,Raw!$A:$A,0))</f>
        <v>0</v>
      </c>
      <c r="D544" s="21"/>
    </row>
    <row r="545" spans="1:4" ht="11.25" customHeight="1" x14ac:dyDescent="0.25">
      <c r="A545" s="22" t="s">
        <v>582</v>
      </c>
      <c r="B545" s="20">
        <f ca="1">INDIRECT(ADDRESS(MATCH(A545,Raw!$A:$A,0),2,1,1,"Raw"))</f>
        <v>0</v>
      </c>
      <c r="C545" s="20">
        <f>INDEX(Raw!$C:$C,MATCH(A545,Raw!$A:$A,0))</f>
        <v>0</v>
      </c>
      <c r="D545" s="21"/>
    </row>
    <row r="546" spans="1:4" ht="11.25" customHeight="1" x14ac:dyDescent="0.25">
      <c r="A546" s="22" t="s">
        <v>583</v>
      </c>
      <c r="B546" s="20">
        <f ca="1">INDIRECT(ADDRESS(MATCH(A546,Raw!$A:$A,0),2,1,1,"Raw"))</f>
        <v>0</v>
      </c>
      <c r="C546" s="20">
        <f>INDEX(Raw!$C:$C,MATCH(A546,Raw!$A:$A,0))</f>
        <v>0</v>
      </c>
      <c r="D546" s="21"/>
    </row>
    <row r="547" spans="1:4" ht="11.25" customHeight="1" x14ac:dyDescent="0.25">
      <c r="A547" s="22" t="s">
        <v>584</v>
      </c>
      <c r="B547" s="20">
        <f ca="1">INDIRECT(ADDRESS(MATCH(A547,Raw!$A:$A,0),2,1,1,"Raw"))</f>
        <v>0</v>
      </c>
      <c r="C547" s="20">
        <f>INDEX(Raw!$C:$C,MATCH(A547,Raw!$A:$A,0))</f>
        <v>0</v>
      </c>
      <c r="D547" s="21"/>
    </row>
    <row r="548" spans="1:4" ht="11.25" customHeight="1" x14ac:dyDescent="0.25">
      <c r="A548" s="22" t="s">
        <v>585</v>
      </c>
      <c r="B548" s="20">
        <f ca="1">INDIRECT(ADDRESS(MATCH(A548,Raw!$A:$A,0),2,1,1,"Raw"))</f>
        <v>0</v>
      </c>
      <c r="C548" s="20">
        <f>INDEX(Raw!$C:$C,MATCH(A548,Raw!$A:$A,0))</f>
        <v>0</v>
      </c>
      <c r="D548" s="21"/>
    </row>
    <row r="549" spans="1:4" ht="11.25" customHeight="1" x14ac:dyDescent="0.25">
      <c r="A549" s="22" t="s">
        <v>586</v>
      </c>
      <c r="B549" s="20">
        <f ca="1">INDIRECT(ADDRESS(MATCH(A549,Raw!$A:$A,0),2,1,1,"Raw"))</f>
        <v>0</v>
      </c>
      <c r="C549" s="20">
        <f>INDEX(Raw!$C:$C,MATCH(A549,Raw!$A:$A,0))</f>
        <v>0</v>
      </c>
      <c r="D549" s="21"/>
    </row>
    <row r="550" spans="1:4" ht="11.25" customHeight="1" x14ac:dyDescent="0.25">
      <c r="A550" s="22" t="s">
        <v>587</v>
      </c>
      <c r="B550" s="20">
        <f ca="1">INDIRECT(ADDRESS(MATCH(A550,Raw!$A:$A,0),2,1,1,"Raw"))</f>
        <v>0</v>
      </c>
      <c r="C550" s="20">
        <f>INDEX(Raw!$C:$C,MATCH(A550,Raw!$A:$A,0))</f>
        <v>0</v>
      </c>
      <c r="D550" s="21"/>
    </row>
    <row r="551" spans="1:4" ht="11.25" customHeight="1" x14ac:dyDescent="0.25">
      <c r="A551" s="22" t="s">
        <v>588</v>
      </c>
      <c r="B551" s="20">
        <f ca="1">INDIRECT(ADDRESS(MATCH(A551,Raw!$A:$A,0),2,1,1,"Raw"))</f>
        <v>0</v>
      </c>
      <c r="C551" s="20">
        <f>INDEX(Raw!$C:$C,MATCH(A551,Raw!$A:$A,0))</f>
        <v>0</v>
      </c>
      <c r="D551" s="21"/>
    </row>
    <row r="552" spans="1:4" ht="11.25" customHeight="1" x14ac:dyDescent="0.25">
      <c r="A552" s="22" t="s">
        <v>589</v>
      </c>
      <c r="B552" s="20">
        <f ca="1">INDIRECT(ADDRESS(MATCH(A552,Raw!$A:$A,0),2,1,1,"Raw"))</f>
        <v>0</v>
      </c>
      <c r="C552" s="20">
        <f>INDEX(Raw!$C:$C,MATCH(A552,Raw!$A:$A,0))</f>
        <v>0</v>
      </c>
      <c r="D552" s="21"/>
    </row>
    <row r="553" spans="1:4" ht="11.25" customHeight="1" x14ac:dyDescent="0.25">
      <c r="A553" s="22" t="s">
        <v>590</v>
      </c>
      <c r="B553" s="20">
        <f ca="1">INDIRECT(ADDRESS(MATCH(A553,Raw!$A:$A,0),2,1,1,"Raw"))</f>
        <v>0</v>
      </c>
      <c r="C553" s="20">
        <f>INDEX(Raw!$C:$C,MATCH(A553,Raw!$A:$A,0))</f>
        <v>0</v>
      </c>
      <c r="D553" s="21"/>
    </row>
    <row r="554" spans="1:4" ht="11.25" customHeight="1" x14ac:dyDescent="0.25">
      <c r="A554" s="22" t="s">
        <v>591</v>
      </c>
      <c r="B554" s="20">
        <f ca="1">INDIRECT(ADDRESS(MATCH(A554,Raw!$A:$A,0),2,1,1,"Raw"))</f>
        <v>0</v>
      </c>
      <c r="C554" s="20">
        <f>INDEX(Raw!$C:$C,MATCH(A554,Raw!$A:$A,0))</f>
        <v>0</v>
      </c>
      <c r="D554" s="21"/>
    </row>
    <row r="555" spans="1:4" ht="11.25" customHeight="1" x14ac:dyDescent="0.25">
      <c r="A555" s="22" t="s">
        <v>592</v>
      </c>
      <c r="B555" s="20">
        <f ca="1">INDIRECT(ADDRESS(MATCH(A555,Raw!$A:$A,0),2,1,1,"Raw"))</f>
        <v>0</v>
      </c>
      <c r="C555" s="20">
        <f>INDEX(Raw!$C:$C,MATCH(A555,Raw!$A:$A,0))</f>
        <v>0</v>
      </c>
      <c r="D555" s="21"/>
    </row>
    <row r="556" spans="1:4" ht="11.25" customHeight="1" x14ac:dyDescent="0.25">
      <c r="A556" s="22" t="s">
        <v>593</v>
      </c>
      <c r="B556" s="20">
        <f ca="1">INDIRECT(ADDRESS(MATCH(A556,Raw!$A:$A,0),2,1,1,"Raw"))</f>
        <v>0</v>
      </c>
      <c r="C556" s="20">
        <f>INDEX(Raw!$C:$C,MATCH(A556,Raw!$A:$A,0))</f>
        <v>0</v>
      </c>
      <c r="D556" s="21"/>
    </row>
    <row r="557" spans="1:4" ht="11.25" customHeight="1" x14ac:dyDescent="0.25">
      <c r="A557" s="22" t="s">
        <v>594</v>
      </c>
      <c r="B557" s="20">
        <f ca="1">INDIRECT(ADDRESS(MATCH(A557,Raw!$A:$A,0),2,1,1,"Raw"))</f>
        <v>0</v>
      </c>
      <c r="C557" s="20">
        <f>INDEX(Raw!$C:$C,MATCH(A557,Raw!$A:$A,0))</f>
        <v>0</v>
      </c>
      <c r="D557" s="21"/>
    </row>
    <row r="558" spans="1:4" ht="11.25" customHeight="1" x14ac:dyDescent="0.25">
      <c r="A558" s="22" t="s">
        <v>595</v>
      </c>
      <c r="B558" s="20">
        <f ca="1">INDIRECT(ADDRESS(MATCH(A558,Raw!$A:$A,0),2,1,1,"Raw"))</f>
        <v>0</v>
      </c>
      <c r="C558" s="20">
        <f>INDEX(Raw!$C:$C,MATCH(A558,Raw!$A:$A,0))</f>
        <v>0</v>
      </c>
      <c r="D558" s="21"/>
    </row>
    <row r="559" spans="1:4" ht="11.25" customHeight="1" x14ac:dyDescent="0.25">
      <c r="A559" s="22" t="s">
        <v>596</v>
      </c>
      <c r="B559" s="20">
        <f ca="1">INDIRECT(ADDRESS(MATCH(A559,Raw!$A:$A,0),2,1,1,"Raw"))</f>
        <v>0</v>
      </c>
      <c r="C559" s="20">
        <f>INDEX(Raw!$C:$C,MATCH(A559,Raw!$A:$A,0))</f>
        <v>0</v>
      </c>
      <c r="D559" s="21"/>
    </row>
    <row r="560" spans="1:4" ht="11.25" customHeight="1" x14ac:dyDescent="0.25">
      <c r="A560" s="22" t="s">
        <v>597</v>
      </c>
      <c r="B560" s="20">
        <f ca="1">INDIRECT(ADDRESS(MATCH(A560,Raw!$A:$A,0),2,1,1,"Raw"))</f>
        <v>0</v>
      </c>
      <c r="C560" s="20">
        <f>INDEX(Raw!$C:$C,MATCH(A560,Raw!$A:$A,0))</f>
        <v>0</v>
      </c>
      <c r="D560" s="21"/>
    </row>
    <row r="561" spans="1:4" ht="11.25" customHeight="1" x14ac:dyDescent="0.25">
      <c r="A561" s="22" t="s">
        <v>598</v>
      </c>
      <c r="B561" s="20">
        <f ca="1">INDIRECT(ADDRESS(MATCH(A561,Raw!$A:$A,0),2,1,1,"Raw"))</f>
        <v>0</v>
      </c>
      <c r="C561" s="20">
        <f>INDEX(Raw!$C:$C,MATCH(A561,Raw!$A:$A,0))</f>
        <v>0</v>
      </c>
      <c r="D561" s="21"/>
    </row>
    <row r="562" spans="1:4" ht="11.25" customHeight="1" x14ac:dyDescent="0.25">
      <c r="A562" s="22" t="s">
        <v>599</v>
      </c>
      <c r="B562" s="20">
        <f ca="1">INDIRECT(ADDRESS(MATCH(A562,Raw!$A:$A,0),2,1,1,"Raw"))</f>
        <v>0</v>
      </c>
      <c r="C562" s="20">
        <f>INDEX(Raw!$C:$C,MATCH(A562,Raw!$A:$A,0))</f>
        <v>0</v>
      </c>
      <c r="D562" s="21"/>
    </row>
    <row r="563" spans="1:4" ht="11.25" customHeight="1" x14ac:dyDescent="0.25">
      <c r="A563" s="22" t="s">
        <v>600</v>
      </c>
      <c r="B563" s="20">
        <f ca="1">INDIRECT(ADDRESS(MATCH(A563,Raw!$A:$A,0),2,1,1,"Raw"))</f>
        <v>0</v>
      </c>
      <c r="C563" s="20">
        <f>INDEX(Raw!$C:$C,MATCH(A563,Raw!$A:$A,0))</f>
        <v>0</v>
      </c>
      <c r="D563" s="21"/>
    </row>
    <row r="564" spans="1:4" ht="11.25" customHeight="1" x14ac:dyDescent="0.25">
      <c r="A564" s="22" t="s">
        <v>601</v>
      </c>
      <c r="B564" s="20">
        <f ca="1">INDIRECT(ADDRESS(MATCH(A564,Raw!$A:$A,0),2,1,1,"Raw"))</f>
        <v>0</v>
      </c>
      <c r="C564" s="20">
        <f>INDEX(Raw!$C:$C,MATCH(A564,Raw!$A:$A,0))</f>
        <v>0</v>
      </c>
      <c r="D564" s="21"/>
    </row>
    <row r="565" spans="1:4" ht="11.25" customHeight="1" x14ac:dyDescent="0.25">
      <c r="A565" s="22" t="s">
        <v>602</v>
      </c>
      <c r="B565" s="20">
        <f ca="1">INDIRECT(ADDRESS(MATCH(A565,Raw!$A:$A,0),2,1,1,"Raw"))</f>
        <v>0</v>
      </c>
      <c r="C565" s="20">
        <f>INDEX(Raw!$C:$C,MATCH(A565,Raw!$A:$A,0))</f>
        <v>0</v>
      </c>
      <c r="D565" s="21"/>
    </row>
    <row r="566" spans="1:4" ht="11.25" customHeight="1" x14ac:dyDescent="0.25">
      <c r="A566" s="22" t="s">
        <v>603</v>
      </c>
      <c r="B566" s="20">
        <f ca="1">INDIRECT(ADDRESS(MATCH(A566,Raw!$A:$A,0),2,1,1,"Raw"))</f>
        <v>0</v>
      </c>
      <c r="C566" s="20">
        <f>INDEX(Raw!$C:$C,MATCH(A566,Raw!$A:$A,0))</f>
        <v>0</v>
      </c>
      <c r="D566" s="21"/>
    </row>
    <row r="567" spans="1:4" ht="11.25" customHeight="1" x14ac:dyDescent="0.25">
      <c r="A567" s="22" t="s">
        <v>604</v>
      </c>
      <c r="B567" s="20">
        <f ca="1">INDIRECT(ADDRESS(MATCH(A567,Raw!$A:$A,0),2,1,1,"Raw"))</f>
        <v>0</v>
      </c>
      <c r="C567" s="20">
        <f>INDEX(Raw!$C:$C,MATCH(A567,Raw!$A:$A,0))</f>
        <v>0</v>
      </c>
      <c r="D567" s="21"/>
    </row>
    <row r="568" spans="1:4" ht="11.25" customHeight="1" x14ac:dyDescent="0.25">
      <c r="A568" s="22" t="s">
        <v>605</v>
      </c>
      <c r="B568" s="20">
        <f ca="1">INDIRECT(ADDRESS(MATCH(A568,Raw!$A:$A,0),2,1,1,"Raw"))</f>
        <v>0</v>
      </c>
      <c r="C568" s="20">
        <f>INDEX(Raw!$C:$C,MATCH(A568,Raw!$A:$A,0))</f>
        <v>0</v>
      </c>
      <c r="D568" s="21"/>
    </row>
    <row r="569" spans="1:4" ht="11.25" customHeight="1" x14ac:dyDescent="0.25">
      <c r="A569" s="22" t="s">
        <v>606</v>
      </c>
      <c r="B569" s="20">
        <f ca="1">INDIRECT(ADDRESS(MATCH(A569,Raw!$A:$A,0),2,1,1,"Raw"))</f>
        <v>0</v>
      </c>
      <c r="C569" s="20">
        <f>INDEX(Raw!$C:$C,MATCH(A569,Raw!$A:$A,0))</f>
        <v>0</v>
      </c>
      <c r="D569" s="21"/>
    </row>
    <row r="570" spans="1:4" ht="11.25" customHeight="1" x14ac:dyDescent="0.25">
      <c r="A570" s="22" t="s">
        <v>607</v>
      </c>
      <c r="B570" s="20">
        <f ca="1">INDIRECT(ADDRESS(MATCH(A570,Raw!$A:$A,0),2,1,1,"Raw"))</f>
        <v>0</v>
      </c>
      <c r="C570" s="20">
        <f>INDEX(Raw!$C:$C,MATCH(A570,Raw!$A:$A,0))</f>
        <v>0</v>
      </c>
      <c r="D570" s="21"/>
    </row>
    <row r="571" spans="1:4" ht="11.25" customHeight="1" x14ac:dyDescent="0.25">
      <c r="A571" s="22" t="s">
        <v>608</v>
      </c>
      <c r="B571" s="20">
        <f ca="1">INDIRECT(ADDRESS(MATCH(A571,Raw!$A:$A,0),2,1,1,"Raw"))</f>
        <v>0</v>
      </c>
      <c r="C571" s="20">
        <f>INDEX(Raw!$C:$C,MATCH(A571,Raw!$A:$A,0))</f>
        <v>0</v>
      </c>
      <c r="D571" s="21"/>
    </row>
    <row r="572" spans="1:4" ht="11.25" customHeight="1" x14ac:dyDescent="0.25">
      <c r="A572" s="22" t="s">
        <v>609</v>
      </c>
      <c r="B572" s="20">
        <f ca="1">INDIRECT(ADDRESS(MATCH(A572,Raw!$A:$A,0),2,1,1,"Raw"))</f>
        <v>0</v>
      </c>
      <c r="C572" s="20">
        <f>INDEX(Raw!$C:$C,MATCH(A572,Raw!$A:$A,0))</f>
        <v>0</v>
      </c>
      <c r="D572" s="21"/>
    </row>
    <row r="573" spans="1:4" ht="11.25" customHeight="1" x14ac:dyDescent="0.25">
      <c r="A573" s="22" t="s">
        <v>610</v>
      </c>
      <c r="B573" s="20">
        <f ca="1">INDIRECT(ADDRESS(MATCH(A573,Raw!$A:$A,0),2,1,1,"Raw"))</f>
        <v>0</v>
      </c>
      <c r="C573" s="20">
        <f>INDEX(Raw!$C:$C,MATCH(A573,Raw!$A:$A,0))</f>
        <v>0</v>
      </c>
      <c r="D573" s="21"/>
    </row>
    <row r="574" spans="1:4" ht="11.25" customHeight="1" x14ac:dyDescent="0.25">
      <c r="A574" s="22" t="s">
        <v>611</v>
      </c>
      <c r="B574" s="20">
        <f ca="1">INDIRECT(ADDRESS(MATCH(A574,Raw!$A:$A,0),2,1,1,"Raw"))</f>
        <v>0</v>
      </c>
      <c r="C574" s="20">
        <f>INDEX(Raw!$C:$C,MATCH(A574,Raw!$A:$A,0))</f>
        <v>0</v>
      </c>
      <c r="D574" s="21"/>
    </row>
    <row r="575" spans="1:4" ht="11.25" customHeight="1" x14ac:dyDescent="0.25">
      <c r="A575" s="22" t="s">
        <v>612</v>
      </c>
      <c r="B575" s="20">
        <f ca="1">INDIRECT(ADDRESS(MATCH(A575,Raw!$A:$A,0),2,1,1,"Raw"))</f>
        <v>0</v>
      </c>
      <c r="C575" s="20">
        <f>INDEX(Raw!$C:$C,MATCH(A575,Raw!$A:$A,0))</f>
        <v>0</v>
      </c>
      <c r="D575" s="21"/>
    </row>
    <row r="576" spans="1:4" ht="11.25" customHeight="1" x14ac:dyDescent="0.25">
      <c r="A576" s="22" t="s">
        <v>613</v>
      </c>
      <c r="B576" s="20">
        <f ca="1">INDIRECT(ADDRESS(MATCH(A576,Raw!$A:$A,0),2,1,1,"Raw"))</f>
        <v>0</v>
      </c>
      <c r="C576" s="20">
        <f>INDEX(Raw!$C:$C,MATCH(A576,Raw!$A:$A,0))</f>
        <v>0</v>
      </c>
      <c r="D576" s="21"/>
    </row>
    <row r="577" spans="1:4" ht="11.25" customHeight="1" x14ac:dyDescent="0.25">
      <c r="A577" s="22" t="s">
        <v>614</v>
      </c>
      <c r="B577" s="20">
        <f ca="1">INDIRECT(ADDRESS(MATCH(A577,Raw!$A:$A,0),2,1,1,"Raw"))</f>
        <v>0</v>
      </c>
      <c r="C577" s="20">
        <f>INDEX(Raw!$C:$C,MATCH(A577,Raw!$A:$A,0))</f>
        <v>0</v>
      </c>
      <c r="D577" s="21"/>
    </row>
    <row r="578" spans="1:4" ht="11.25" customHeight="1" x14ac:dyDescent="0.25">
      <c r="A578" s="22" t="s">
        <v>615</v>
      </c>
      <c r="B578" s="20">
        <f ca="1">INDIRECT(ADDRESS(MATCH(A578,Raw!$A:$A,0),2,1,1,"Raw"))</f>
        <v>0</v>
      </c>
      <c r="C578" s="20">
        <f>INDEX(Raw!$C:$C,MATCH(A578,Raw!$A:$A,0))</f>
        <v>0</v>
      </c>
      <c r="D578" s="21"/>
    </row>
    <row r="579" spans="1:4" ht="11.25" customHeight="1" x14ac:dyDescent="0.25">
      <c r="A579" s="22" t="s">
        <v>616</v>
      </c>
      <c r="B579" s="20">
        <f ca="1">INDIRECT(ADDRESS(MATCH(A579,Raw!$A:$A,0),2,1,1,"Raw"))</f>
        <v>0</v>
      </c>
      <c r="C579" s="20">
        <f>INDEX(Raw!$C:$C,MATCH(A579,Raw!$A:$A,0))</f>
        <v>0</v>
      </c>
      <c r="D579" s="21"/>
    </row>
    <row r="580" spans="1:4" ht="11.25" customHeight="1" x14ac:dyDescent="0.25">
      <c r="A580" s="22" t="s">
        <v>617</v>
      </c>
      <c r="B580" s="20">
        <f ca="1">INDIRECT(ADDRESS(MATCH(A580,Raw!$A:$A,0),2,1,1,"Raw"))</f>
        <v>0</v>
      </c>
      <c r="C580" s="20">
        <f>INDEX(Raw!$C:$C,MATCH(A580,Raw!$A:$A,0))</f>
        <v>0</v>
      </c>
      <c r="D580" s="21"/>
    </row>
    <row r="581" spans="1:4" ht="11.25" customHeight="1" x14ac:dyDescent="0.25">
      <c r="A581" s="22" t="s">
        <v>618</v>
      </c>
      <c r="B581" s="20">
        <f ca="1">INDIRECT(ADDRESS(MATCH(A581,Raw!$A:$A,0),2,1,1,"Raw"))</f>
        <v>0</v>
      </c>
      <c r="C581" s="20">
        <f>INDEX(Raw!$C:$C,MATCH(A581,Raw!$A:$A,0))</f>
        <v>0</v>
      </c>
      <c r="D581" s="21"/>
    </row>
    <row r="582" spans="1:4" ht="11.25" customHeight="1" x14ac:dyDescent="0.25">
      <c r="A582" s="22" t="s">
        <v>619</v>
      </c>
      <c r="B582" s="20">
        <f ca="1">INDIRECT(ADDRESS(MATCH(A582,Raw!$A:$A,0),2,1,1,"Raw"))</f>
        <v>0</v>
      </c>
      <c r="C582" s="20">
        <f>INDEX(Raw!$C:$C,MATCH(A582,Raw!$A:$A,0))</f>
        <v>0</v>
      </c>
      <c r="D582" s="21"/>
    </row>
    <row r="583" spans="1:4" ht="11.25" customHeight="1" x14ac:dyDescent="0.25">
      <c r="A583" s="22" t="s">
        <v>620</v>
      </c>
      <c r="B583" s="20">
        <f ca="1">INDIRECT(ADDRESS(MATCH(A583,Raw!$A:$A,0),2,1,1,"Raw"))</f>
        <v>0</v>
      </c>
      <c r="C583" s="20">
        <f>INDEX(Raw!$C:$C,MATCH(A583,Raw!$A:$A,0))</f>
        <v>0</v>
      </c>
      <c r="D583" s="21"/>
    </row>
    <row r="584" spans="1:4" ht="11.25" customHeight="1" x14ac:dyDescent="0.25">
      <c r="A584" s="22" t="s">
        <v>621</v>
      </c>
      <c r="B584" s="20">
        <f ca="1">INDIRECT(ADDRESS(MATCH(A584,Raw!$A:$A,0),2,1,1,"Raw"))</f>
        <v>0</v>
      </c>
      <c r="C584" s="20">
        <f>INDEX(Raw!$C:$C,MATCH(A584,Raw!$A:$A,0))</f>
        <v>0</v>
      </c>
      <c r="D584" s="21"/>
    </row>
    <row r="585" spans="1:4" ht="11.25" customHeight="1" x14ac:dyDescent="0.25">
      <c r="A585" s="22" t="s">
        <v>622</v>
      </c>
      <c r="B585" s="20">
        <f ca="1">INDIRECT(ADDRESS(MATCH(A585,Raw!$A:$A,0),2,1,1,"Raw"))</f>
        <v>0</v>
      </c>
      <c r="C585" s="20">
        <f>INDEX(Raw!$C:$C,MATCH(A585,Raw!$A:$A,0))</f>
        <v>0</v>
      </c>
      <c r="D585" s="21"/>
    </row>
    <row r="586" spans="1:4" ht="11.25" customHeight="1" x14ac:dyDescent="0.25">
      <c r="A586" s="22" t="s">
        <v>623</v>
      </c>
      <c r="B586" s="20">
        <f ca="1">INDIRECT(ADDRESS(MATCH(A586,Raw!$A:$A,0),2,1,1,"Raw"))</f>
        <v>0</v>
      </c>
      <c r="C586" s="20">
        <f>INDEX(Raw!$C:$C,MATCH(A586,Raw!$A:$A,0))</f>
        <v>0</v>
      </c>
      <c r="D586" s="21"/>
    </row>
    <row r="587" spans="1:4" ht="11.25" customHeight="1" x14ac:dyDescent="0.25">
      <c r="A587" s="22" t="s">
        <v>624</v>
      </c>
      <c r="B587" s="20">
        <f ca="1">INDIRECT(ADDRESS(MATCH(A587,Raw!$A:$A,0),2,1,1,"Raw"))</f>
        <v>0</v>
      </c>
      <c r="C587" s="20">
        <f>INDEX(Raw!$C:$C,MATCH(A587,Raw!$A:$A,0))</f>
        <v>0</v>
      </c>
      <c r="D587" s="21"/>
    </row>
    <row r="588" spans="1:4" ht="11.25" customHeight="1" x14ac:dyDescent="0.25">
      <c r="A588" s="22" t="s">
        <v>625</v>
      </c>
      <c r="B588" s="20">
        <f ca="1">INDIRECT(ADDRESS(MATCH(A588,Raw!$A:$A,0),2,1,1,"Raw"))</f>
        <v>0</v>
      </c>
      <c r="C588" s="20">
        <f>INDEX(Raw!$C:$C,MATCH(A588,Raw!$A:$A,0))</f>
        <v>0</v>
      </c>
      <c r="D588" s="21"/>
    </row>
    <row r="589" spans="1:4" ht="11.25" customHeight="1" x14ac:dyDescent="0.25">
      <c r="A589" s="22" t="s">
        <v>626</v>
      </c>
      <c r="B589" s="20">
        <f ca="1">INDIRECT(ADDRESS(MATCH(A589,Raw!$A:$A,0),2,1,1,"Raw"))</f>
        <v>0</v>
      </c>
      <c r="C589" s="20">
        <f>INDEX(Raw!$C:$C,MATCH(A589,Raw!$A:$A,0))</f>
        <v>0</v>
      </c>
      <c r="D589" s="21"/>
    </row>
    <row r="590" spans="1:4" ht="11.25" customHeight="1" x14ac:dyDescent="0.25">
      <c r="A590" s="22" t="s">
        <v>627</v>
      </c>
      <c r="B590" s="20">
        <f ca="1">INDIRECT(ADDRESS(MATCH(A590,Raw!$A:$A,0),2,1,1,"Raw"))</f>
        <v>0</v>
      </c>
      <c r="C590" s="20">
        <f>INDEX(Raw!$C:$C,MATCH(A590,Raw!$A:$A,0))</f>
        <v>0</v>
      </c>
      <c r="D590" s="21"/>
    </row>
    <row r="591" spans="1:4" ht="11.25" customHeight="1" x14ac:dyDescent="0.25">
      <c r="A591" s="22" t="s">
        <v>628</v>
      </c>
      <c r="B591" s="20">
        <f ca="1">INDIRECT(ADDRESS(MATCH(A591,Raw!$A:$A,0),2,1,1,"Raw"))</f>
        <v>0</v>
      </c>
      <c r="C591" s="20">
        <f>INDEX(Raw!$C:$C,MATCH(A591,Raw!$A:$A,0))</f>
        <v>0</v>
      </c>
      <c r="D591" s="21"/>
    </row>
    <row r="592" spans="1:4" ht="11.25" customHeight="1" x14ac:dyDescent="0.25">
      <c r="A592" s="22" t="s">
        <v>629</v>
      </c>
      <c r="B592" s="20">
        <f ca="1">INDIRECT(ADDRESS(MATCH(A592,Raw!$A:$A,0),2,1,1,"Raw"))</f>
        <v>0</v>
      </c>
      <c r="C592" s="20">
        <f>INDEX(Raw!$C:$C,MATCH(A592,Raw!$A:$A,0))</f>
        <v>0</v>
      </c>
      <c r="D592" s="21"/>
    </row>
    <row r="593" spans="1:4" ht="11.25" customHeight="1" x14ac:dyDescent="0.25">
      <c r="A593" s="22" t="s">
        <v>630</v>
      </c>
      <c r="B593" s="20">
        <f ca="1">INDIRECT(ADDRESS(MATCH(A593,Raw!$A:$A,0),2,1,1,"Raw"))</f>
        <v>0</v>
      </c>
      <c r="C593" s="20">
        <f>INDEX(Raw!$C:$C,MATCH(A593,Raw!$A:$A,0))</f>
        <v>0</v>
      </c>
      <c r="D593" s="21"/>
    </row>
    <row r="594" spans="1:4" ht="11.25" customHeight="1" x14ac:dyDescent="0.25">
      <c r="A594" s="22" t="s">
        <v>631</v>
      </c>
      <c r="B594" s="20">
        <f ca="1">INDIRECT(ADDRESS(MATCH(A594,Raw!$A:$A,0),2,1,1,"Raw"))</f>
        <v>0</v>
      </c>
      <c r="C594" s="20">
        <f>INDEX(Raw!$C:$C,MATCH(A594,Raw!$A:$A,0))</f>
        <v>0</v>
      </c>
      <c r="D594" s="21"/>
    </row>
    <row r="595" spans="1:4" ht="11.25" customHeight="1" x14ac:dyDescent="0.25">
      <c r="A595" s="22" t="s">
        <v>632</v>
      </c>
      <c r="B595" s="20">
        <f ca="1">INDIRECT(ADDRESS(MATCH(A595,Raw!$A:$A,0),2,1,1,"Raw"))</f>
        <v>0</v>
      </c>
      <c r="C595" s="20">
        <f>INDEX(Raw!$C:$C,MATCH(A595,Raw!$A:$A,0))</f>
        <v>0</v>
      </c>
      <c r="D595" s="21"/>
    </row>
    <row r="596" spans="1:4" ht="11.25" customHeight="1" x14ac:dyDescent="0.25">
      <c r="A596" s="22" t="s">
        <v>633</v>
      </c>
      <c r="B596" s="20">
        <f ca="1">INDIRECT(ADDRESS(MATCH(A596,Raw!$A:$A,0),2,1,1,"Raw"))</f>
        <v>0</v>
      </c>
      <c r="C596" s="20">
        <f>INDEX(Raw!$C:$C,MATCH(A596,Raw!$A:$A,0))</f>
        <v>0</v>
      </c>
      <c r="D596" s="21"/>
    </row>
    <row r="597" spans="1:4" ht="11.25" customHeight="1" x14ac:dyDescent="0.25">
      <c r="A597" s="22" t="s">
        <v>634</v>
      </c>
      <c r="B597" s="20">
        <f ca="1">INDIRECT(ADDRESS(MATCH(A597,Raw!$A:$A,0),2,1,1,"Raw"))</f>
        <v>0</v>
      </c>
      <c r="C597" s="20">
        <f>INDEX(Raw!$C:$C,MATCH(A597,Raw!$A:$A,0))</f>
        <v>0</v>
      </c>
      <c r="D597" s="21"/>
    </row>
    <row r="598" spans="1:4" ht="11.25" customHeight="1" x14ac:dyDescent="0.25">
      <c r="A598" s="22" t="s">
        <v>635</v>
      </c>
      <c r="B598" s="20">
        <f ca="1">INDIRECT(ADDRESS(MATCH(A598,Raw!$A:$A,0),2,1,1,"Raw"))</f>
        <v>0</v>
      </c>
      <c r="C598" s="20">
        <f>INDEX(Raw!$C:$C,MATCH(A598,Raw!$A:$A,0))</f>
        <v>0</v>
      </c>
      <c r="D598" s="21"/>
    </row>
    <row r="599" spans="1:4" ht="11.25" customHeight="1" x14ac:dyDescent="0.25">
      <c r="A599" s="22" t="s">
        <v>636</v>
      </c>
      <c r="B599" s="20">
        <f ca="1">INDIRECT(ADDRESS(MATCH(A599,Raw!$A:$A,0),2,1,1,"Raw"))</f>
        <v>0</v>
      </c>
      <c r="C599" s="20">
        <f>INDEX(Raw!$C:$C,MATCH(A599,Raw!$A:$A,0))</f>
        <v>0</v>
      </c>
      <c r="D599" s="21"/>
    </row>
    <row r="600" spans="1:4" ht="11.25" customHeight="1" x14ac:dyDescent="0.25">
      <c r="A600" s="22" t="s">
        <v>637</v>
      </c>
      <c r="B600" s="20">
        <f ca="1">INDIRECT(ADDRESS(MATCH(A600,Raw!$A:$A,0),2,1,1,"Raw"))</f>
        <v>0</v>
      </c>
      <c r="C600" s="20">
        <f>INDEX(Raw!$C:$C,MATCH(A600,Raw!$A:$A,0))</f>
        <v>0</v>
      </c>
      <c r="D600" s="21"/>
    </row>
    <row r="601" spans="1:4" ht="11.25" customHeight="1" x14ac:dyDescent="0.25">
      <c r="A601" s="22" t="s">
        <v>638</v>
      </c>
      <c r="B601" s="20">
        <f ca="1">INDIRECT(ADDRESS(MATCH(A601,Raw!$A:$A,0),2,1,1,"Raw"))</f>
        <v>0</v>
      </c>
      <c r="C601" s="20">
        <f>INDEX(Raw!$C:$C,MATCH(A601,Raw!$A:$A,0))</f>
        <v>0</v>
      </c>
      <c r="D601" s="21"/>
    </row>
    <row r="602" spans="1:4" ht="11.25" customHeight="1" x14ac:dyDescent="0.25">
      <c r="A602" s="22" t="s">
        <v>639</v>
      </c>
      <c r="B602" s="20">
        <f ca="1">INDIRECT(ADDRESS(MATCH(A602,Raw!$A:$A,0),2,1,1,"Raw"))</f>
        <v>0</v>
      </c>
      <c r="C602" s="20">
        <f>INDEX(Raw!$C:$C,MATCH(A602,Raw!$A:$A,0))</f>
        <v>0</v>
      </c>
      <c r="D602" s="21"/>
    </row>
    <row r="603" spans="1:4" ht="11.25" customHeight="1" x14ac:dyDescent="0.25">
      <c r="A603" s="22" t="s">
        <v>640</v>
      </c>
      <c r="B603" s="20">
        <f ca="1">INDIRECT(ADDRESS(MATCH(A603,Raw!$A:$A,0),2,1,1,"Raw"))</f>
        <v>0</v>
      </c>
      <c r="C603" s="20">
        <f>INDEX(Raw!$C:$C,MATCH(A603,Raw!$A:$A,0))</f>
        <v>0</v>
      </c>
      <c r="D603" s="21"/>
    </row>
    <row r="604" spans="1:4" ht="11.25" customHeight="1" x14ac:dyDescent="0.25">
      <c r="A604" s="22" t="s">
        <v>641</v>
      </c>
      <c r="B604" s="20">
        <f ca="1">INDIRECT(ADDRESS(MATCH(A604,Raw!$A:$A,0),2,1,1,"Raw"))</f>
        <v>0</v>
      </c>
      <c r="C604" s="20">
        <f>INDEX(Raw!$C:$C,MATCH(A604,Raw!$A:$A,0))</f>
        <v>0</v>
      </c>
      <c r="D604" s="21"/>
    </row>
    <row r="605" spans="1:4" ht="11.25" customHeight="1" x14ac:dyDescent="0.25">
      <c r="A605" s="22" t="s">
        <v>642</v>
      </c>
      <c r="B605" s="20">
        <f ca="1">INDIRECT(ADDRESS(MATCH(A605,Raw!$A:$A,0),2,1,1,"Raw"))</f>
        <v>0</v>
      </c>
      <c r="C605" s="20">
        <f>INDEX(Raw!$C:$C,MATCH(A605,Raw!$A:$A,0))</f>
        <v>0</v>
      </c>
      <c r="D605" s="21"/>
    </row>
    <row r="606" spans="1:4" ht="11.25" customHeight="1" x14ac:dyDescent="0.25">
      <c r="A606" s="22" t="s">
        <v>643</v>
      </c>
      <c r="B606" s="20">
        <f ca="1">INDIRECT(ADDRESS(MATCH(A606,Raw!$A:$A,0),2,1,1,"Raw"))</f>
        <v>0</v>
      </c>
      <c r="C606" s="20">
        <f>INDEX(Raw!$C:$C,MATCH(A606,Raw!$A:$A,0))</f>
        <v>0</v>
      </c>
      <c r="D606" s="21"/>
    </row>
    <row r="607" spans="1:4" ht="11.25" customHeight="1" x14ac:dyDescent="0.25">
      <c r="A607" s="22" t="s">
        <v>644</v>
      </c>
      <c r="B607" s="20">
        <f ca="1">INDIRECT(ADDRESS(MATCH(A607,Raw!$A:$A,0),2,1,1,"Raw"))</f>
        <v>0</v>
      </c>
      <c r="C607" s="20">
        <f>INDEX(Raw!$C:$C,MATCH(A607,Raw!$A:$A,0))</f>
        <v>0</v>
      </c>
      <c r="D607" s="21"/>
    </row>
    <row r="608" spans="1:4" ht="11.25" customHeight="1" x14ac:dyDescent="0.25">
      <c r="A608" s="22" t="s">
        <v>645</v>
      </c>
      <c r="B608" s="20">
        <f ca="1">INDIRECT(ADDRESS(MATCH(A608,Raw!$A:$A,0),2,1,1,"Raw"))</f>
        <v>0</v>
      </c>
      <c r="C608" s="20">
        <f>INDEX(Raw!$C:$C,MATCH(A608,Raw!$A:$A,0))</f>
        <v>0</v>
      </c>
      <c r="D608" s="21"/>
    </row>
    <row r="609" spans="1:4" ht="11.25" customHeight="1" x14ac:dyDescent="0.25">
      <c r="A609" s="22" t="s">
        <v>646</v>
      </c>
      <c r="B609" s="20">
        <f ca="1">INDIRECT(ADDRESS(MATCH(A609,Raw!$A:$A,0),2,1,1,"Raw"))</f>
        <v>0</v>
      </c>
      <c r="C609" s="20">
        <f>INDEX(Raw!$C:$C,MATCH(A609,Raw!$A:$A,0))</f>
        <v>0</v>
      </c>
      <c r="D609" s="21"/>
    </row>
    <row r="610" spans="1:4" ht="11.25" customHeight="1" x14ac:dyDescent="0.25">
      <c r="A610" s="22" t="s">
        <v>647</v>
      </c>
      <c r="B610" s="20">
        <f ca="1">INDIRECT(ADDRESS(MATCH(A610,Raw!$A:$A,0),2,1,1,"Raw"))</f>
        <v>0</v>
      </c>
      <c r="C610" s="20">
        <f>INDEX(Raw!$C:$C,MATCH(A610,Raw!$A:$A,0))</f>
        <v>0</v>
      </c>
      <c r="D610" s="21"/>
    </row>
    <row r="611" spans="1:4" ht="11.25" customHeight="1" x14ac:dyDescent="0.25">
      <c r="A611" s="22" t="s">
        <v>648</v>
      </c>
      <c r="B611" s="20">
        <f ca="1">INDIRECT(ADDRESS(MATCH(A611,Raw!$A:$A,0),2,1,1,"Raw"))</f>
        <v>0</v>
      </c>
      <c r="C611" s="20">
        <f>INDEX(Raw!$C:$C,MATCH(A611,Raw!$A:$A,0))</f>
        <v>0</v>
      </c>
      <c r="D611" s="21"/>
    </row>
    <row r="612" spans="1:4" ht="11.25" customHeight="1" x14ac:dyDescent="0.25">
      <c r="A612" s="22" t="s">
        <v>649</v>
      </c>
      <c r="B612" s="20">
        <f ca="1">INDIRECT(ADDRESS(MATCH(A612,Raw!$A:$A,0),2,1,1,"Raw"))</f>
        <v>0</v>
      </c>
      <c r="C612" s="20">
        <f>INDEX(Raw!$C:$C,MATCH(A612,Raw!$A:$A,0))</f>
        <v>0</v>
      </c>
      <c r="D612" s="21"/>
    </row>
    <row r="613" spans="1:4" ht="11.25" customHeight="1" x14ac:dyDescent="0.25">
      <c r="A613" s="22" t="s">
        <v>650</v>
      </c>
      <c r="B613" s="20">
        <f ca="1">INDIRECT(ADDRESS(MATCH(A613,Raw!$A:$A,0),2,1,1,"Raw"))</f>
        <v>0</v>
      </c>
      <c r="C613" s="20">
        <f>INDEX(Raw!$C:$C,MATCH(A613,Raw!$A:$A,0))</f>
        <v>0</v>
      </c>
      <c r="D613" s="21"/>
    </row>
    <row r="614" spans="1:4" ht="11.25" customHeight="1" x14ac:dyDescent="0.25">
      <c r="A614" s="22" t="s">
        <v>651</v>
      </c>
      <c r="B614" s="20">
        <f ca="1">INDIRECT(ADDRESS(MATCH(A614,Raw!$A:$A,0),2,1,1,"Raw"))</f>
        <v>0</v>
      </c>
      <c r="C614" s="20">
        <f>INDEX(Raw!$C:$C,MATCH(A614,Raw!$A:$A,0))</f>
        <v>0</v>
      </c>
      <c r="D614" s="21"/>
    </row>
    <row r="615" spans="1:4" ht="11.25" customHeight="1" x14ac:dyDescent="0.25">
      <c r="A615" s="22" t="s">
        <v>652</v>
      </c>
      <c r="B615" s="20">
        <f ca="1">INDIRECT(ADDRESS(MATCH(A615,Raw!$A:$A,0),2,1,1,"Raw"))</f>
        <v>0</v>
      </c>
      <c r="C615" s="20">
        <f>INDEX(Raw!$C:$C,MATCH(A615,Raw!$A:$A,0))</f>
        <v>0</v>
      </c>
      <c r="D615" s="21"/>
    </row>
    <row r="616" spans="1:4" ht="11.25" customHeight="1" x14ac:dyDescent="0.25">
      <c r="A616" s="22" t="s">
        <v>653</v>
      </c>
      <c r="B616" s="20">
        <f ca="1">INDIRECT(ADDRESS(MATCH(A616,Raw!$A:$A,0),2,1,1,"Raw"))</f>
        <v>0</v>
      </c>
      <c r="C616" s="20">
        <f>INDEX(Raw!$C:$C,MATCH(A616,Raw!$A:$A,0))</f>
        <v>0</v>
      </c>
      <c r="D616" s="21"/>
    </row>
    <row r="617" spans="1:4" ht="11.25" customHeight="1" x14ac:dyDescent="0.25">
      <c r="A617" s="22" t="s">
        <v>654</v>
      </c>
      <c r="B617" s="20">
        <f ca="1">INDIRECT(ADDRESS(MATCH(A617,Raw!$A:$A,0),2,1,1,"Raw"))</f>
        <v>0</v>
      </c>
      <c r="C617" s="20">
        <f>INDEX(Raw!$C:$C,MATCH(A617,Raw!$A:$A,0))</f>
        <v>0</v>
      </c>
      <c r="D617" s="21"/>
    </row>
    <row r="618" spans="1:4" ht="11.25" customHeight="1" x14ac:dyDescent="0.25">
      <c r="A618" s="22" t="s">
        <v>655</v>
      </c>
      <c r="B618" s="20">
        <f ca="1">INDIRECT(ADDRESS(MATCH(A618,Raw!$A:$A,0),2,1,1,"Raw"))</f>
        <v>0</v>
      </c>
      <c r="C618" s="20">
        <f>INDEX(Raw!$C:$C,MATCH(A618,Raw!$A:$A,0))</f>
        <v>0</v>
      </c>
      <c r="D618" s="21"/>
    </row>
    <row r="619" spans="1:4" ht="11.25" customHeight="1" x14ac:dyDescent="0.25">
      <c r="A619" s="22" t="s">
        <v>656</v>
      </c>
      <c r="B619" s="20">
        <f ca="1">INDIRECT(ADDRESS(MATCH(A619,Raw!$A:$A,0),2,1,1,"Raw"))</f>
        <v>0</v>
      </c>
      <c r="C619" s="20">
        <f>INDEX(Raw!$C:$C,MATCH(A619,Raw!$A:$A,0))</f>
        <v>0</v>
      </c>
      <c r="D619" s="21"/>
    </row>
    <row r="620" spans="1:4" ht="11.25" customHeight="1" x14ac:dyDescent="0.25">
      <c r="A620" s="22" t="s">
        <v>657</v>
      </c>
      <c r="B620" s="20">
        <f ca="1">INDIRECT(ADDRESS(MATCH(A620,Raw!$A:$A,0),2,1,1,"Raw"))</f>
        <v>0</v>
      </c>
      <c r="C620" s="20">
        <f>INDEX(Raw!$C:$C,MATCH(A620,Raw!$A:$A,0))</f>
        <v>0</v>
      </c>
      <c r="D620" s="21"/>
    </row>
    <row r="621" spans="1:4" ht="11.25" customHeight="1" x14ac:dyDescent="0.25">
      <c r="A621" s="22" t="s">
        <v>658</v>
      </c>
      <c r="B621" s="20">
        <f ca="1">INDIRECT(ADDRESS(MATCH(A621,Raw!$A:$A,0),2,1,1,"Raw"))</f>
        <v>0</v>
      </c>
      <c r="C621" s="20">
        <f>INDEX(Raw!$C:$C,MATCH(A621,Raw!$A:$A,0))</f>
        <v>0</v>
      </c>
      <c r="D621" s="21"/>
    </row>
    <row r="622" spans="1:4" ht="11.25" customHeight="1" x14ac:dyDescent="0.25">
      <c r="A622" s="22" t="s">
        <v>659</v>
      </c>
      <c r="B622" s="20">
        <f ca="1">INDIRECT(ADDRESS(MATCH(A622,Raw!$A:$A,0),2,1,1,"Raw"))</f>
        <v>0</v>
      </c>
      <c r="C622" s="20">
        <f>INDEX(Raw!$C:$C,MATCH(A622,Raw!$A:$A,0))</f>
        <v>0</v>
      </c>
      <c r="D622" s="21"/>
    </row>
    <row r="623" spans="1:4" ht="11.25" customHeight="1" x14ac:dyDescent="0.25">
      <c r="A623" s="22" t="s">
        <v>660</v>
      </c>
      <c r="B623" s="20">
        <f ca="1">INDIRECT(ADDRESS(MATCH(A623,Raw!$A:$A,0),2,1,1,"Raw"))</f>
        <v>0</v>
      </c>
      <c r="C623" s="20">
        <f>INDEX(Raw!$C:$C,MATCH(A623,Raw!$A:$A,0))</f>
        <v>0</v>
      </c>
      <c r="D623" s="21"/>
    </row>
    <row r="624" spans="1:4" ht="11.25" customHeight="1" x14ac:dyDescent="0.25">
      <c r="A624" s="22" t="s">
        <v>661</v>
      </c>
      <c r="B624" s="20">
        <f ca="1">INDIRECT(ADDRESS(MATCH(A624,Raw!$A:$A,0),2,1,1,"Raw"))</f>
        <v>0</v>
      </c>
      <c r="C624" s="20">
        <f>INDEX(Raw!$C:$C,MATCH(A624,Raw!$A:$A,0))</f>
        <v>0</v>
      </c>
      <c r="D624" s="21"/>
    </row>
    <row r="625" spans="1:4" ht="11.25" customHeight="1" x14ac:dyDescent="0.25">
      <c r="A625" s="22" t="s">
        <v>662</v>
      </c>
      <c r="B625" s="20">
        <f ca="1">INDIRECT(ADDRESS(MATCH(A625,Raw!$A:$A,0),2,1,1,"Raw"))</f>
        <v>0</v>
      </c>
      <c r="C625" s="20">
        <f>INDEX(Raw!$C:$C,MATCH(A625,Raw!$A:$A,0))</f>
        <v>0</v>
      </c>
      <c r="D625" s="21"/>
    </row>
    <row r="626" spans="1:4" ht="11.25" customHeight="1" x14ac:dyDescent="0.25">
      <c r="A626" s="22" t="s">
        <v>663</v>
      </c>
      <c r="B626" s="20">
        <f ca="1">INDIRECT(ADDRESS(MATCH(A626,Raw!$A:$A,0),2,1,1,"Raw"))</f>
        <v>0</v>
      </c>
      <c r="C626" s="20">
        <f>INDEX(Raw!$C:$C,MATCH(A626,Raw!$A:$A,0))</f>
        <v>0</v>
      </c>
      <c r="D626" s="21"/>
    </row>
    <row r="627" spans="1:4" ht="11.25" customHeight="1" x14ac:dyDescent="0.25">
      <c r="A627" s="22" t="s">
        <v>664</v>
      </c>
      <c r="B627" s="20">
        <f ca="1">INDIRECT(ADDRESS(MATCH(A627,Raw!$A:$A,0),2,1,1,"Raw"))</f>
        <v>0</v>
      </c>
      <c r="C627" s="20">
        <f>INDEX(Raw!$C:$C,MATCH(A627,Raw!$A:$A,0))</f>
        <v>0</v>
      </c>
      <c r="D627" s="21"/>
    </row>
    <row r="628" spans="1:4" ht="11.25" customHeight="1" x14ac:dyDescent="0.25">
      <c r="A628" s="22" t="s">
        <v>665</v>
      </c>
      <c r="B628" s="20">
        <f ca="1">INDIRECT(ADDRESS(MATCH(A628,Raw!$A:$A,0),2,1,1,"Raw"))</f>
        <v>0</v>
      </c>
      <c r="C628" s="20">
        <f>INDEX(Raw!$C:$C,MATCH(A628,Raw!$A:$A,0))</f>
        <v>0</v>
      </c>
      <c r="D628" s="21"/>
    </row>
    <row r="629" spans="1:4" ht="11.25" customHeight="1" x14ac:dyDescent="0.25">
      <c r="A629" s="22" t="s">
        <v>666</v>
      </c>
      <c r="B629" s="20">
        <f ca="1">INDIRECT(ADDRESS(MATCH(A629,Raw!$A:$A,0),2,1,1,"Raw"))</f>
        <v>0</v>
      </c>
      <c r="C629" s="20">
        <f>INDEX(Raw!$C:$C,MATCH(A629,Raw!$A:$A,0))</f>
        <v>0</v>
      </c>
      <c r="D629" s="21"/>
    </row>
    <row r="630" spans="1:4" ht="11.25" customHeight="1" x14ac:dyDescent="0.25">
      <c r="A630" s="22" t="s">
        <v>667</v>
      </c>
      <c r="B630" s="20">
        <f ca="1">INDIRECT(ADDRESS(MATCH(A630,Raw!$A:$A,0),2,1,1,"Raw"))</f>
        <v>0</v>
      </c>
      <c r="C630" s="20">
        <f>INDEX(Raw!$C:$C,MATCH(A630,Raw!$A:$A,0))</f>
        <v>0</v>
      </c>
      <c r="D630" s="21"/>
    </row>
    <row r="631" spans="1:4" ht="11.25" customHeight="1" x14ac:dyDescent="0.25">
      <c r="A631" s="22" t="s">
        <v>668</v>
      </c>
      <c r="B631" s="20">
        <f ca="1">INDIRECT(ADDRESS(MATCH(A631,Raw!$A:$A,0),2,1,1,"Raw"))</f>
        <v>0</v>
      </c>
      <c r="C631" s="20">
        <f>INDEX(Raw!$C:$C,MATCH(A631,Raw!$A:$A,0))</f>
        <v>0</v>
      </c>
      <c r="D631" s="21"/>
    </row>
    <row r="632" spans="1:4" ht="11.25" customHeight="1" x14ac:dyDescent="0.25">
      <c r="A632" s="22" t="s">
        <v>669</v>
      </c>
      <c r="B632" s="20">
        <f ca="1">INDIRECT(ADDRESS(MATCH(A632,Raw!$A:$A,0),2,1,1,"Raw"))</f>
        <v>0</v>
      </c>
      <c r="C632" s="20">
        <f>INDEX(Raw!$C:$C,MATCH(A632,Raw!$A:$A,0))</f>
        <v>0</v>
      </c>
      <c r="D632" s="21"/>
    </row>
    <row r="633" spans="1:4" ht="11.25" customHeight="1" x14ac:dyDescent="0.25">
      <c r="A633" s="22" t="s">
        <v>670</v>
      </c>
      <c r="B633" s="20">
        <f ca="1">INDIRECT(ADDRESS(MATCH(A633,Raw!$A:$A,0),2,1,1,"Raw"))</f>
        <v>0</v>
      </c>
      <c r="C633" s="20">
        <f>INDEX(Raw!$C:$C,MATCH(A633,Raw!$A:$A,0))</f>
        <v>0</v>
      </c>
      <c r="D633" s="21"/>
    </row>
    <row r="634" spans="1:4" ht="11.25" customHeight="1" x14ac:dyDescent="0.25">
      <c r="A634" s="22" t="s">
        <v>671</v>
      </c>
      <c r="B634" s="20">
        <f ca="1">INDIRECT(ADDRESS(MATCH(A634,Raw!$A:$A,0),2,1,1,"Raw"))</f>
        <v>0</v>
      </c>
      <c r="C634" s="20">
        <f>INDEX(Raw!$C:$C,MATCH(A634,Raw!$A:$A,0))</f>
        <v>0</v>
      </c>
      <c r="D634" s="21"/>
    </row>
    <row r="635" spans="1:4" ht="11.25" customHeight="1" x14ac:dyDescent="0.25">
      <c r="A635" s="22" t="s">
        <v>672</v>
      </c>
      <c r="B635" s="20">
        <f ca="1">INDIRECT(ADDRESS(MATCH(A635,Raw!$A:$A,0),2,1,1,"Raw"))</f>
        <v>0</v>
      </c>
      <c r="C635" s="20">
        <f>INDEX(Raw!$C:$C,MATCH(A635,Raw!$A:$A,0))</f>
        <v>0</v>
      </c>
      <c r="D635" s="21"/>
    </row>
    <row r="636" spans="1:4" ht="11.25" customHeight="1" x14ac:dyDescent="0.25">
      <c r="A636" s="22" t="s">
        <v>673</v>
      </c>
      <c r="B636" s="20">
        <f ca="1">INDIRECT(ADDRESS(MATCH(A636,Raw!$A:$A,0),2,1,1,"Raw"))</f>
        <v>0</v>
      </c>
      <c r="C636" s="20">
        <f>INDEX(Raw!$C:$C,MATCH(A636,Raw!$A:$A,0))</f>
        <v>0</v>
      </c>
      <c r="D636" s="21"/>
    </row>
    <row r="637" spans="1:4" ht="11.25" customHeight="1" x14ac:dyDescent="0.25">
      <c r="A637" s="22" t="s">
        <v>674</v>
      </c>
      <c r="B637" s="20">
        <f ca="1">INDIRECT(ADDRESS(MATCH(A637,Raw!$A:$A,0),2,1,1,"Raw"))</f>
        <v>0</v>
      </c>
      <c r="C637" s="20">
        <f>INDEX(Raw!$C:$C,MATCH(A637,Raw!$A:$A,0))</f>
        <v>0</v>
      </c>
      <c r="D637" s="21"/>
    </row>
    <row r="638" spans="1:4" ht="11.25" customHeight="1" x14ac:dyDescent="0.25">
      <c r="A638" s="22" t="s">
        <v>675</v>
      </c>
      <c r="B638" s="20">
        <f ca="1">INDIRECT(ADDRESS(MATCH(A638,Raw!$A:$A,0),2,1,1,"Raw"))</f>
        <v>0</v>
      </c>
      <c r="C638" s="20">
        <f>INDEX(Raw!$C:$C,MATCH(A638,Raw!$A:$A,0))</f>
        <v>0</v>
      </c>
      <c r="D638" s="21"/>
    </row>
    <row r="639" spans="1:4" ht="11.25" customHeight="1" x14ac:dyDescent="0.25">
      <c r="A639" s="22" t="s">
        <v>676</v>
      </c>
      <c r="B639" s="20">
        <f ca="1">INDIRECT(ADDRESS(MATCH(A639,Raw!$A:$A,0),2,1,1,"Raw"))</f>
        <v>0</v>
      </c>
      <c r="C639" s="20">
        <f>INDEX(Raw!$C:$C,MATCH(A639,Raw!$A:$A,0))</f>
        <v>0</v>
      </c>
      <c r="D639" s="21"/>
    </row>
    <row r="640" spans="1:4" ht="11.25" customHeight="1" x14ac:dyDescent="0.25">
      <c r="A640" s="22" t="s">
        <v>677</v>
      </c>
      <c r="B640" s="20">
        <f ca="1">INDIRECT(ADDRESS(MATCH(A640,Raw!$A:$A,0),2,1,1,"Raw"))</f>
        <v>0</v>
      </c>
      <c r="C640" s="20">
        <f>INDEX(Raw!$C:$C,MATCH(A640,Raw!$A:$A,0))</f>
        <v>0</v>
      </c>
      <c r="D640" s="21"/>
    </row>
    <row r="641" spans="1:4" ht="11.25" customHeight="1" x14ac:dyDescent="0.25">
      <c r="A641" s="22" t="s">
        <v>678</v>
      </c>
      <c r="B641" s="20">
        <f ca="1">INDIRECT(ADDRESS(MATCH(A641,Raw!$A:$A,0),2,1,1,"Raw"))</f>
        <v>0</v>
      </c>
      <c r="C641" s="20">
        <f>INDEX(Raw!$C:$C,MATCH(A641,Raw!$A:$A,0))</f>
        <v>0</v>
      </c>
      <c r="D641" s="21"/>
    </row>
    <row r="642" spans="1:4" ht="11.25" customHeight="1" x14ac:dyDescent="0.25">
      <c r="A642" s="22" t="s">
        <v>679</v>
      </c>
      <c r="B642" s="20">
        <f ca="1">INDIRECT(ADDRESS(MATCH(A642,Raw!$A:$A,0),2,1,1,"Raw"))</f>
        <v>0</v>
      </c>
      <c r="C642" s="20">
        <f>INDEX(Raw!$C:$C,MATCH(A642,Raw!$A:$A,0))</f>
        <v>0</v>
      </c>
      <c r="D642" s="21"/>
    </row>
    <row r="643" spans="1:4" ht="11.25" customHeight="1" x14ac:dyDescent="0.25">
      <c r="A643" s="22" t="s">
        <v>680</v>
      </c>
      <c r="B643" s="20">
        <f ca="1">INDIRECT(ADDRESS(MATCH(A643,Raw!$A:$A,0),2,1,1,"Raw"))</f>
        <v>0</v>
      </c>
      <c r="C643" s="20">
        <f>INDEX(Raw!$C:$C,MATCH(A643,Raw!$A:$A,0))</f>
        <v>0</v>
      </c>
      <c r="D643" s="21"/>
    </row>
    <row r="644" spans="1:4" ht="11.25" customHeight="1" x14ac:dyDescent="0.25">
      <c r="A644" s="22" t="s">
        <v>681</v>
      </c>
      <c r="B644" s="20">
        <f ca="1">INDIRECT(ADDRESS(MATCH(A644,Raw!$A:$A,0),2,1,1,"Raw"))</f>
        <v>0</v>
      </c>
      <c r="C644" s="20">
        <f>INDEX(Raw!$C:$C,MATCH(A644,Raw!$A:$A,0))</f>
        <v>0</v>
      </c>
      <c r="D644" s="21"/>
    </row>
    <row r="645" spans="1:4" ht="11.25" customHeight="1" x14ac:dyDescent="0.25">
      <c r="A645" s="22" t="s">
        <v>682</v>
      </c>
      <c r="B645" s="20">
        <f ca="1">INDIRECT(ADDRESS(MATCH(A645,Raw!$A:$A,0),2,1,1,"Raw"))</f>
        <v>0</v>
      </c>
      <c r="C645" s="20">
        <f>INDEX(Raw!$C:$C,MATCH(A645,Raw!$A:$A,0))</f>
        <v>0</v>
      </c>
      <c r="D645" s="21"/>
    </row>
    <row r="646" spans="1:4" ht="11.25" customHeight="1" x14ac:dyDescent="0.25">
      <c r="A646" s="22" t="s">
        <v>683</v>
      </c>
      <c r="B646" s="20">
        <f ca="1">INDIRECT(ADDRESS(MATCH(A646,Raw!$A:$A,0),2,1,1,"Raw"))</f>
        <v>0</v>
      </c>
      <c r="C646" s="20">
        <f>INDEX(Raw!$C:$C,MATCH(A646,Raw!$A:$A,0))</f>
        <v>0</v>
      </c>
      <c r="D646" s="21"/>
    </row>
    <row r="647" spans="1:4" ht="11.25" customHeight="1" x14ac:dyDescent="0.25">
      <c r="A647" s="22" t="s">
        <v>684</v>
      </c>
      <c r="B647" s="20">
        <f ca="1">INDIRECT(ADDRESS(MATCH(A647,Raw!$A:$A,0),2,1,1,"Raw"))</f>
        <v>0</v>
      </c>
      <c r="C647" s="20">
        <f>INDEX(Raw!$C:$C,MATCH(A647,Raw!$A:$A,0))</f>
        <v>0</v>
      </c>
      <c r="D647" s="21"/>
    </row>
    <row r="648" spans="1:4" ht="11.25" customHeight="1" x14ac:dyDescent="0.25">
      <c r="A648" s="22" t="s">
        <v>685</v>
      </c>
      <c r="B648" s="20">
        <f ca="1">INDIRECT(ADDRESS(MATCH(A648,Raw!$A:$A,0),2,1,1,"Raw"))</f>
        <v>0</v>
      </c>
      <c r="C648" s="20">
        <f>INDEX(Raw!$C:$C,MATCH(A648,Raw!$A:$A,0))</f>
        <v>0</v>
      </c>
      <c r="D648" s="21"/>
    </row>
    <row r="649" spans="1:4" ht="11.25" customHeight="1" x14ac:dyDescent="0.25">
      <c r="A649" s="22" t="s">
        <v>686</v>
      </c>
      <c r="B649" s="20">
        <f ca="1">INDIRECT(ADDRESS(MATCH(A649,Raw!$A:$A,0),2,1,1,"Raw"))</f>
        <v>0</v>
      </c>
      <c r="C649" s="20">
        <f>INDEX(Raw!$C:$C,MATCH(A649,Raw!$A:$A,0))</f>
        <v>0</v>
      </c>
      <c r="D649" s="21"/>
    </row>
    <row r="650" spans="1:4" ht="11.25" customHeight="1" x14ac:dyDescent="0.25">
      <c r="A650" s="22" t="s">
        <v>687</v>
      </c>
      <c r="B650" s="20">
        <f ca="1">INDIRECT(ADDRESS(MATCH(A650,Raw!$A:$A,0),2,1,1,"Raw"))</f>
        <v>0</v>
      </c>
      <c r="C650" s="20">
        <f>INDEX(Raw!$C:$C,MATCH(A650,Raw!$A:$A,0))</f>
        <v>0</v>
      </c>
      <c r="D650" s="21"/>
    </row>
    <row r="651" spans="1:4" ht="11.25" customHeight="1" x14ac:dyDescent="0.25">
      <c r="A651" s="22" t="s">
        <v>688</v>
      </c>
      <c r="B651" s="20">
        <f ca="1">INDIRECT(ADDRESS(MATCH(A651,Raw!$A:$A,0),2,1,1,"Raw"))</f>
        <v>0</v>
      </c>
      <c r="C651" s="20">
        <f>INDEX(Raw!$C:$C,MATCH(A651,Raw!$A:$A,0))</f>
        <v>0</v>
      </c>
      <c r="D651" s="21"/>
    </row>
    <row r="652" spans="1:4" ht="11.25" customHeight="1" x14ac:dyDescent="0.25">
      <c r="A652" s="22" t="s">
        <v>689</v>
      </c>
      <c r="B652" s="20">
        <f ca="1">INDIRECT(ADDRESS(MATCH(A652,Raw!$A:$A,0),2,1,1,"Raw"))</f>
        <v>0</v>
      </c>
      <c r="C652" s="20">
        <f>INDEX(Raw!$C:$C,MATCH(A652,Raw!$A:$A,0))</f>
        <v>0</v>
      </c>
      <c r="D652" s="21"/>
    </row>
    <row r="653" spans="1:4" ht="11.25" customHeight="1" x14ac:dyDescent="0.25">
      <c r="A653" s="22" t="s">
        <v>690</v>
      </c>
      <c r="B653" s="20">
        <f ca="1">INDIRECT(ADDRESS(MATCH(A653,Raw!$A:$A,0),2,1,1,"Raw"))</f>
        <v>0</v>
      </c>
      <c r="C653" s="20">
        <f>INDEX(Raw!$C:$C,MATCH(A653,Raw!$A:$A,0))</f>
        <v>0</v>
      </c>
      <c r="D653" s="21"/>
    </row>
    <row r="654" spans="1:4" ht="11.25" customHeight="1" x14ac:dyDescent="0.25">
      <c r="A654" s="22" t="s">
        <v>691</v>
      </c>
      <c r="B654" s="20">
        <f ca="1">INDIRECT(ADDRESS(MATCH(A654,Raw!$A:$A,0),2,1,1,"Raw"))</f>
        <v>0</v>
      </c>
      <c r="C654" s="20">
        <f>INDEX(Raw!$C:$C,MATCH(A654,Raw!$A:$A,0))</f>
        <v>0</v>
      </c>
      <c r="D654" s="21"/>
    </row>
    <row r="655" spans="1:4" ht="11.25" customHeight="1" x14ac:dyDescent="0.25">
      <c r="A655" s="22" t="s">
        <v>692</v>
      </c>
      <c r="B655" s="20">
        <f ca="1">INDIRECT(ADDRESS(MATCH(A655,Raw!$A:$A,0),2,1,1,"Raw"))</f>
        <v>0</v>
      </c>
      <c r="C655" s="20">
        <f>INDEX(Raw!$C:$C,MATCH(A655,Raw!$A:$A,0))</f>
        <v>0</v>
      </c>
      <c r="D655" s="21"/>
    </row>
    <row r="656" spans="1:4" ht="11.25" customHeight="1" x14ac:dyDescent="0.25">
      <c r="A656" s="22" t="s">
        <v>693</v>
      </c>
      <c r="B656" s="20">
        <f ca="1">INDIRECT(ADDRESS(MATCH(A656,Raw!$A:$A,0),2,1,1,"Raw"))</f>
        <v>0</v>
      </c>
      <c r="C656" s="20">
        <f>INDEX(Raw!$C:$C,MATCH(A656,Raw!$A:$A,0))</f>
        <v>0</v>
      </c>
      <c r="D656" s="21"/>
    </row>
    <row r="657" spans="1:4" ht="11.25" customHeight="1" x14ac:dyDescent="0.25">
      <c r="A657" s="22" t="s">
        <v>694</v>
      </c>
      <c r="B657" s="20">
        <f ca="1">INDIRECT(ADDRESS(MATCH(A657,Raw!$A:$A,0),2,1,1,"Raw"))</f>
        <v>0</v>
      </c>
      <c r="C657" s="20">
        <f>INDEX(Raw!$C:$C,MATCH(A657,Raw!$A:$A,0))</f>
        <v>0</v>
      </c>
      <c r="D657" s="21"/>
    </row>
    <row r="658" spans="1:4" ht="11.25" customHeight="1" x14ac:dyDescent="0.25">
      <c r="A658" s="22" t="s">
        <v>695</v>
      </c>
      <c r="B658" s="20">
        <f ca="1">INDIRECT(ADDRESS(MATCH(A658,Raw!$A:$A,0),2,1,1,"Raw"))</f>
        <v>0</v>
      </c>
      <c r="C658" s="20">
        <f>INDEX(Raw!$C:$C,MATCH(A658,Raw!$A:$A,0))</f>
        <v>0</v>
      </c>
      <c r="D658" s="21"/>
    </row>
    <row r="659" spans="1:4" ht="11.25" customHeight="1" x14ac:dyDescent="0.25">
      <c r="A659" s="22" t="s">
        <v>696</v>
      </c>
      <c r="B659" s="20">
        <f ca="1">INDIRECT(ADDRESS(MATCH(A659,Raw!$A:$A,0),2,1,1,"Raw"))</f>
        <v>0</v>
      </c>
      <c r="C659" s="20">
        <f>INDEX(Raw!$C:$C,MATCH(A659,Raw!$A:$A,0))</f>
        <v>0</v>
      </c>
      <c r="D659" s="21"/>
    </row>
    <row r="660" spans="1:4" ht="11.25" customHeight="1" x14ac:dyDescent="0.25">
      <c r="A660" s="22" t="s">
        <v>697</v>
      </c>
      <c r="B660" s="20">
        <f ca="1">INDIRECT(ADDRESS(MATCH(A660,Raw!$A:$A,0),2,1,1,"Raw"))</f>
        <v>0</v>
      </c>
      <c r="C660" s="20">
        <f>INDEX(Raw!$C:$C,MATCH(A660,Raw!$A:$A,0))</f>
        <v>0</v>
      </c>
      <c r="D660" s="21"/>
    </row>
    <row r="661" spans="1:4" ht="11.25" customHeight="1" x14ac:dyDescent="0.25">
      <c r="A661" s="22" t="s">
        <v>698</v>
      </c>
      <c r="B661" s="20">
        <f ca="1">INDIRECT(ADDRESS(MATCH(A661,Raw!$A:$A,0),2,1,1,"Raw"))</f>
        <v>0</v>
      </c>
      <c r="C661" s="20">
        <f>INDEX(Raw!$C:$C,MATCH(A661,Raw!$A:$A,0))</f>
        <v>0</v>
      </c>
      <c r="D661" s="21"/>
    </row>
    <row r="662" spans="1:4" ht="11.25" customHeight="1" x14ac:dyDescent="0.25">
      <c r="A662" s="22" t="s">
        <v>699</v>
      </c>
      <c r="B662" s="20">
        <f ca="1">INDIRECT(ADDRESS(MATCH(A662,Raw!$A:$A,0),2,1,1,"Raw"))</f>
        <v>0</v>
      </c>
      <c r="C662" s="20">
        <f>INDEX(Raw!$C:$C,MATCH(A662,Raw!$A:$A,0))</f>
        <v>0</v>
      </c>
      <c r="D662" s="21"/>
    </row>
    <row r="663" spans="1:4" ht="11.25" customHeight="1" x14ac:dyDescent="0.25">
      <c r="A663" s="22" t="s">
        <v>700</v>
      </c>
      <c r="B663" s="20">
        <f ca="1">INDIRECT(ADDRESS(MATCH(A663,Raw!$A:$A,0),2,1,1,"Raw"))</f>
        <v>0</v>
      </c>
      <c r="C663" s="20">
        <f>INDEX(Raw!$C:$C,MATCH(A663,Raw!$A:$A,0))</f>
        <v>0</v>
      </c>
      <c r="D663" s="21"/>
    </row>
    <row r="664" spans="1:4" ht="11.25" customHeight="1" x14ac:dyDescent="0.25">
      <c r="A664" s="22" t="s">
        <v>701</v>
      </c>
      <c r="B664" s="20">
        <f ca="1">INDIRECT(ADDRESS(MATCH(A664,Raw!$A:$A,0),2,1,1,"Raw"))</f>
        <v>0</v>
      </c>
      <c r="C664" s="20">
        <f>INDEX(Raw!$C:$C,MATCH(A664,Raw!$A:$A,0))</f>
        <v>0</v>
      </c>
      <c r="D664" s="21"/>
    </row>
    <row r="665" spans="1:4" ht="11.25" customHeight="1" x14ac:dyDescent="0.25">
      <c r="A665" s="22" t="s">
        <v>702</v>
      </c>
      <c r="B665" s="20">
        <f ca="1">INDIRECT(ADDRESS(MATCH(A665,Raw!$A:$A,0),2,1,1,"Raw"))</f>
        <v>0</v>
      </c>
      <c r="C665" s="20">
        <f>INDEX(Raw!$C:$C,MATCH(A665,Raw!$A:$A,0))</f>
        <v>0</v>
      </c>
      <c r="D665" s="21"/>
    </row>
    <row r="666" spans="1:4" ht="11.25" customHeight="1" x14ac:dyDescent="0.25">
      <c r="A666" s="22" t="s">
        <v>703</v>
      </c>
      <c r="B666" s="20">
        <f ca="1">INDIRECT(ADDRESS(MATCH(A666,Raw!$A:$A,0),2,1,1,"Raw"))</f>
        <v>0</v>
      </c>
      <c r="C666" s="20">
        <f>INDEX(Raw!$C:$C,MATCH(A666,Raw!$A:$A,0))</f>
        <v>0</v>
      </c>
      <c r="D666" s="21"/>
    </row>
    <row r="667" spans="1:4" ht="11.25" customHeight="1" x14ac:dyDescent="0.25">
      <c r="A667" s="22" t="s">
        <v>704</v>
      </c>
      <c r="B667" s="20">
        <f ca="1">INDIRECT(ADDRESS(MATCH(A667,Raw!$A:$A,0),2,1,1,"Raw"))</f>
        <v>0</v>
      </c>
      <c r="C667" s="20">
        <f>INDEX(Raw!$C:$C,MATCH(A667,Raw!$A:$A,0))</f>
        <v>0</v>
      </c>
      <c r="D667" s="21"/>
    </row>
    <row r="668" spans="1:4" ht="11.25" customHeight="1" x14ac:dyDescent="0.25">
      <c r="A668" s="22" t="s">
        <v>705</v>
      </c>
      <c r="B668" s="20">
        <f ca="1">INDIRECT(ADDRESS(MATCH(A668,Raw!$A:$A,0),2,1,1,"Raw"))</f>
        <v>0</v>
      </c>
      <c r="C668" s="20">
        <f>INDEX(Raw!$C:$C,MATCH(A668,Raw!$A:$A,0))</f>
        <v>0</v>
      </c>
      <c r="D668" s="21"/>
    </row>
    <row r="669" spans="1:4" ht="11.25" customHeight="1" x14ac:dyDescent="0.25">
      <c r="A669" s="22" t="s">
        <v>706</v>
      </c>
      <c r="B669" s="20">
        <f ca="1">INDIRECT(ADDRESS(MATCH(A669,Raw!$A:$A,0),2,1,1,"Raw"))</f>
        <v>0</v>
      </c>
      <c r="C669" s="20">
        <f>INDEX(Raw!$C:$C,MATCH(A669,Raw!$A:$A,0))</f>
        <v>0</v>
      </c>
      <c r="D669" s="21"/>
    </row>
    <row r="670" spans="1:4" ht="11.25" customHeight="1" x14ac:dyDescent="0.25">
      <c r="A670" s="22" t="s">
        <v>707</v>
      </c>
      <c r="B670" s="20">
        <f ca="1">INDIRECT(ADDRESS(MATCH(A670,Raw!$A:$A,0),2,1,1,"Raw"))</f>
        <v>0</v>
      </c>
      <c r="C670" s="20">
        <f>INDEX(Raw!$C:$C,MATCH(A670,Raw!$A:$A,0))</f>
        <v>0</v>
      </c>
      <c r="D670" s="21"/>
    </row>
    <row r="671" spans="1:4" ht="11.25" customHeight="1" x14ac:dyDescent="0.25">
      <c r="A671" s="22" t="s">
        <v>708</v>
      </c>
      <c r="B671" s="20">
        <f ca="1">INDIRECT(ADDRESS(MATCH(A671,Raw!$A:$A,0),2,1,1,"Raw"))</f>
        <v>0</v>
      </c>
      <c r="C671" s="20">
        <f>INDEX(Raw!$C:$C,MATCH(A671,Raw!$A:$A,0))</f>
        <v>0</v>
      </c>
      <c r="D671" s="21"/>
    </row>
    <row r="672" spans="1:4" ht="11.25" customHeight="1" x14ac:dyDescent="0.25">
      <c r="A672" s="22" t="s">
        <v>709</v>
      </c>
      <c r="B672" s="20">
        <f ca="1">INDIRECT(ADDRESS(MATCH(A672,Raw!$A:$A,0),2,1,1,"Raw"))</f>
        <v>0</v>
      </c>
      <c r="C672" s="20">
        <f>INDEX(Raw!$C:$C,MATCH(A672,Raw!$A:$A,0))</f>
        <v>0</v>
      </c>
      <c r="D672" s="21"/>
    </row>
    <row r="673" spans="1:4" ht="11.25" customHeight="1" x14ac:dyDescent="0.25">
      <c r="A673" s="22" t="s">
        <v>710</v>
      </c>
      <c r="B673" s="20">
        <f ca="1">INDIRECT(ADDRESS(MATCH(A673,Raw!$A:$A,0),2,1,1,"Raw"))</f>
        <v>0</v>
      </c>
      <c r="C673" s="20">
        <f>INDEX(Raw!$C:$C,MATCH(A673,Raw!$A:$A,0))</f>
        <v>0</v>
      </c>
      <c r="D673" s="21"/>
    </row>
    <row r="674" spans="1:4" ht="11.25" customHeight="1" x14ac:dyDescent="0.25">
      <c r="A674" s="22" t="s">
        <v>711</v>
      </c>
      <c r="B674" s="20">
        <f ca="1">INDIRECT(ADDRESS(MATCH(A674,Raw!$A:$A,0),2,1,1,"Raw"))</f>
        <v>0</v>
      </c>
      <c r="C674" s="20">
        <f>INDEX(Raw!$C:$C,MATCH(A674,Raw!$A:$A,0))</f>
        <v>0</v>
      </c>
      <c r="D674" s="21"/>
    </row>
    <row r="675" spans="1:4" ht="11.25" customHeight="1" x14ac:dyDescent="0.25">
      <c r="A675" s="22" t="s">
        <v>712</v>
      </c>
      <c r="B675" s="20">
        <f ca="1">INDIRECT(ADDRESS(MATCH(A675,Raw!$A:$A,0),2,1,1,"Raw"))</f>
        <v>0</v>
      </c>
      <c r="C675" s="20">
        <f>INDEX(Raw!$C:$C,MATCH(A675,Raw!$A:$A,0))</f>
        <v>0</v>
      </c>
      <c r="D675" s="21"/>
    </row>
    <row r="676" spans="1:4" ht="11.25" customHeight="1" x14ac:dyDescent="0.25">
      <c r="A676" s="22" t="s">
        <v>713</v>
      </c>
      <c r="B676" s="20">
        <f ca="1">INDIRECT(ADDRESS(MATCH(A676,Raw!$A:$A,0),2,1,1,"Raw"))</f>
        <v>0</v>
      </c>
      <c r="C676" s="20">
        <f>INDEX(Raw!$C:$C,MATCH(A676,Raw!$A:$A,0))</f>
        <v>0</v>
      </c>
      <c r="D676" s="21"/>
    </row>
    <row r="677" spans="1:4" ht="11.25" customHeight="1" x14ac:dyDescent="0.25">
      <c r="A677" s="22" t="s">
        <v>714</v>
      </c>
      <c r="B677" s="20">
        <f ca="1">INDIRECT(ADDRESS(MATCH(A677,Raw!$A:$A,0),2,1,1,"Raw"))</f>
        <v>0</v>
      </c>
      <c r="C677" s="20">
        <f>INDEX(Raw!$C:$C,MATCH(A677,Raw!$A:$A,0))</f>
        <v>0</v>
      </c>
      <c r="D677" s="21"/>
    </row>
    <row r="678" spans="1:4" ht="11.25" customHeight="1" x14ac:dyDescent="0.25">
      <c r="A678" s="22" t="s">
        <v>715</v>
      </c>
      <c r="B678" s="20">
        <f ca="1">INDIRECT(ADDRESS(MATCH(A678,Raw!$A:$A,0),2,1,1,"Raw"))</f>
        <v>0</v>
      </c>
      <c r="C678" s="20">
        <f>INDEX(Raw!$C:$C,MATCH(A678,Raw!$A:$A,0))</f>
        <v>0</v>
      </c>
      <c r="D678" s="21"/>
    </row>
    <row r="679" spans="1:4" ht="11.25" customHeight="1" x14ac:dyDescent="0.25">
      <c r="A679" s="22" t="s">
        <v>716</v>
      </c>
      <c r="B679" s="20">
        <f ca="1">INDIRECT(ADDRESS(MATCH(A679,Raw!$A:$A,0),2,1,1,"Raw"))</f>
        <v>0</v>
      </c>
      <c r="C679" s="20">
        <f>INDEX(Raw!$C:$C,MATCH(A679,Raw!$A:$A,0))</f>
        <v>0</v>
      </c>
      <c r="D679" s="21"/>
    </row>
    <row r="680" spans="1:4" ht="11.25" customHeight="1" x14ac:dyDescent="0.25">
      <c r="A680" s="22" t="s">
        <v>717</v>
      </c>
      <c r="B680" s="20">
        <f ca="1">INDIRECT(ADDRESS(MATCH(A680,Raw!$A:$A,0),2,1,1,"Raw"))</f>
        <v>0</v>
      </c>
      <c r="C680" s="20">
        <f>INDEX(Raw!$C:$C,MATCH(A680,Raw!$A:$A,0))</f>
        <v>0</v>
      </c>
      <c r="D680" s="21"/>
    </row>
    <row r="681" spans="1:4" ht="11.25" customHeight="1" x14ac:dyDescent="0.25">
      <c r="A681" s="22" t="s">
        <v>718</v>
      </c>
      <c r="B681" s="20">
        <f ca="1">INDIRECT(ADDRESS(MATCH(A681,Raw!$A:$A,0),2,1,1,"Raw"))</f>
        <v>0</v>
      </c>
      <c r="C681" s="20">
        <f>INDEX(Raw!$C:$C,MATCH(A681,Raw!$A:$A,0))</f>
        <v>0</v>
      </c>
      <c r="D681" s="21"/>
    </row>
    <row r="682" spans="1:4" ht="11.25" customHeight="1" x14ac:dyDescent="0.25">
      <c r="A682" s="22" t="s">
        <v>719</v>
      </c>
      <c r="B682" s="20">
        <f ca="1">INDIRECT(ADDRESS(MATCH(A682,Raw!$A:$A,0),2,1,1,"Raw"))</f>
        <v>0</v>
      </c>
      <c r="C682" s="20">
        <f>INDEX(Raw!$C:$C,MATCH(A682,Raw!$A:$A,0))</f>
        <v>0</v>
      </c>
      <c r="D682" s="21"/>
    </row>
    <row r="683" spans="1:4" ht="11.25" customHeight="1" x14ac:dyDescent="0.25">
      <c r="A683" s="22" t="s">
        <v>720</v>
      </c>
      <c r="B683" s="20">
        <f ca="1">INDIRECT(ADDRESS(MATCH(A683,Raw!$A:$A,0),2,1,1,"Raw"))</f>
        <v>0</v>
      </c>
      <c r="C683" s="20">
        <f>INDEX(Raw!$C:$C,MATCH(A683,Raw!$A:$A,0))</f>
        <v>0</v>
      </c>
      <c r="D683" s="21"/>
    </row>
    <row r="684" spans="1:4" ht="11.25" customHeight="1" x14ac:dyDescent="0.25">
      <c r="A684" s="22" t="s">
        <v>721</v>
      </c>
      <c r="B684" s="20">
        <f ca="1">INDIRECT(ADDRESS(MATCH(A684,Raw!$A:$A,0),2,1,1,"Raw"))</f>
        <v>0</v>
      </c>
      <c r="C684" s="20">
        <f>INDEX(Raw!$C:$C,MATCH(A684,Raw!$A:$A,0))</f>
        <v>0</v>
      </c>
      <c r="D684" s="21"/>
    </row>
    <row r="685" spans="1:4" ht="11.25" customHeight="1" x14ac:dyDescent="0.25">
      <c r="A685" s="22" t="s">
        <v>722</v>
      </c>
      <c r="B685" s="20">
        <f ca="1">INDIRECT(ADDRESS(MATCH(A685,Raw!$A:$A,0),2,1,1,"Raw"))</f>
        <v>0</v>
      </c>
      <c r="C685" s="20">
        <f>INDEX(Raw!$C:$C,MATCH(A685,Raw!$A:$A,0))</f>
        <v>0</v>
      </c>
      <c r="D685" s="21"/>
    </row>
    <row r="686" spans="1:4" ht="11.25" customHeight="1" x14ac:dyDescent="0.25">
      <c r="A686" s="22" t="s">
        <v>723</v>
      </c>
      <c r="B686" s="20">
        <f ca="1">INDIRECT(ADDRESS(MATCH(A686,Raw!$A:$A,0),2,1,1,"Raw"))</f>
        <v>0</v>
      </c>
      <c r="C686" s="20">
        <f>INDEX(Raw!$C:$C,MATCH(A686,Raw!$A:$A,0))</f>
        <v>0</v>
      </c>
      <c r="D686" s="21"/>
    </row>
    <row r="687" spans="1:4" ht="11.25" customHeight="1" x14ac:dyDescent="0.25">
      <c r="A687" s="22" t="s">
        <v>724</v>
      </c>
      <c r="B687" s="20">
        <f ca="1">INDIRECT(ADDRESS(MATCH(A687,Raw!$A:$A,0),2,1,1,"Raw"))</f>
        <v>0</v>
      </c>
      <c r="C687" s="20">
        <f>INDEX(Raw!$C:$C,MATCH(A687,Raw!$A:$A,0))</f>
        <v>0</v>
      </c>
      <c r="D687" s="21"/>
    </row>
    <row r="688" spans="1:4" ht="11.25" customHeight="1" x14ac:dyDescent="0.25">
      <c r="A688" s="22" t="s">
        <v>725</v>
      </c>
      <c r="B688" s="20">
        <f ca="1">INDIRECT(ADDRESS(MATCH(A688,Raw!$A:$A,0),2,1,1,"Raw"))</f>
        <v>0</v>
      </c>
      <c r="C688" s="20">
        <f>INDEX(Raw!$C:$C,MATCH(A688,Raw!$A:$A,0))</f>
        <v>0</v>
      </c>
      <c r="D688" s="21"/>
    </row>
    <row r="689" spans="1:4" ht="11.25" customHeight="1" x14ac:dyDescent="0.25">
      <c r="A689" s="22" t="s">
        <v>726</v>
      </c>
      <c r="B689" s="20">
        <f ca="1">INDIRECT(ADDRESS(MATCH(A689,Raw!$A:$A,0),2,1,1,"Raw"))</f>
        <v>0</v>
      </c>
      <c r="C689" s="20">
        <f>INDEX(Raw!$C:$C,MATCH(A689,Raw!$A:$A,0))</f>
        <v>0</v>
      </c>
      <c r="D689" s="21"/>
    </row>
    <row r="690" spans="1:4" ht="11.25" customHeight="1" x14ac:dyDescent="0.25">
      <c r="A690" s="22" t="s">
        <v>727</v>
      </c>
      <c r="B690" s="20">
        <f ca="1">INDIRECT(ADDRESS(MATCH(A690,Raw!$A:$A,0),2,1,1,"Raw"))</f>
        <v>0</v>
      </c>
      <c r="C690" s="20">
        <f>INDEX(Raw!$C:$C,MATCH(A690,Raw!$A:$A,0))</f>
        <v>0</v>
      </c>
      <c r="D690" s="21"/>
    </row>
    <row r="691" spans="1:4" ht="11.25" customHeight="1" x14ac:dyDescent="0.25">
      <c r="A691" s="22" t="s">
        <v>728</v>
      </c>
      <c r="B691" s="20">
        <f ca="1">INDIRECT(ADDRESS(MATCH(A691,Raw!$A:$A,0),2,1,1,"Raw"))</f>
        <v>0</v>
      </c>
      <c r="C691" s="20">
        <f>INDEX(Raw!$C:$C,MATCH(A691,Raw!$A:$A,0))</f>
        <v>0</v>
      </c>
      <c r="D691" s="21"/>
    </row>
    <row r="692" spans="1:4" ht="11.25" customHeight="1" x14ac:dyDescent="0.25">
      <c r="A692" s="22" t="s">
        <v>729</v>
      </c>
      <c r="B692" s="20">
        <f ca="1">INDIRECT(ADDRESS(MATCH(A692,Raw!$A:$A,0),2,1,1,"Raw"))</f>
        <v>0</v>
      </c>
      <c r="C692" s="20">
        <f>INDEX(Raw!$C:$C,MATCH(A692,Raw!$A:$A,0))</f>
        <v>0</v>
      </c>
      <c r="D692" s="21"/>
    </row>
    <row r="693" spans="1:4" ht="11.25" customHeight="1" x14ac:dyDescent="0.25">
      <c r="A693" s="22" t="s">
        <v>730</v>
      </c>
      <c r="B693" s="20">
        <f ca="1">INDIRECT(ADDRESS(MATCH(A693,Raw!$A:$A,0),2,1,1,"Raw"))</f>
        <v>0</v>
      </c>
      <c r="C693" s="20">
        <f>INDEX(Raw!$C:$C,MATCH(A693,Raw!$A:$A,0))</f>
        <v>0</v>
      </c>
      <c r="D693" s="21"/>
    </row>
    <row r="694" spans="1:4" ht="11.25" customHeight="1" x14ac:dyDescent="0.25">
      <c r="A694" s="22" t="s">
        <v>731</v>
      </c>
      <c r="B694" s="20">
        <f ca="1">INDIRECT(ADDRESS(MATCH(A694,Raw!$A:$A,0),2,1,1,"Raw"))</f>
        <v>0</v>
      </c>
      <c r="C694" s="20">
        <f>INDEX(Raw!$C:$C,MATCH(A694,Raw!$A:$A,0))</f>
        <v>0</v>
      </c>
      <c r="D694" s="21"/>
    </row>
    <row r="695" spans="1:4" ht="11.25" customHeight="1" x14ac:dyDescent="0.25">
      <c r="A695" s="22" t="s">
        <v>732</v>
      </c>
      <c r="B695" s="20">
        <f ca="1">INDIRECT(ADDRESS(MATCH(A695,Raw!$A:$A,0),2,1,1,"Raw"))</f>
        <v>0</v>
      </c>
      <c r="C695" s="20">
        <f>INDEX(Raw!$C:$C,MATCH(A695,Raw!$A:$A,0))</f>
        <v>0</v>
      </c>
      <c r="D695" s="21"/>
    </row>
    <row r="696" spans="1:4" ht="11.25" customHeight="1" x14ac:dyDescent="0.25">
      <c r="A696" s="22" t="s">
        <v>733</v>
      </c>
      <c r="B696" s="20">
        <f ca="1">INDIRECT(ADDRESS(MATCH(A696,Raw!$A:$A,0),2,1,1,"Raw"))</f>
        <v>0</v>
      </c>
      <c r="C696" s="20">
        <f>INDEX(Raw!$C:$C,MATCH(A696,Raw!$A:$A,0))</f>
        <v>0</v>
      </c>
      <c r="D696" s="21"/>
    </row>
    <row r="697" spans="1:4" ht="11.25" customHeight="1" x14ac:dyDescent="0.25">
      <c r="A697" s="22" t="s">
        <v>734</v>
      </c>
      <c r="B697" s="20">
        <f ca="1">INDIRECT(ADDRESS(MATCH(A697,Raw!$A:$A,0),2,1,1,"Raw"))</f>
        <v>0</v>
      </c>
      <c r="C697" s="20">
        <f>INDEX(Raw!$C:$C,MATCH(A697,Raw!$A:$A,0))</f>
        <v>0</v>
      </c>
      <c r="D697" s="21"/>
    </row>
    <row r="698" spans="1:4" ht="11.25" customHeight="1" x14ac:dyDescent="0.25">
      <c r="A698" s="22" t="s">
        <v>735</v>
      </c>
      <c r="B698" s="20">
        <f ca="1">INDIRECT(ADDRESS(MATCH(A698,Raw!$A:$A,0),2,1,1,"Raw"))</f>
        <v>0</v>
      </c>
      <c r="C698" s="20">
        <f>INDEX(Raw!$C:$C,MATCH(A698,Raw!$A:$A,0))</f>
        <v>0</v>
      </c>
      <c r="D698" s="21"/>
    </row>
    <row r="699" spans="1:4" ht="11.25" customHeight="1" x14ac:dyDescent="0.25">
      <c r="A699" s="22" t="s">
        <v>736</v>
      </c>
      <c r="B699" s="20">
        <f ca="1">INDIRECT(ADDRESS(MATCH(A699,Raw!$A:$A,0),2,1,1,"Raw"))</f>
        <v>0</v>
      </c>
      <c r="C699" s="20">
        <f>INDEX(Raw!$C:$C,MATCH(A699,Raw!$A:$A,0))</f>
        <v>0</v>
      </c>
      <c r="D699" s="21"/>
    </row>
    <row r="700" spans="1:4" ht="11.25" customHeight="1" x14ac:dyDescent="0.25">
      <c r="A700" s="22" t="s">
        <v>737</v>
      </c>
      <c r="B700" s="20">
        <f ca="1">INDIRECT(ADDRESS(MATCH(A700,Raw!$A:$A,0),2,1,1,"Raw"))</f>
        <v>0</v>
      </c>
      <c r="C700" s="20">
        <f>INDEX(Raw!$C:$C,MATCH(A700,Raw!$A:$A,0))</f>
        <v>0</v>
      </c>
      <c r="D700" s="21"/>
    </row>
    <row r="701" spans="1:4" ht="11.25" customHeight="1" x14ac:dyDescent="0.25">
      <c r="A701" s="22" t="s">
        <v>738</v>
      </c>
      <c r="B701" s="20">
        <f ca="1">INDIRECT(ADDRESS(MATCH(A701,Raw!$A:$A,0),2,1,1,"Raw"))</f>
        <v>0</v>
      </c>
      <c r="C701" s="20">
        <f>INDEX(Raw!$C:$C,MATCH(A701,Raw!$A:$A,0))</f>
        <v>0</v>
      </c>
      <c r="D701" s="21"/>
    </row>
    <row r="702" spans="1:4" ht="11.25" customHeight="1" x14ac:dyDescent="0.25">
      <c r="A702" s="22" t="s">
        <v>739</v>
      </c>
      <c r="B702" s="20">
        <f ca="1">INDIRECT(ADDRESS(MATCH(A702,Raw!$A:$A,0),2,1,1,"Raw"))</f>
        <v>0</v>
      </c>
      <c r="C702" s="20">
        <f>INDEX(Raw!$C:$C,MATCH(A702,Raw!$A:$A,0))</f>
        <v>0</v>
      </c>
      <c r="D702" s="21"/>
    </row>
    <row r="703" spans="1:4" ht="11.25" customHeight="1" x14ac:dyDescent="0.25">
      <c r="A703" s="22" t="s">
        <v>740</v>
      </c>
      <c r="B703" s="20">
        <f ca="1">INDIRECT(ADDRESS(MATCH(A703,Raw!$A:$A,0),2,1,1,"Raw"))</f>
        <v>0</v>
      </c>
      <c r="C703" s="20">
        <f>INDEX(Raw!$C:$C,MATCH(A703,Raw!$A:$A,0))</f>
        <v>0</v>
      </c>
      <c r="D703" s="21"/>
    </row>
    <row r="704" spans="1:4" ht="11.25" customHeight="1" x14ac:dyDescent="0.25">
      <c r="A704" s="22" t="s">
        <v>741</v>
      </c>
      <c r="B704" s="20">
        <f ca="1">INDIRECT(ADDRESS(MATCH(A704,Raw!$A:$A,0),2,1,1,"Raw"))</f>
        <v>0</v>
      </c>
      <c r="C704" s="20">
        <f>INDEX(Raw!$C:$C,MATCH(A704,Raw!$A:$A,0))</f>
        <v>0</v>
      </c>
      <c r="D704" s="21"/>
    </row>
    <row r="705" spans="1:4" ht="11.25" customHeight="1" x14ac:dyDescent="0.25">
      <c r="A705" s="22" t="s">
        <v>742</v>
      </c>
      <c r="B705" s="20">
        <f ca="1">INDIRECT(ADDRESS(MATCH(A705,Raw!$A:$A,0),2,1,1,"Raw"))</f>
        <v>0</v>
      </c>
      <c r="C705" s="20">
        <f>INDEX(Raw!$C:$C,MATCH(A705,Raw!$A:$A,0))</f>
        <v>0</v>
      </c>
      <c r="D705" s="21"/>
    </row>
    <row r="706" spans="1:4" ht="11.25" customHeight="1" x14ac:dyDescent="0.25">
      <c r="A706" s="22" t="s">
        <v>743</v>
      </c>
      <c r="B706" s="20">
        <f ca="1">INDIRECT(ADDRESS(MATCH(A706,Raw!$A:$A,0),2,1,1,"Raw"))</f>
        <v>0</v>
      </c>
      <c r="C706" s="20">
        <f>INDEX(Raw!$C:$C,MATCH(A706,Raw!$A:$A,0))</f>
        <v>0</v>
      </c>
      <c r="D706" s="21"/>
    </row>
    <row r="707" spans="1:4" ht="11.25" customHeight="1" x14ac:dyDescent="0.25">
      <c r="A707" s="22" t="s">
        <v>744</v>
      </c>
      <c r="B707" s="20">
        <f ca="1">INDIRECT(ADDRESS(MATCH(A707,Raw!$A:$A,0),2,1,1,"Raw"))</f>
        <v>0</v>
      </c>
      <c r="C707" s="20">
        <f>INDEX(Raw!$C:$C,MATCH(A707,Raw!$A:$A,0))</f>
        <v>0</v>
      </c>
      <c r="D707" s="21"/>
    </row>
    <row r="708" spans="1:4" ht="11.25" customHeight="1" x14ac:dyDescent="0.25">
      <c r="A708" s="22" t="s">
        <v>745</v>
      </c>
      <c r="B708" s="20">
        <f ca="1">INDIRECT(ADDRESS(MATCH(A708,Raw!$A:$A,0),2,1,1,"Raw"))</f>
        <v>0</v>
      </c>
      <c r="C708" s="20">
        <f>INDEX(Raw!$C:$C,MATCH(A708,Raw!$A:$A,0))</f>
        <v>0</v>
      </c>
      <c r="D708" s="21"/>
    </row>
    <row r="709" spans="1:4" ht="11.25" customHeight="1" x14ac:dyDescent="0.25">
      <c r="A709" s="22" t="s">
        <v>746</v>
      </c>
      <c r="B709" s="20">
        <f ca="1">INDIRECT(ADDRESS(MATCH(A709,Raw!$A:$A,0),2,1,1,"Raw"))</f>
        <v>0</v>
      </c>
      <c r="C709" s="20">
        <f>INDEX(Raw!$C:$C,MATCH(A709,Raw!$A:$A,0))</f>
        <v>0</v>
      </c>
      <c r="D709" s="21"/>
    </row>
    <row r="710" spans="1:4" ht="11.25" customHeight="1" x14ac:dyDescent="0.25">
      <c r="A710" s="22" t="s">
        <v>747</v>
      </c>
      <c r="B710" s="20">
        <f ca="1">INDIRECT(ADDRESS(MATCH(A710,Raw!$A:$A,0),2,1,1,"Raw"))</f>
        <v>0</v>
      </c>
      <c r="C710" s="20">
        <f>INDEX(Raw!$C:$C,MATCH(A710,Raw!$A:$A,0))</f>
        <v>0</v>
      </c>
      <c r="D710" s="21"/>
    </row>
    <row r="711" spans="1:4" ht="11.25" customHeight="1" x14ac:dyDescent="0.25">
      <c r="A711" s="22" t="s">
        <v>748</v>
      </c>
      <c r="B711" s="20">
        <f ca="1">INDIRECT(ADDRESS(MATCH(A711,Raw!$A:$A,0),2,1,1,"Raw"))</f>
        <v>0</v>
      </c>
      <c r="C711" s="20">
        <f>INDEX(Raw!$C:$C,MATCH(A711,Raw!$A:$A,0))</f>
        <v>0</v>
      </c>
      <c r="D711" s="21"/>
    </row>
    <row r="712" spans="1:4" ht="11.25" customHeight="1" x14ac:dyDescent="0.25">
      <c r="A712" s="22" t="s">
        <v>749</v>
      </c>
      <c r="B712" s="20">
        <f ca="1">INDIRECT(ADDRESS(MATCH(A712,Raw!$A:$A,0),2,1,1,"Raw"))</f>
        <v>0</v>
      </c>
      <c r="C712" s="20">
        <f>INDEX(Raw!$C:$C,MATCH(A712,Raw!$A:$A,0))</f>
        <v>0</v>
      </c>
      <c r="D712" s="21"/>
    </row>
    <row r="713" spans="1:4" ht="11.25" customHeight="1" x14ac:dyDescent="0.25">
      <c r="A713" s="22" t="s">
        <v>750</v>
      </c>
      <c r="B713" s="20">
        <f ca="1">INDIRECT(ADDRESS(MATCH(A713,Raw!$A:$A,0),2,1,1,"Raw"))</f>
        <v>0</v>
      </c>
      <c r="C713" s="20">
        <f>INDEX(Raw!$C:$C,MATCH(A713,Raw!$A:$A,0))</f>
        <v>0</v>
      </c>
      <c r="D713" s="21"/>
    </row>
    <row r="714" spans="1:4" ht="11.25" customHeight="1" x14ac:dyDescent="0.25">
      <c r="A714" s="22" t="s">
        <v>751</v>
      </c>
      <c r="B714" s="20">
        <f ca="1">INDIRECT(ADDRESS(MATCH(A714,Raw!$A:$A,0),2,1,1,"Raw"))</f>
        <v>0</v>
      </c>
      <c r="C714" s="20">
        <f>INDEX(Raw!$C:$C,MATCH(A714,Raw!$A:$A,0))</f>
        <v>0</v>
      </c>
      <c r="D714" s="21"/>
    </row>
    <row r="715" spans="1:4" ht="11.25" customHeight="1" x14ac:dyDescent="0.25">
      <c r="A715" s="22" t="s">
        <v>752</v>
      </c>
      <c r="B715" s="20">
        <f ca="1">INDIRECT(ADDRESS(MATCH(A715,Raw!$A:$A,0),2,1,1,"Raw"))</f>
        <v>0</v>
      </c>
      <c r="C715" s="20">
        <f>INDEX(Raw!$C:$C,MATCH(A715,Raw!$A:$A,0))</f>
        <v>0</v>
      </c>
      <c r="D715" s="21"/>
    </row>
    <row r="716" spans="1:4" ht="11.25" customHeight="1" x14ac:dyDescent="0.25">
      <c r="A716" s="22" t="s">
        <v>753</v>
      </c>
      <c r="B716" s="20">
        <f ca="1">INDIRECT(ADDRESS(MATCH(A716,Raw!$A:$A,0),2,1,1,"Raw"))</f>
        <v>0</v>
      </c>
      <c r="C716" s="20">
        <f>INDEX(Raw!$C:$C,MATCH(A716,Raw!$A:$A,0))</f>
        <v>0</v>
      </c>
      <c r="D716" s="21"/>
    </row>
    <row r="717" spans="1:4" ht="11.25" customHeight="1" x14ac:dyDescent="0.25">
      <c r="A717" s="22" t="s">
        <v>754</v>
      </c>
      <c r="B717" s="20">
        <f ca="1">INDIRECT(ADDRESS(MATCH(A717,Raw!$A:$A,0),2,1,1,"Raw"))</f>
        <v>0</v>
      </c>
      <c r="C717" s="20">
        <f>INDEX(Raw!$C:$C,MATCH(A717,Raw!$A:$A,0))</f>
        <v>0</v>
      </c>
      <c r="D717" s="21"/>
    </row>
    <row r="718" spans="1:4" ht="11.25" customHeight="1" x14ac:dyDescent="0.25">
      <c r="A718" s="22" t="s">
        <v>755</v>
      </c>
      <c r="B718" s="20">
        <f ca="1">INDIRECT(ADDRESS(MATCH(A718,Raw!$A:$A,0),2,1,1,"Raw"))</f>
        <v>0</v>
      </c>
      <c r="C718" s="20">
        <f>INDEX(Raw!$C:$C,MATCH(A718,Raw!$A:$A,0))</f>
        <v>0</v>
      </c>
      <c r="D718" s="21"/>
    </row>
    <row r="719" spans="1:4" ht="11.25" customHeight="1" x14ac:dyDescent="0.25">
      <c r="A719" s="22" t="s">
        <v>756</v>
      </c>
      <c r="B719" s="20">
        <f ca="1">INDIRECT(ADDRESS(MATCH(A719,Raw!$A:$A,0),2,1,1,"Raw"))</f>
        <v>0</v>
      </c>
      <c r="C719" s="20">
        <f>INDEX(Raw!$C:$C,MATCH(A719,Raw!$A:$A,0))</f>
        <v>0</v>
      </c>
      <c r="D719" s="21"/>
    </row>
    <row r="720" spans="1:4" ht="11.25" customHeight="1" x14ac:dyDescent="0.25">
      <c r="A720" s="22" t="s">
        <v>757</v>
      </c>
      <c r="B720" s="20">
        <f ca="1">INDIRECT(ADDRESS(MATCH(A720,Raw!$A:$A,0),2,1,1,"Raw"))</f>
        <v>0</v>
      </c>
      <c r="C720" s="20">
        <f>INDEX(Raw!$C:$C,MATCH(A720,Raw!$A:$A,0))</f>
        <v>0</v>
      </c>
      <c r="D720" s="21"/>
    </row>
    <row r="721" spans="1:4" ht="11.25" customHeight="1" x14ac:dyDescent="0.25">
      <c r="A721" s="22" t="s">
        <v>758</v>
      </c>
      <c r="B721" s="20">
        <f ca="1">INDIRECT(ADDRESS(MATCH(A721,Raw!$A:$A,0),2,1,1,"Raw"))</f>
        <v>0</v>
      </c>
      <c r="C721" s="20">
        <f>INDEX(Raw!$C:$C,MATCH(A721,Raw!$A:$A,0))</f>
        <v>0</v>
      </c>
      <c r="D721" s="21"/>
    </row>
    <row r="722" spans="1:4" ht="11.25" customHeight="1" x14ac:dyDescent="0.25">
      <c r="A722" s="22" t="s">
        <v>759</v>
      </c>
      <c r="B722" s="20">
        <f ca="1">INDIRECT(ADDRESS(MATCH(A722,Raw!$A:$A,0),2,1,1,"Raw"))</f>
        <v>0</v>
      </c>
      <c r="C722" s="20">
        <f>INDEX(Raw!$C:$C,MATCH(A722,Raw!$A:$A,0))</f>
        <v>0</v>
      </c>
      <c r="D722" s="21"/>
    </row>
    <row r="723" spans="1:4" ht="11.25" customHeight="1" x14ac:dyDescent="0.25">
      <c r="A723" s="22" t="s">
        <v>760</v>
      </c>
      <c r="B723" s="20">
        <f ca="1">INDIRECT(ADDRESS(MATCH(A723,Raw!$A:$A,0),2,1,1,"Raw"))</f>
        <v>0</v>
      </c>
      <c r="C723" s="20">
        <f>INDEX(Raw!$C:$C,MATCH(A723,Raw!$A:$A,0))</f>
        <v>0</v>
      </c>
      <c r="D723" s="21"/>
    </row>
    <row r="724" spans="1:4" ht="11.25" customHeight="1" x14ac:dyDescent="0.25">
      <c r="A724" s="22" t="s">
        <v>761</v>
      </c>
      <c r="B724" s="20">
        <f ca="1">INDIRECT(ADDRESS(MATCH(A724,Raw!$A:$A,0),2,1,1,"Raw"))</f>
        <v>0</v>
      </c>
      <c r="C724" s="20">
        <f>INDEX(Raw!$C:$C,MATCH(A724,Raw!$A:$A,0))</f>
        <v>0</v>
      </c>
      <c r="D724" s="21"/>
    </row>
    <row r="725" spans="1:4" ht="11.25" customHeight="1" x14ac:dyDescent="0.25">
      <c r="A725" s="22" t="s">
        <v>762</v>
      </c>
      <c r="B725" s="20">
        <f ca="1">INDIRECT(ADDRESS(MATCH(A725,Raw!$A:$A,0),2,1,1,"Raw"))</f>
        <v>0</v>
      </c>
      <c r="C725" s="20">
        <f>INDEX(Raw!$C:$C,MATCH(A725,Raw!$A:$A,0))</f>
        <v>0</v>
      </c>
      <c r="D725" s="21"/>
    </row>
    <row r="726" spans="1:4" ht="11.25" customHeight="1" x14ac:dyDescent="0.25">
      <c r="A726" s="22" t="s">
        <v>763</v>
      </c>
      <c r="B726" s="20">
        <f ca="1">INDIRECT(ADDRESS(MATCH(A726,Raw!$A:$A,0),2,1,1,"Raw"))</f>
        <v>0</v>
      </c>
      <c r="C726" s="20">
        <f>INDEX(Raw!$C:$C,MATCH(A726,Raw!$A:$A,0))</f>
        <v>0</v>
      </c>
      <c r="D726" s="21"/>
    </row>
    <row r="727" spans="1:4" ht="11.25" customHeight="1" x14ac:dyDescent="0.25">
      <c r="A727" s="22" t="s">
        <v>764</v>
      </c>
      <c r="B727" s="20">
        <f ca="1">INDIRECT(ADDRESS(MATCH(A727,Raw!$A:$A,0),2,1,1,"Raw"))</f>
        <v>0</v>
      </c>
      <c r="C727" s="20">
        <f>INDEX(Raw!$C:$C,MATCH(A727,Raw!$A:$A,0))</f>
        <v>0</v>
      </c>
      <c r="D727" s="21"/>
    </row>
    <row r="728" spans="1:4" ht="11.25" customHeight="1" x14ac:dyDescent="0.25">
      <c r="A728" s="22" t="s">
        <v>765</v>
      </c>
      <c r="B728" s="20">
        <f ca="1">INDIRECT(ADDRESS(MATCH(A728,Raw!$A:$A,0),2,1,1,"Raw"))</f>
        <v>0</v>
      </c>
      <c r="C728" s="20">
        <f>INDEX(Raw!$C:$C,MATCH(A728,Raw!$A:$A,0))</f>
        <v>0</v>
      </c>
      <c r="D728" s="21"/>
    </row>
    <row r="729" spans="1:4" ht="11.25" customHeight="1" x14ac:dyDescent="0.25">
      <c r="A729" s="22" t="s">
        <v>766</v>
      </c>
      <c r="B729" s="20">
        <f ca="1">INDIRECT(ADDRESS(MATCH(A729,Raw!$A:$A,0),2,1,1,"Raw"))</f>
        <v>0</v>
      </c>
      <c r="C729" s="20">
        <f>INDEX(Raw!$C:$C,MATCH(A729,Raw!$A:$A,0))</f>
        <v>0</v>
      </c>
      <c r="D729" s="21"/>
    </row>
    <row r="730" spans="1:4" ht="11.25" customHeight="1" x14ac:dyDescent="0.25">
      <c r="A730" s="22" t="s">
        <v>767</v>
      </c>
      <c r="B730" s="20">
        <f ca="1">INDIRECT(ADDRESS(MATCH(A730,Raw!$A:$A,0),2,1,1,"Raw"))</f>
        <v>0</v>
      </c>
      <c r="C730" s="20">
        <f>INDEX(Raw!$C:$C,MATCH(A730,Raw!$A:$A,0))</f>
        <v>0</v>
      </c>
      <c r="D730" s="21"/>
    </row>
    <row r="731" spans="1:4" ht="11.25" customHeight="1" x14ac:dyDescent="0.25">
      <c r="A731" s="22" t="s">
        <v>768</v>
      </c>
      <c r="B731" s="20">
        <f ca="1">INDIRECT(ADDRESS(MATCH(A731,Raw!$A:$A,0),2,1,1,"Raw"))</f>
        <v>0</v>
      </c>
      <c r="C731" s="20">
        <f>INDEX(Raw!$C:$C,MATCH(A731,Raw!$A:$A,0))</f>
        <v>0</v>
      </c>
      <c r="D731" s="21"/>
    </row>
    <row r="732" spans="1:4" ht="11.25" customHeight="1" x14ac:dyDescent="0.25">
      <c r="A732" s="22" t="s">
        <v>769</v>
      </c>
      <c r="B732" s="20">
        <f ca="1">INDIRECT(ADDRESS(MATCH(A732,Raw!$A:$A,0),2,1,1,"Raw"))</f>
        <v>0</v>
      </c>
      <c r="C732" s="20">
        <f>INDEX(Raw!$C:$C,MATCH(A732,Raw!$A:$A,0))</f>
        <v>0</v>
      </c>
      <c r="D732" s="21"/>
    </row>
    <row r="733" spans="1:4" ht="11.25" customHeight="1" x14ac:dyDescent="0.25">
      <c r="A733" s="22" t="s">
        <v>770</v>
      </c>
      <c r="B733" s="20">
        <f ca="1">INDIRECT(ADDRESS(MATCH(A733,Raw!$A:$A,0),2,1,1,"Raw"))</f>
        <v>0</v>
      </c>
      <c r="C733" s="20">
        <f>INDEX(Raw!$C:$C,MATCH(A733,Raw!$A:$A,0))</f>
        <v>0</v>
      </c>
      <c r="D733" s="21"/>
    </row>
    <row r="734" spans="1:4" ht="11.25" customHeight="1" x14ac:dyDescent="0.25">
      <c r="A734" s="22" t="s">
        <v>771</v>
      </c>
      <c r="B734" s="20">
        <f ca="1">INDIRECT(ADDRESS(MATCH(A734,Raw!$A:$A,0),2,1,1,"Raw"))</f>
        <v>0</v>
      </c>
      <c r="C734" s="20">
        <f>INDEX(Raw!$C:$C,MATCH(A734,Raw!$A:$A,0))</f>
        <v>0</v>
      </c>
      <c r="D734" s="21"/>
    </row>
    <row r="735" spans="1:4" ht="11.25" customHeight="1" x14ac:dyDescent="0.25">
      <c r="A735" s="22" t="s">
        <v>772</v>
      </c>
      <c r="B735" s="20">
        <f ca="1">INDIRECT(ADDRESS(MATCH(A735,Raw!$A:$A,0),2,1,1,"Raw"))</f>
        <v>0</v>
      </c>
      <c r="C735" s="20">
        <f>INDEX(Raw!$C:$C,MATCH(A735,Raw!$A:$A,0))</f>
        <v>0</v>
      </c>
      <c r="D735" s="21"/>
    </row>
    <row r="736" spans="1:4" ht="11.25" customHeight="1" x14ac:dyDescent="0.25">
      <c r="A736" s="22" t="s">
        <v>773</v>
      </c>
      <c r="B736" s="20">
        <f ca="1">INDIRECT(ADDRESS(MATCH(A736,Raw!$A:$A,0),2,1,1,"Raw"))</f>
        <v>0</v>
      </c>
      <c r="C736" s="20">
        <f>INDEX(Raw!$C:$C,MATCH(A736,Raw!$A:$A,0))</f>
        <v>0</v>
      </c>
      <c r="D736" s="21"/>
    </row>
    <row r="737" spans="1:4" ht="11.25" customHeight="1" x14ac:dyDescent="0.25">
      <c r="A737" s="22" t="s">
        <v>774</v>
      </c>
      <c r="B737" s="20">
        <f ca="1">INDIRECT(ADDRESS(MATCH(A737,Raw!$A:$A,0),2,1,1,"Raw"))</f>
        <v>0</v>
      </c>
      <c r="C737" s="20">
        <f>INDEX(Raw!$C:$C,MATCH(A737,Raw!$A:$A,0))</f>
        <v>0</v>
      </c>
      <c r="D737" s="21"/>
    </row>
    <row r="738" spans="1:4" ht="11.25" customHeight="1" x14ac:dyDescent="0.25">
      <c r="A738" s="22" t="s">
        <v>775</v>
      </c>
      <c r="B738" s="20">
        <f ca="1">INDIRECT(ADDRESS(MATCH(A738,Raw!$A:$A,0),2,1,1,"Raw"))</f>
        <v>0</v>
      </c>
      <c r="C738" s="20">
        <f>INDEX(Raw!$C:$C,MATCH(A738,Raw!$A:$A,0))</f>
        <v>0</v>
      </c>
      <c r="D738" s="21"/>
    </row>
    <row r="739" spans="1:4" ht="11.25" customHeight="1" x14ac:dyDescent="0.25">
      <c r="A739" s="22" t="s">
        <v>776</v>
      </c>
      <c r="B739" s="20">
        <f ca="1">INDIRECT(ADDRESS(MATCH(A739,Raw!$A:$A,0),2,1,1,"Raw"))</f>
        <v>0</v>
      </c>
      <c r="C739" s="20">
        <f>INDEX(Raw!$C:$C,MATCH(A739,Raw!$A:$A,0))</f>
        <v>0</v>
      </c>
      <c r="D739" s="21"/>
    </row>
    <row r="740" spans="1:4" ht="11.25" customHeight="1" x14ac:dyDescent="0.25">
      <c r="A740" s="22" t="s">
        <v>777</v>
      </c>
      <c r="B740" s="20">
        <f ca="1">INDIRECT(ADDRESS(MATCH(A740,Raw!$A:$A,0),2,1,1,"Raw"))</f>
        <v>0</v>
      </c>
      <c r="C740" s="20">
        <f>INDEX(Raw!$C:$C,MATCH(A740,Raw!$A:$A,0))</f>
        <v>0</v>
      </c>
      <c r="D740" s="21"/>
    </row>
    <row r="741" spans="1:4" ht="11.25" customHeight="1" x14ac:dyDescent="0.25">
      <c r="A741" s="22" t="s">
        <v>778</v>
      </c>
      <c r="B741" s="20">
        <f ca="1">INDIRECT(ADDRESS(MATCH(A741,Raw!$A:$A,0),2,1,1,"Raw"))</f>
        <v>0</v>
      </c>
      <c r="C741" s="20">
        <f>INDEX(Raw!$C:$C,MATCH(A741,Raw!$A:$A,0))</f>
        <v>0</v>
      </c>
      <c r="D741" s="21"/>
    </row>
    <row r="742" spans="1:4" ht="11.25" customHeight="1" x14ac:dyDescent="0.25">
      <c r="A742" s="22" t="s">
        <v>779</v>
      </c>
      <c r="B742" s="20">
        <f ca="1">INDIRECT(ADDRESS(MATCH(A742,Raw!$A:$A,0),2,1,1,"Raw"))</f>
        <v>0</v>
      </c>
      <c r="C742" s="20">
        <f>INDEX(Raw!$C:$C,MATCH(A742,Raw!$A:$A,0))</f>
        <v>0</v>
      </c>
      <c r="D742" s="21"/>
    </row>
    <row r="743" spans="1:4" ht="11.25" customHeight="1" x14ac:dyDescent="0.25">
      <c r="A743" s="22" t="s">
        <v>780</v>
      </c>
      <c r="B743" s="20">
        <f ca="1">INDIRECT(ADDRESS(MATCH(A743,Raw!$A:$A,0),2,1,1,"Raw"))</f>
        <v>0</v>
      </c>
      <c r="C743" s="20">
        <f>INDEX(Raw!$C:$C,MATCH(A743,Raw!$A:$A,0))</f>
        <v>0</v>
      </c>
      <c r="D743" s="21"/>
    </row>
    <row r="744" spans="1:4" ht="11.25" customHeight="1" x14ac:dyDescent="0.25">
      <c r="A744" s="22" t="s">
        <v>781</v>
      </c>
      <c r="B744" s="20">
        <f ca="1">INDIRECT(ADDRESS(MATCH(A744,Raw!$A:$A,0),2,1,1,"Raw"))</f>
        <v>0</v>
      </c>
      <c r="C744" s="20">
        <f>INDEX(Raw!$C:$C,MATCH(A744,Raw!$A:$A,0))</f>
        <v>0</v>
      </c>
      <c r="D744" s="21"/>
    </row>
    <row r="745" spans="1:4" ht="11.25" customHeight="1" x14ac:dyDescent="0.25">
      <c r="A745" s="22" t="s">
        <v>782</v>
      </c>
      <c r="B745" s="20">
        <f ca="1">INDIRECT(ADDRESS(MATCH(A745,Raw!$A:$A,0),2,1,1,"Raw"))</f>
        <v>0</v>
      </c>
      <c r="C745" s="20">
        <f>INDEX(Raw!$C:$C,MATCH(A745,Raw!$A:$A,0))</f>
        <v>0</v>
      </c>
      <c r="D745" s="21"/>
    </row>
    <row r="746" spans="1:4" ht="11.25" customHeight="1" x14ac:dyDescent="0.25">
      <c r="A746" s="22" t="s">
        <v>783</v>
      </c>
      <c r="B746" s="20">
        <f ca="1">INDIRECT(ADDRESS(MATCH(A746,Raw!$A:$A,0),2,1,1,"Raw"))</f>
        <v>0</v>
      </c>
      <c r="C746" s="20">
        <f>INDEX(Raw!$C:$C,MATCH(A746,Raw!$A:$A,0))</f>
        <v>0</v>
      </c>
      <c r="D746" s="21"/>
    </row>
    <row r="747" spans="1:4" ht="11.25" customHeight="1" x14ac:dyDescent="0.25">
      <c r="A747" s="22" t="s">
        <v>784</v>
      </c>
      <c r="B747" s="20">
        <f ca="1">INDIRECT(ADDRESS(MATCH(A747,Raw!$A:$A,0),2,1,1,"Raw"))</f>
        <v>0</v>
      </c>
      <c r="C747" s="20">
        <f>INDEX(Raw!$C:$C,MATCH(A747,Raw!$A:$A,0))</f>
        <v>0</v>
      </c>
      <c r="D747" s="21"/>
    </row>
    <row r="748" spans="1:4" ht="11.25" customHeight="1" x14ac:dyDescent="0.25">
      <c r="A748" s="22" t="s">
        <v>785</v>
      </c>
      <c r="B748" s="20">
        <f ca="1">INDIRECT(ADDRESS(MATCH(A748,Raw!$A:$A,0),2,1,1,"Raw"))</f>
        <v>0</v>
      </c>
      <c r="C748" s="20">
        <f>INDEX(Raw!$C:$C,MATCH(A748,Raw!$A:$A,0))</f>
        <v>0</v>
      </c>
      <c r="D748" s="21"/>
    </row>
    <row r="749" spans="1:4" ht="11.25" customHeight="1" x14ac:dyDescent="0.25">
      <c r="A749" s="22" t="s">
        <v>786</v>
      </c>
      <c r="B749" s="20">
        <f ca="1">INDIRECT(ADDRESS(MATCH(A749,Raw!$A:$A,0),2,1,1,"Raw"))</f>
        <v>0</v>
      </c>
      <c r="C749" s="20">
        <f>INDEX(Raw!$C:$C,MATCH(A749,Raw!$A:$A,0))</f>
        <v>0</v>
      </c>
      <c r="D749" s="21"/>
    </row>
    <row r="750" spans="1:4" ht="11.25" customHeight="1" x14ac:dyDescent="0.25">
      <c r="A750" s="22" t="s">
        <v>787</v>
      </c>
      <c r="B750" s="20">
        <f ca="1">INDIRECT(ADDRESS(MATCH(A750,Raw!$A:$A,0),2,1,1,"Raw"))</f>
        <v>0</v>
      </c>
      <c r="C750" s="20">
        <f>INDEX(Raw!$C:$C,MATCH(A750,Raw!$A:$A,0))</f>
        <v>0</v>
      </c>
      <c r="D750" s="21"/>
    </row>
    <row r="751" spans="1:4" ht="11.25" customHeight="1" x14ac:dyDescent="0.25">
      <c r="A751" s="22" t="s">
        <v>788</v>
      </c>
      <c r="B751" s="20">
        <f ca="1">INDIRECT(ADDRESS(MATCH(A751,Raw!$A:$A,0),2,1,1,"Raw"))</f>
        <v>0</v>
      </c>
      <c r="C751" s="20">
        <f>INDEX(Raw!$C:$C,MATCH(A751,Raw!$A:$A,0))</f>
        <v>0</v>
      </c>
      <c r="D751" s="21"/>
    </row>
    <row r="752" spans="1:4" ht="11.25" customHeight="1" x14ac:dyDescent="0.25">
      <c r="A752" s="22" t="s">
        <v>789</v>
      </c>
      <c r="B752" s="20">
        <f ca="1">INDIRECT(ADDRESS(MATCH(A752,Raw!$A:$A,0),2,1,1,"Raw"))</f>
        <v>0</v>
      </c>
      <c r="C752" s="20">
        <f>INDEX(Raw!$C:$C,MATCH(A752,Raw!$A:$A,0))</f>
        <v>0</v>
      </c>
      <c r="D752" s="21"/>
    </row>
    <row r="753" spans="1:4" ht="11.25" customHeight="1" x14ac:dyDescent="0.25">
      <c r="A753" s="22" t="s">
        <v>790</v>
      </c>
      <c r="B753" s="20">
        <f ca="1">INDIRECT(ADDRESS(MATCH(A753,Raw!$A:$A,0),2,1,1,"Raw"))</f>
        <v>0</v>
      </c>
      <c r="C753" s="20">
        <f>INDEX(Raw!$C:$C,MATCH(A753,Raw!$A:$A,0))</f>
        <v>0</v>
      </c>
      <c r="D753" s="21"/>
    </row>
    <row r="754" spans="1:4" ht="11.25" customHeight="1" x14ac:dyDescent="0.25">
      <c r="A754" s="22" t="s">
        <v>791</v>
      </c>
      <c r="B754" s="20">
        <f ca="1">INDIRECT(ADDRESS(MATCH(A754,Raw!$A:$A,0),2,1,1,"Raw"))</f>
        <v>0</v>
      </c>
      <c r="C754" s="20">
        <f>INDEX(Raw!$C:$C,MATCH(A754,Raw!$A:$A,0))</f>
        <v>0</v>
      </c>
      <c r="D754" s="21"/>
    </row>
    <row r="755" spans="1:4" ht="11.25" customHeight="1" x14ac:dyDescent="0.25">
      <c r="A755" s="22" t="s">
        <v>792</v>
      </c>
      <c r="B755" s="20">
        <f ca="1">INDIRECT(ADDRESS(MATCH(A755,Raw!$A:$A,0),2,1,1,"Raw"))</f>
        <v>0</v>
      </c>
      <c r="C755" s="20">
        <f>INDEX(Raw!$C:$C,MATCH(A755,Raw!$A:$A,0))</f>
        <v>0</v>
      </c>
      <c r="D755" s="21"/>
    </row>
    <row r="756" spans="1:4" ht="11.25" customHeight="1" x14ac:dyDescent="0.25">
      <c r="A756" s="22" t="s">
        <v>793</v>
      </c>
      <c r="B756" s="20">
        <f ca="1">INDIRECT(ADDRESS(MATCH(A756,Raw!$A:$A,0),2,1,1,"Raw"))</f>
        <v>0</v>
      </c>
      <c r="C756" s="20">
        <f>INDEX(Raw!$C:$C,MATCH(A756,Raw!$A:$A,0))</f>
        <v>0</v>
      </c>
      <c r="D756" s="21"/>
    </row>
    <row r="757" spans="1:4" ht="11.25" customHeight="1" x14ac:dyDescent="0.25">
      <c r="A757" s="22" t="s">
        <v>794</v>
      </c>
      <c r="B757" s="20">
        <f ca="1">INDIRECT(ADDRESS(MATCH(A757,Raw!$A:$A,0),2,1,1,"Raw"))</f>
        <v>0</v>
      </c>
      <c r="C757" s="20">
        <f>INDEX(Raw!$C:$C,MATCH(A757,Raw!$A:$A,0))</f>
        <v>0</v>
      </c>
      <c r="D757" s="21"/>
    </row>
    <row r="758" spans="1:4" ht="11.25" customHeight="1" x14ac:dyDescent="0.25">
      <c r="A758" s="22" t="s">
        <v>795</v>
      </c>
      <c r="B758" s="20">
        <f ca="1">INDIRECT(ADDRESS(MATCH(A758,Raw!$A:$A,0),2,1,1,"Raw"))</f>
        <v>0</v>
      </c>
      <c r="C758" s="20">
        <f>INDEX(Raw!$C:$C,MATCH(A758,Raw!$A:$A,0))</f>
        <v>0</v>
      </c>
      <c r="D758" s="21"/>
    </row>
    <row r="759" spans="1:4" ht="11.25" customHeight="1" x14ac:dyDescent="0.25">
      <c r="A759" s="22" t="s">
        <v>796</v>
      </c>
      <c r="B759" s="20">
        <f ca="1">INDIRECT(ADDRESS(MATCH(A759,Raw!$A:$A,0),2,1,1,"Raw"))</f>
        <v>0</v>
      </c>
      <c r="C759" s="20">
        <f>INDEX(Raw!$C:$C,MATCH(A759,Raw!$A:$A,0))</f>
        <v>0</v>
      </c>
      <c r="D759" s="21"/>
    </row>
    <row r="760" spans="1:4" ht="11.25" customHeight="1" x14ac:dyDescent="0.25">
      <c r="A760" s="22" t="s">
        <v>797</v>
      </c>
      <c r="B760" s="20">
        <f ca="1">INDIRECT(ADDRESS(MATCH(A760,Raw!$A:$A,0),2,1,1,"Raw"))</f>
        <v>0</v>
      </c>
      <c r="C760" s="20">
        <f>INDEX(Raw!$C:$C,MATCH(A760,Raw!$A:$A,0))</f>
        <v>0</v>
      </c>
      <c r="D760" s="21"/>
    </row>
    <row r="761" spans="1:4" ht="11.25" customHeight="1" x14ac:dyDescent="0.25">
      <c r="A761" s="22" t="s">
        <v>798</v>
      </c>
      <c r="B761" s="20">
        <f ca="1">INDIRECT(ADDRESS(MATCH(A761,Raw!$A:$A,0),2,1,1,"Raw"))</f>
        <v>0</v>
      </c>
      <c r="C761" s="20">
        <f>INDEX(Raw!$C:$C,MATCH(A761,Raw!$A:$A,0))</f>
        <v>0</v>
      </c>
      <c r="D761" s="21"/>
    </row>
    <row r="762" spans="1:4" ht="11.25" customHeight="1" x14ac:dyDescent="0.25">
      <c r="A762" s="22" t="s">
        <v>799</v>
      </c>
      <c r="B762" s="20">
        <f ca="1">INDIRECT(ADDRESS(MATCH(A762,Raw!$A:$A,0),2,1,1,"Raw"))</f>
        <v>0</v>
      </c>
      <c r="C762" s="20">
        <f>INDEX(Raw!$C:$C,MATCH(A762,Raw!$A:$A,0))</f>
        <v>0</v>
      </c>
      <c r="D762" s="21"/>
    </row>
    <row r="763" spans="1:4" ht="11.25" customHeight="1" x14ac:dyDescent="0.25">
      <c r="A763" s="22" t="s">
        <v>800</v>
      </c>
      <c r="B763" s="20">
        <f ca="1">INDIRECT(ADDRESS(MATCH(A763,Raw!$A:$A,0),2,1,1,"Raw"))</f>
        <v>0</v>
      </c>
      <c r="C763" s="20">
        <f>INDEX(Raw!$C:$C,MATCH(A763,Raw!$A:$A,0))</f>
        <v>0</v>
      </c>
      <c r="D763" s="21"/>
    </row>
    <row r="764" spans="1:4" ht="11.25" customHeight="1" x14ac:dyDescent="0.25">
      <c r="A764" s="22" t="s">
        <v>801</v>
      </c>
      <c r="B764" s="20">
        <f ca="1">INDIRECT(ADDRESS(MATCH(A764,Raw!$A:$A,0),2,1,1,"Raw"))</f>
        <v>0</v>
      </c>
      <c r="C764" s="20">
        <f>INDEX(Raw!$C:$C,MATCH(A764,Raw!$A:$A,0))</f>
        <v>0</v>
      </c>
      <c r="D764" s="21"/>
    </row>
    <row r="765" spans="1:4" ht="11.25" customHeight="1" x14ac:dyDescent="0.25">
      <c r="A765" s="22" t="s">
        <v>802</v>
      </c>
      <c r="B765" s="20">
        <f ca="1">INDIRECT(ADDRESS(MATCH(A765,Raw!$A:$A,0),2,1,1,"Raw"))</f>
        <v>0</v>
      </c>
      <c r="C765" s="20">
        <f>INDEX(Raw!$C:$C,MATCH(A765,Raw!$A:$A,0))</f>
        <v>0</v>
      </c>
      <c r="D765" s="21"/>
    </row>
    <row r="766" spans="1:4" ht="11.25" customHeight="1" x14ac:dyDescent="0.25">
      <c r="A766" s="22" t="s">
        <v>803</v>
      </c>
      <c r="B766" s="20">
        <f ca="1">INDIRECT(ADDRESS(MATCH(A766,Raw!$A:$A,0),2,1,1,"Raw"))</f>
        <v>0</v>
      </c>
      <c r="C766" s="20">
        <f>INDEX(Raw!$C:$C,MATCH(A766,Raw!$A:$A,0))</f>
        <v>0</v>
      </c>
      <c r="D766" s="21"/>
    </row>
    <row r="767" spans="1:4" ht="11.25" customHeight="1" x14ac:dyDescent="0.25">
      <c r="A767" s="22" t="s">
        <v>804</v>
      </c>
      <c r="B767" s="20">
        <f ca="1">INDIRECT(ADDRESS(MATCH(A767,Raw!$A:$A,0),2,1,1,"Raw"))</f>
        <v>0</v>
      </c>
      <c r="C767" s="20">
        <f>INDEX(Raw!$C:$C,MATCH(A767,Raw!$A:$A,0))</f>
        <v>0</v>
      </c>
      <c r="D767" s="21"/>
    </row>
    <row r="768" spans="1:4" ht="11.25" customHeight="1" x14ac:dyDescent="0.25">
      <c r="A768" s="22" t="s">
        <v>805</v>
      </c>
      <c r="B768" s="20">
        <f ca="1">INDIRECT(ADDRESS(MATCH(A768,Raw!$A:$A,0),2,1,1,"Raw"))</f>
        <v>0</v>
      </c>
      <c r="C768" s="20">
        <f>INDEX(Raw!$C:$C,MATCH(A768,Raw!$A:$A,0))</f>
        <v>0</v>
      </c>
      <c r="D768" s="21"/>
    </row>
    <row r="769" spans="1:4" ht="11.25" customHeight="1" x14ac:dyDescent="0.25">
      <c r="A769" s="22" t="s">
        <v>806</v>
      </c>
      <c r="B769" s="20">
        <f ca="1">INDIRECT(ADDRESS(MATCH(A769,Raw!$A:$A,0),2,1,1,"Raw"))</f>
        <v>0</v>
      </c>
      <c r="C769" s="20">
        <f>INDEX(Raw!$C:$C,MATCH(A769,Raw!$A:$A,0))</f>
        <v>0</v>
      </c>
      <c r="D769" s="21"/>
    </row>
    <row r="770" spans="1:4" ht="11.25" customHeight="1" x14ac:dyDescent="0.25">
      <c r="A770" s="22" t="s">
        <v>807</v>
      </c>
      <c r="B770" s="20">
        <f ca="1">INDIRECT(ADDRESS(MATCH(A770,Raw!$A:$A,0),2,1,1,"Raw"))</f>
        <v>0</v>
      </c>
      <c r="C770" s="20">
        <f>INDEX(Raw!$C:$C,MATCH(A770,Raw!$A:$A,0))</f>
        <v>0</v>
      </c>
      <c r="D770" s="21"/>
    </row>
    <row r="771" spans="1:4" ht="11.25" customHeight="1" x14ac:dyDescent="0.25">
      <c r="A771" s="22" t="s">
        <v>808</v>
      </c>
      <c r="B771" s="20">
        <f ca="1">INDIRECT(ADDRESS(MATCH(A771,Raw!$A:$A,0),2,1,1,"Raw"))</f>
        <v>0</v>
      </c>
      <c r="C771" s="20">
        <f>INDEX(Raw!$C:$C,MATCH(A771,Raw!$A:$A,0))</f>
        <v>0</v>
      </c>
      <c r="D771" s="21"/>
    </row>
    <row r="772" spans="1:4" ht="11.25" customHeight="1" x14ac:dyDescent="0.25">
      <c r="A772" s="22" t="s">
        <v>809</v>
      </c>
      <c r="B772" s="20">
        <f ca="1">INDIRECT(ADDRESS(MATCH(A772,Raw!$A:$A,0),2,1,1,"Raw"))</f>
        <v>0</v>
      </c>
      <c r="C772" s="20">
        <f>INDEX(Raw!$C:$C,MATCH(A772,Raw!$A:$A,0))</f>
        <v>0</v>
      </c>
      <c r="D772" s="21"/>
    </row>
    <row r="773" spans="1:4" ht="11.25" customHeight="1" x14ac:dyDescent="0.25">
      <c r="A773" s="22" t="s">
        <v>810</v>
      </c>
      <c r="B773" s="20">
        <f ca="1">INDIRECT(ADDRESS(MATCH(A773,Raw!$A:$A,0),2,1,1,"Raw"))</f>
        <v>0</v>
      </c>
      <c r="C773" s="20">
        <f>INDEX(Raw!$C:$C,MATCH(A773,Raw!$A:$A,0))</f>
        <v>0</v>
      </c>
      <c r="D773" s="21"/>
    </row>
    <row r="774" spans="1:4" ht="11.25" customHeight="1" x14ac:dyDescent="0.25">
      <c r="A774" s="22" t="s">
        <v>811</v>
      </c>
      <c r="B774" s="20">
        <f ca="1">INDIRECT(ADDRESS(MATCH(A774,Raw!$A:$A,0),2,1,1,"Raw"))</f>
        <v>0</v>
      </c>
      <c r="C774" s="20">
        <f>INDEX(Raw!$C:$C,MATCH(A774,Raw!$A:$A,0))</f>
        <v>0</v>
      </c>
      <c r="D774" s="21"/>
    </row>
    <row r="775" spans="1:4" ht="11.25" customHeight="1" x14ac:dyDescent="0.25">
      <c r="A775" s="22" t="s">
        <v>812</v>
      </c>
      <c r="B775" s="20">
        <f ca="1">INDIRECT(ADDRESS(MATCH(A775,Raw!$A:$A,0),2,1,1,"Raw"))</f>
        <v>0</v>
      </c>
      <c r="C775" s="20">
        <f>INDEX(Raw!$C:$C,MATCH(A775,Raw!$A:$A,0))</f>
        <v>0</v>
      </c>
      <c r="D775" s="21"/>
    </row>
    <row r="776" spans="1:4" ht="11.25" customHeight="1" x14ac:dyDescent="0.25">
      <c r="A776" s="22" t="s">
        <v>813</v>
      </c>
      <c r="B776" s="20">
        <f ca="1">INDIRECT(ADDRESS(MATCH(A776,Raw!$A:$A,0),2,1,1,"Raw"))</f>
        <v>0</v>
      </c>
      <c r="C776" s="20">
        <f>INDEX(Raw!$C:$C,MATCH(A776,Raw!$A:$A,0))</f>
        <v>0</v>
      </c>
      <c r="D776" s="21"/>
    </row>
    <row r="777" spans="1:4" ht="11.25" customHeight="1" x14ac:dyDescent="0.25">
      <c r="A777" s="22" t="s">
        <v>814</v>
      </c>
      <c r="B777" s="20">
        <f ca="1">INDIRECT(ADDRESS(MATCH(A777,Raw!$A:$A,0),2,1,1,"Raw"))</f>
        <v>0</v>
      </c>
      <c r="C777" s="20">
        <f>INDEX(Raw!$C:$C,MATCH(A777,Raw!$A:$A,0))</f>
        <v>0</v>
      </c>
      <c r="D777" s="21"/>
    </row>
    <row r="778" spans="1:4" ht="11.25" customHeight="1" x14ac:dyDescent="0.25">
      <c r="A778" s="22" t="s">
        <v>815</v>
      </c>
      <c r="B778" s="20">
        <f ca="1">INDIRECT(ADDRESS(MATCH(A778,Raw!$A:$A,0),2,1,1,"Raw"))</f>
        <v>0</v>
      </c>
      <c r="C778" s="20">
        <f>INDEX(Raw!$C:$C,MATCH(A778,Raw!$A:$A,0))</f>
        <v>0</v>
      </c>
      <c r="D778" s="21"/>
    </row>
    <row r="779" spans="1:4" ht="11.25" customHeight="1" x14ac:dyDescent="0.25">
      <c r="A779" s="22" t="s">
        <v>816</v>
      </c>
      <c r="B779" s="20">
        <f ca="1">INDIRECT(ADDRESS(MATCH(A779,Raw!$A:$A,0),2,1,1,"Raw"))</f>
        <v>0</v>
      </c>
      <c r="C779" s="20">
        <f>INDEX(Raw!$C:$C,MATCH(A779,Raw!$A:$A,0))</f>
        <v>0</v>
      </c>
      <c r="D779" s="21"/>
    </row>
    <row r="780" spans="1:4" ht="11.25" customHeight="1" x14ac:dyDescent="0.25">
      <c r="A780" s="22" t="s">
        <v>817</v>
      </c>
      <c r="B780" s="20">
        <f ca="1">INDIRECT(ADDRESS(MATCH(A780,Raw!$A:$A,0),2,1,1,"Raw"))</f>
        <v>0</v>
      </c>
      <c r="C780" s="20">
        <f>INDEX(Raw!$C:$C,MATCH(A780,Raw!$A:$A,0))</f>
        <v>0</v>
      </c>
      <c r="D780" s="21"/>
    </row>
    <row r="781" spans="1:4" ht="11.25" customHeight="1" x14ac:dyDescent="0.25">
      <c r="A781" s="22" t="s">
        <v>818</v>
      </c>
      <c r="B781" s="20">
        <f ca="1">INDIRECT(ADDRESS(MATCH(A781,Raw!$A:$A,0),2,1,1,"Raw"))</f>
        <v>0</v>
      </c>
      <c r="C781" s="20">
        <f>INDEX(Raw!$C:$C,MATCH(A781,Raw!$A:$A,0))</f>
        <v>0</v>
      </c>
      <c r="D781" s="21"/>
    </row>
    <row r="782" spans="1:4" ht="11.25" customHeight="1" x14ac:dyDescent="0.25">
      <c r="A782" s="22" t="s">
        <v>819</v>
      </c>
      <c r="B782" s="20">
        <f ca="1">INDIRECT(ADDRESS(MATCH(A782,Raw!$A:$A,0),2,1,1,"Raw"))</f>
        <v>0</v>
      </c>
      <c r="C782" s="20">
        <f>INDEX(Raw!$C:$C,MATCH(A782,Raw!$A:$A,0))</f>
        <v>0</v>
      </c>
      <c r="D782" s="21"/>
    </row>
    <row r="783" spans="1:4" ht="11.25" customHeight="1" x14ac:dyDescent="0.25">
      <c r="A783" s="22" t="s">
        <v>820</v>
      </c>
      <c r="B783" s="20">
        <f ca="1">INDIRECT(ADDRESS(MATCH(A783,Raw!$A:$A,0),2,1,1,"Raw"))</f>
        <v>0</v>
      </c>
      <c r="C783" s="20">
        <f>INDEX(Raw!$C:$C,MATCH(A783,Raw!$A:$A,0))</f>
        <v>0</v>
      </c>
      <c r="D783" s="21"/>
    </row>
    <row r="784" spans="1:4" ht="11.25" customHeight="1" x14ac:dyDescent="0.25">
      <c r="A784" s="22" t="s">
        <v>821</v>
      </c>
      <c r="B784" s="20">
        <f ca="1">INDIRECT(ADDRESS(MATCH(A784,Raw!$A:$A,0),2,1,1,"Raw"))</f>
        <v>0</v>
      </c>
      <c r="C784" s="20">
        <f>INDEX(Raw!$C:$C,MATCH(A784,Raw!$A:$A,0))</f>
        <v>0</v>
      </c>
      <c r="D784" s="21"/>
    </row>
    <row r="785" spans="1:4" ht="11.25" customHeight="1" x14ac:dyDescent="0.25">
      <c r="A785" s="22" t="s">
        <v>822</v>
      </c>
      <c r="B785" s="20">
        <f ca="1">INDIRECT(ADDRESS(MATCH(A785,Raw!$A:$A,0),2,1,1,"Raw"))</f>
        <v>0</v>
      </c>
      <c r="C785" s="20">
        <f>INDEX(Raw!$C:$C,MATCH(A785,Raw!$A:$A,0))</f>
        <v>0</v>
      </c>
      <c r="D785" s="21"/>
    </row>
    <row r="786" spans="1:4" ht="11.25" customHeight="1" x14ac:dyDescent="0.25">
      <c r="A786" s="22" t="s">
        <v>823</v>
      </c>
      <c r="B786" s="20">
        <f ca="1">INDIRECT(ADDRESS(MATCH(A786,Raw!$A:$A,0),2,1,1,"Raw"))</f>
        <v>0</v>
      </c>
      <c r="C786" s="20">
        <f>INDEX(Raw!$C:$C,MATCH(A786,Raw!$A:$A,0))</f>
        <v>0</v>
      </c>
      <c r="D786" s="21"/>
    </row>
    <row r="787" spans="1:4" ht="11.25" customHeight="1" x14ac:dyDescent="0.25">
      <c r="A787" s="22" t="s">
        <v>824</v>
      </c>
      <c r="B787" s="20">
        <f ca="1">INDIRECT(ADDRESS(MATCH(A787,Raw!$A:$A,0),2,1,1,"Raw"))</f>
        <v>0</v>
      </c>
      <c r="C787" s="20">
        <f>INDEX(Raw!$C:$C,MATCH(A787,Raw!$A:$A,0))</f>
        <v>0</v>
      </c>
      <c r="D787" s="21"/>
    </row>
    <row r="788" spans="1:4" ht="11.25" customHeight="1" x14ac:dyDescent="0.25">
      <c r="A788" s="22" t="s">
        <v>825</v>
      </c>
      <c r="B788" s="20">
        <f ca="1">INDIRECT(ADDRESS(MATCH(A788,Raw!$A:$A,0),2,1,1,"Raw"))</f>
        <v>0</v>
      </c>
      <c r="C788" s="20">
        <f>INDEX(Raw!$C:$C,MATCH(A788,Raw!$A:$A,0))</f>
        <v>0</v>
      </c>
      <c r="D788" s="21"/>
    </row>
    <row r="789" spans="1:4" ht="11.25" customHeight="1" x14ac:dyDescent="0.25">
      <c r="A789" s="22" t="s">
        <v>826</v>
      </c>
      <c r="B789" s="20">
        <f ca="1">INDIRECT(ADDRESS(MATCH(A789,Raw!$A:$A,0),2,1,1,"Raw"))</f>
        <v>0</v>
      </c>
      <c r="C789" s="20">
        <f>INDEX(Raw!$C:$C,MATCH(A789,Raw!$A:$A,0))</f>
        <v>0</v>
      </c>
      <c r="D789" s="21"/>
    </row>
    <row r="790" spans="1:4" ht="11.25" customHeight="1" x14ac:dyDescent="0.25">
      <c r="A790" s="22" t="s">
        <v>827</v>
      </c>
      <c r="B790" s="20">
        <f ca="1">INDIRECT(ADDRESS(MATCH(A790,Raw!$A:$A,0),2,1,1,"Raw"))</f>
        <v>0</v>
      </c>
      <c r="C790" s="20">
        <f>INDEX(Raw!$C:$C,MATCH(A790,Raw!$A:$A,0))</f>
        <v>0</v>
      </c>
      <c r="D790" s="21"/>
    </row>
    <row r="791" spans="1:4" ht="11.25" customHeight="1" x14ac:dyDescent="0.25">
      <c r="A791" s="22" t="s">
        <v>828</v>
      </c>
      <c r="B791" s="20">
        <f ca="1">INDIRECT(ADDRESS(MATCH(A791,Raw!$A:$A,0),2,1,1,"Raw"))</f>
        <v>0</v>
      </c>
      <c r="C791" s="20">
        <f>INDEX(Raw!$C:$C,MATCH(A791,Raw!$A:$A,0))</f>
        <v>0</v>
      </c>
      <c r="D791" s="21"/>
    </row>
    <row r="792" spans="1:4" ht="11.25" customHeight="1" x14ac:dyDescent="0.25">
      <c r="A792" s="22" t="s">
        <v>829</v>
      </c>
      <c r="B792" s="20">
        <f ca="1">INDIRECT(ADDRESS(MATCH(A792,Raw!$A:$A,0),2,1,1,"Raw"))</f>
        <v>0</v>
      </c>
      <c r="C792" s="20">
        <f>INDEX(Raw!$C:$C,MATCH(A792,Raw!$A:$A,0))</f>
        <v>0</v>
      </c>
      <c r="D792" s="21"/>
    </row>
    <row r="793" spans="1:4" ht="11.25" customHeight="1" x14ac:dyDescent="0.25">
      <c r="A793" s="22" t="s">
        <v>830</v>
      </c>
      <c r="B793" s="20">
        <f ca="1">INDIRECT(ADDRESS(MATCH(A793,Raw!$A:$A,0),2,1,1,"Raw"))</f>
        <v>0</v>
      </c>
      <c r="C793" s="20">
        <f>INDEX(Raw!$C:$C,MATCH(A793,Raw!$A:$A,0))</f>
        <v>0</v>
      </c>
      <c r="D793" s="21"/>
    </row>
    <row r="794" spans="1:4" ht="11.25" customHeight="1" x14ac:dyDescent="0.25">
      <c r="A794" s="22" t="s">
        <v>831</v>
      </c>
      <c r="B794" s="20">
        <f ca="1">INDIRECT(ADDRESS(MATCH(A794,Raw!$A:$A,0),2,1,1,"Raw"))</f>
        <v>0</v>
      </c>
      <c r="C794" s="20">
        <f>INDEX(Raw!$C:$C,MATCH(A794,Raw!$A:$A,0))</f>
        <v>0</v>
      </c>
      <c r="D794" s="21"/>
    </row>
    <row r="795" spans="1:4" ht="11.25" customHeight="1" x14ac:dyDescent="0.25">
      <c r="A795" s="22" t="s">
        <v>832</v>
      </c>
      <c r="B795" s="20">
        <f ca="1">INDIRECT(ADDRESS(MATCH(A795,Raw!$A:$A,0),2,1,1,"Raw"))</f>
        <v>0</v>
      </c>
      <c r="C795" s="20">
        <f>INDEX(Raw!$C:$C,MATCH(A795,Raw!$A:$A,0))</f>
        <v>0</v>
      </c>
      <c r="D795" s="21"/>
    </row>
    <row r="796" spans="1:4" ht="11.25" customHeight="1" x14ac:dyDescent="0.25">
      <c r="A796" s="22" t="s">
        <v>833</v>
      </c>
      <c r="B796" s="20">
        <f ca="1">INDIRECT(ADDRESS(MATCH(A796,Raw!$A:$A,0),2,1,1,"Raw"))</f>
        <v>0</v>
      </c>
      <c r="C796" s="20">
        <f>INDEX(Raw!$C:$C,MATCH(A796,Raw!$A:$A,0))</f>
        <v>0</v>
      </c>
      <c r="D796" s="21"/>
    </row>
    <row r="797" spans="1:4" ht="11.25" customHeight="1" x14ac:dyDescent="0.25">
      <c r="A797" s="22" t="s">
        <v>834</v>
      </c>
      <c r="B797" s="20">
        <f ca="1">INDIRECT(ADDRESS(MATCH(A797,Raw!$A:$A,0),2,1,1,"Raw"))</f>
        <v>0</v>
      </c>
      <c r="C797" s="20">
        <f>INDEX(Raw!$C:$C,MATCH(A797,Raw!$A:$A,0))</f>
        <v>0</v>
      </c>
      <c r="D797" s="21"/>
    </row>
    <row r="798" spans="1:4" ht="11.25" customHeight="1" x14ac:dyDescent="0.25">
      <c r="A798" s="22" t="s">
        <v>835</v>
      </c>
      <c r="B798" s="20">
        <f ca="1">INDIRECT(ADDRESS(MATCH(A798,Raw!$A:$A,0),2,1,1,"Raw"))</f>
        <v>0</v>
      </c>
      <c r="C798" s="20">
        <f>INDEX(Raw!$C:$C,MATCH(A798,Raw!$A:$A,0))</f>
        <v>0</v>
      </c>
      <c r="D798" s="21"/>
    </row>
    <row r="799" spans="1:4" ht="11.25" customHeight="1" x14ac:dyDescent="0.25">
      <c r="A799" s="22" t="s">
        <v>836</v>
      </c>
      <c r="B799" s="20">
        <f ca="1">INDIRECT(ADDRESS(MATCH(A799,Raw!$A:$A,0),2,1,1,"Raw"))</f>
        <v>0</v>
      </c>
      <c r="C799" s="20">
        <f>INDEX(Raw!$C:$C,MATCH(A799,Raw!$A:$A,0))</f>
        <v>0</v>
      </c>
      <c r="D799" s="21"/>
    </row>
    <row r="800" spans="1:4" ht="11.25" customHeight="1" x14ac:dyDescent="0.25">
      <c r="A800" s="22" t="s">
        <v>837</v>
      </c>
      <c r="B800" s="20">
        <f ca="1">INDIRECT(ADDRESS(MATCH(A800,Raw!$A:$A,0),2,1,1,"Raw"))</f>
        <v>0</v>
      </c>
      <c r="C800" s="20">
        <f>INDEX(Raw!$C:$C,MATCH(A800,Raw!$A:$A,0))</f>
        <v>0</v>
      </c>
      <c r="D800" s="21"/>
    </row>
    <row r="801" spans="1:4" ht="11.25" customHeight="1" x14ac:dyDescent="0.25">
      <c r="A801" s="22" t="s">
        <v>838</v>
      </c>
      <c r="B801" s="20">
        <f ca="1">INDIRECT(ADDRESS(MATCH(A801,Raw!$A:$A,0),2,1,1,"Raw"))</f>
        <v>0</v>
      </c>
      <c r="C801" s="20">
        <f>INDEX(Raw!$C:$C,MATCH(A801,Raw!$A:$A,0))</f>
        <v>0</v>
      </c>
      <c r="D801" s="21"/>
    </row>
    <row r="802" spans="1:4" ht="11.25" customHeight="1" x14ac:dyDescent="0.25">
      <c r="A802" s="22" t="s">
        <v>839</v>
      </c>
      <c r="B802" s="20">
        <f ca="1">INDIRECT(ADDRESS(MATCH(A802,Raw!$A:$A,0),2,1,1,"Raw"))</f>
        <v>0</v>
      </c>
      <c r="C802" s="20">
        <f>INDEX(Raw!$C:$C,MATCH(A802,Raw!$A:$A,0))</f>
        <v>0</v>
      </c>
      <c r="D802" s="21"/>
    </row>
    <row r="803" spans="1:4" ht="11.25" customHeight="1" x14ac:dyDescent="0.25">
      <c r="A803" s="22" t="s">
        <v>840</v>
      </c>
      <c r="B803" s="20">
        <f ca="1">INDIRECT(ADDRESS(MATCH(A803,Raw!$A:$A,0),2,1,1,"Raw"))</f>
        <v>0</v>
      </c>
      <c r="C803" s="20">
        <f>INDEX(Raw!$C:$C,MATCH(A803,Raw!$A:$A,0))</f>
        <v>0</v>
      </c>
      <c r="D803" s="21"/>
    </row>
    <row r="804" spans="1:4" ht="11.25" customHeight="1" x14ac:dyDescent="0.25">
      <c r="A804" s="22" t="s">
        <v>841</v>
      </c>
      <c r="B804" s="20">
        <f ca="1">INDIRECT(ADDRESS(MATCH(A804,Raw!$A:$A,0),2,1,1,"Raw"))</f>
        <v>0</v>
      </c>
      <c r="C804" s="20">
        <f>INDEX(Raw!$C:$C,MATCH(A804,Raw!$A:$A,0))</f>
        <v>0</v>
      </c>
      <c r="D804" s="21"/>
    </row>
    <row r="805" spans="1:4" ht="11.25" customHeight="1" x14ac:dyDescent="0.25">
      <c r="A805" s="22" t="s">
        <v>842</v>
      </c>
      <c r="B805" s="20">
        <f ca="1">INDIRECT(ADDRESS(MATCH(A805,Raw!$A:$A,0),2,1,1,"Raw"))</f>
        <v>0</v>
      </c>
      <c r="C805" s="20">
        <f>INDEX(Raw!$C:$C,MATCH(A805,Raw!$A:$A,0))</f>
        <v>0</v>
      </c>
      <c r="D805" s="21"/>
    </row>
    <row r="806" spans="1:4" ht="11.25" customHeight="1" x14ac:dyDescent="0.25">
      <c r="A806" s="22" t="s">
        <v>843</v>
      </c>
      <c r="B806" s="20">
        <f ca="1">INDIRECT(ADDRESS(MATCH(A806,Raw!$A:$A,0),2,1,1,"Raw"))</f>
        <v>0</v>
      </c>
      <c r="C806" s="20">
        <f>INDEX(Raw!$C:$C,MATCH(A806,Raw!$A:$A,0))</f>
        <v>0</v>
      </c>
      <c r="D806" s="21"/>
    </row>
    <row r="807" spans="1:4" ht="11.25" customHeight="1" x14ac:dyDescent="0.25">
      <c r="A807" s="22" t="s">
        <v>844</v>
      </c>
      <c r="B807" s="20">
        <f ca="1">INDIRECT(ADDRESS(MATCH(A807,Raw!$A:$A,0),2,1,1,"Raw"))</f>
        <v>0</v>
      </c>
      <c r="C807" s="20">
        <f>INDEX(Raw!$C:$C,MATCH(A807,Raw!$A:$A,0))</f>
        <v>0</v>
      </c>
      <c r="D807" s="21"/>
    </row>
    <row r="808" spans="1:4" ht="11.25" customHeight="1" x14ac:dyDescent="0.25">
      <c r="A808" s="22" t="s">
        <v>845</v>
      </c>
      <c r="B808" s="20">
        <f ca="1">INDIRECT(ADDRESS(MATCH(A808,Raw!$A:$A,0),2,1,1,"Raw"))</f>
        <v>0</v>
      </c>
      <c r="C808" s="20">
        <f>INDEX(Raw!$C:$C,MATCH(A808,Raw!$A:$A,0))</f>
        <v>0</v>
      </c>
      <c r="D808" s="21"/>
    </row>
    <row r="809" spans="1:4" ht="11.25" customHeight="1" x14ac:dyDescent="0.25">
      <c r="A809" s="22" t="s">
        <v>846</v>
      </c>
      <c r="B809" s="20">
        <f ca="1">INDIRECT(ADDRESS(MATCH(A809,Raw!$A:$A,0),2,1,1,"Raw"))</f>
        <v>0</v>
      </c>
      <c r="C809" s="20">
        <f>INDEX(Raw!$C:$C,MATCH(A809,Raw!$A:$A,0))</f>
        <v>0</v>
      </c>
      <c r="D809" s="21"/>
    </row>
    <row r="810" spans="1:4" ht="11.25" customHeight="1" x14ac:dyDescent="0.25">
      <c r="A810" s="22" t="s">
        <v>847</v>
      </c>
      <c r="B810" s="20">
        <f ca="1">INDIRECT(ADDRESS(MATCH(A810,Raw!$A:$A,0),2,1,1,"Raw"))</f>
        <v>0</v>
      </c>
      <c r="C810" s="20">
        <f>INDEX(Raw!$C:$C,MATCH(A810,Raw!$A:$A,0))</f>
        <v>0</v>
      </c>
      <c r="D810" s="21"/>
    </row>
    <row r="811" spans="1:4" ht="11.25" customHeight="1" x14ac:dyDescent="0.25">
      <c r="A811" s="22" t="s">
        <v>848</v>
      </c>
      <c r="B811" s="20">
        <f ca="1">INDIRECT(ADDRESS(MATCH(A811,Raw!$A:$A,0),2,1,1,"Raw"))</f>
        <v>0</v>
      </c>
      <c r="C811" s="20">
        <f>INDEX(Raw!$C:$C,MATCH(A811,Raw!$A:$A,0))</f>
        <v>0</v>
      </c>
      <c r="D811" s="21"/>
    </row>
    <row r="812" spans="1:4" ht="11.25" customHeight="1" x14ac:dyDescent="0.25">
      <c r="A812" s="22" t="s">
        <v>849</v>
      </c>
      <c r="B812" s="20">
        <f ca="1">INDIRECT(ADDRESS(MATCH(A812,Raw!$A:$A,0),2,1,1,"Raw"))</f>
        <v>0</v>
      </c>
      <c r="C812" s="20">
        <f>INDEX(Raw!$C:$C,MATCH(A812,Raw!$A:$A,0))</f>
        <v>0</v>
      </c>
      <c r="D812" s="21"/>
    </row>
    <row r="813" spans="1:4" ht="11.25" customHeight="1" x14ac:dyDescent="0.25">
      <c r="A813" s="22" t="s">
        <v>850</v>
      </c>
      <c r="B813" s="20">
        <f ca="1">INDIRECT(ADDRESS(MATCH(A813,Raw!$A:$A,0),2,1,1,"Raw"))</f>
        <v>0</v>
      </c>
      <c r="C813" s="20">
        <f>INDEX(Raw!$C:$C,MATCH(A813,Raw!$A:$A,0))</f>
        <v>0</v>
      </c>
      <c r="D813" s="21"/>
    </row>
    <row r="814" spans="1:4" ht="11.25" customHeight="1" x14ac:dyDescent="0.25">
      <c r="A814" s="22" t="s">
        <v>851</v>
      </c>
      <c r="B814" s="20">
        <f ca="1">INDIRECT(ADDRESS(MATCH(A814,Raw!$A:$A,0),2,1,1,"Raw"))</f>
        <v>0</v>
      </c>
      <c r="C814" s="20">
        <f>INDEX(Raw!$C:$C,MATCH(A814,Raw!$A:$A,0))</f>
        <v>0</v>
      </c>
      <c r="D814" s="21"/>
    </row>
    <row r="815" spans="1:4" ht="11.25" customHeight="1" x14ac:dyDescent="0.25">
      <c r="A815" s="22" t="s">
        <v>852</v>
      </c>
      <c r="B815" s="20">
        <f ca="1">INDIRECT(ADDRESS(MATCH(A815,Raw!$A:$A,0),2,1,1,"Raw"))</f>
        <v>0</v>
      </c>
      <c r="C815" s="20">
        <f>INDEX(Raw!$C:$C,MATCH(A815,Raw!$A:$A,0))</f>
        <v>0</v>
      </c>
      <c r="D815" s="21"/>
    </row>
    <row r="816" spans="1:4" ht="11.25" customHeight="1" x14ac:dyDescent="0.25">
      <c r="A816" s="22" t="s">
        <v>853</v>
      </c>
      <c r="B816" s="20">
        <f ca="1">INDIRECT(ADDRESS(MATCH(A816,Raw!$A:$A,0),2,1,1,"Raw"))</f>
        <v>0</v>
      </c>
      <c r="C816" s="20">
        <f>INDEX(Raw!$C:$C,MATCH(A816,Raw!$A:$A,0))</f>
        <v>0</v>
      </c>
      <c r="D816" s="21"/>
    </row>
    <row r="817" spans="1:4" ht="11.25" customHeight="1" x14ac:dyDescent="0.25">
      <c r="A817" s="22" t="s">
        <v>854</v>
      </c>
      <c r="B817" s="20">
        <f ca="1">INDIRECT(ADDRESS(MATCH(A817,Raw!$A:$A,0),2,1,1,"Raw"))</f>
        <v>0</v>
      </c>
      <c r="C817" s="20">
        <f>INDEX(Raw!$C:$C,MATCH(A817,Raw!$A:$A,0))</f>
        <v>0</v>
      </c>
      <c r="D817" s="21"/>
    </row>
    <row r="818" spans="1:4" ht="11.25" customHeight="1" x14ac:dyDescent="0.25">
      <c r="A818" s="22" t="s">
        <v>855</v>
      </c>
      <c r="B818" s="20">
        <f ca="1">INDIRECT(ADDRESS(MATCH(A818,Raw!$A:$A,0),2,1,1,"Raw"))</f>
        <v>0</v>
      </c>
      <c r="C818" s="20">
        <f>INDEX(Raw!$C:$C,MATCH(A818,Raw!$A:$A,0))</f>
        <v>0</v>
      </c>
      <c r="D818" s="21"/>
    </row>
    <row r="819" spans="1:4" ht="11.25" customHeight="1" x14ac:dyDescent="0.25">
      <c r="A819" s="22" t="s">
        <v>856</v>
      </c>
      <c r="B819" s="20">
        <f ca="1">INDIRECT(ADDRESS(MATCH(A819,Raw!$A:$A,0),2,1,1,"Raw"))</f>
        <v>0</v>
      </c>
      <c r="C819" s="20">
        <f>INDEX(Raw!$C:$C,MATCH(A819,Raw!$A:$A,0))</f>
        <v>0</v>
      </c>
      <c r="D819" s="21"/>
    </row>
    <row r="820" spans="1:4" ht="11.25" customHeight="1" x14ac:dyDescent="0.25">
      <c r="A820" s="22" t="s">
        <v>857</v>
      </c>
      <c r="B820" s="20">
        <f ca="1">INDIRECT(ADDRESS(MATCH(A820,Raw!$A:$A,0),2,1,1,"Raw"))</f>
        <v>0</v>
      </c>
      <c r="C820" s="20">
        <f>INDEX(Raw!$C:$C,MATCH(A820,Raw!$A:$A,0))</f>
        <v>0</v>
      </c>
      <c r="D820" s="21"/>
    </row>
    <row r="821" spans="1:4" ht="11.25" customHeight="1" x14ac:dyDescent="0.25">
      <c r="A821" s="22" t="s">
        <v>858</v>
      </c>
      <c r="B821" s="20">
        <f ca="1">INDIRECT(ADDRESS(MATCH(A821,Raw!$A:$A,0),2,1,1,"Raw"))</f>
        <v>0</v>
      </c>
      <c r="C821" s="20">
        <f>INDEX(Raw!$C:$C,MATCH(A821,Raw!$A:$A,0))</f>
        <v>0</v>
      </c>
      <c r="D821" s="21"/>
    </row>
    <row r="822" spans="1:4" ht="11.25" customHeight="1" x14ac:dyDescent="0.25">
      <c r="A822" s="22" t="s">
        <v>859</v>
      </c>
      <c r="B822" s="20">
        <f ca="1">INDIRECT(ADDRESS(MATCH(A822,Raw!$A:$A,0),2,1,1,"Raw"))</f>
        <v>0</v>
      </c>
      <c r="C822" s="20">
        <f>INDEX(Raw!$C:$C,MATCH(A822,Raw!$A:$A,0))</f>
        <v>0</v>
      </c>
      <c r="D822" s="21"/>
    </row>
    <row r="823" spans="1:4" ht="11.25" customHeight="1" x14ac:dyDescent="0.25">
      <c r="A823" s="22" t="s">
        <v>860</v>
      </c>
      <c r="B823" s="20">
        <f ca="1">INDIRECT(ADDRESS(MATCH(A823,Raw!$A:$A,0),2,1,1,"Raw"))</f>
        <v>0</v>
      </c>
      <c r="C823" s="20">
        <f>INDEX(Raw!$C:$C,MATCH(A823,Raw!$A:$A,0))</f>
        <v>0</v>
      </c>
      <c r="D823" s="21"/>
    </row>
    <row r="824" spans="1:4" ht="11.25" customHeight="1" x14ac:dyDescent="0.25">
      <c r="A824" s="22" t="s">
        <v>861</v>
      </c>
      <c r="B824" s="20">
        <f ca="1">INDIRECT(ADDRESS(MATCH(A824,Raw!$A:$A,0),2,1,1,"Raw"))</f>
        <v>0</v>
      </c>
      <c r="C824" s="20">
        <f>INDEX(Raw!$C:$C,MATCH(A824,Raw!$A:$A,0))</f>
        <v>0</v>
      </c>
      <c r="D824" s="21"/>
    </row>
    <row r="825" spans="1:4" ht="11.25" customHeight="1" x14ac:dyDescent="0.25">
      <c r="A825" s="22" t="s">
        <v>862</v>
      </c>
      <c r="B825" s="20">
        <f ca="1">INDIRECT(ADDRESS(MATCH(A825,Raw!$A:$A,0),2,1,1,"Raw"))</f>
        <v>0</v>
      </c>
      <c r="C825" s="20">
        <f>INDEX(Raw!$C:$C,MATCH(A825,Raw!$A:$A,0))</f>
        <v>0</v>
      </c>
      <c r="D825" s="21"/>
    </row>
    <row r="826" spans="1:4" ht="11.25" customHeight="1" x14ac:dyDescent="0.25">
      <c r="A826" s="22" t="s">
        <v>863</v>
      </c>
      <c r="B826" s="20">
        <f ca="1">INDIRECT(ADDRESS(MATCH(A826,Raw!$A:$A,0),2,1,1,"Raw"))</f>
        <v>0</v>
      </c>
      <c r="C826" s="20">
        <f>INDEX(Raw!$C:$C,MATCH(A826,Raw!$A:$A,0))</f>
        <v>0</v>
      </c>
      <c r="D826" s="21"/>
    </row>
    <row r="827" spans="1:4" ht="11.25" customHeight="1" x14ac:dyDescent="0.25">
      <c r="A827" s="22" t="s">
        <v>864</v>
      </c>
      <c r="B827" s="20">
        <f ca="1">INDIRECT(ADDRESS(MATCH(A827,Raw!$A:$A,0),2,1,1,"Raw"))</f>
        <v>0</v>
      </c>
      <c r="C827" s="20">
        <f>INDEX(Raw!$C:$C,MATCH(A827,Raw!$A:$A,0))</f>
        <v>0</v>
      </c>
      <c r="D827" s="21"/>
    </row>
    <row r="828" spans="1:4" ht="11.25" customHeight="1" x14ac:dyDescent="0.25">
      <c r="A828" s="22" t="s">
        <v>865</v>
      </c>
      <c r="B828" s="20">
        <f ca="1">INDIRECT(ADDRESS(MATCH(A828,Raw!$A:$A,0),2,1,1,"Raw"))</f>
        <v>0</v>
      </c>
      <c r="C828" s="20">
        <f>INDEX(Raw!$C:$C,MATCH(A828,Raw!$A:$A,0))</f>
        <v>0</v>
      </c>
      <c r="D828" s="21"/>
    </row>
    <row r="829" spans="1:4" ht="11.25" customHeight="1" x14ac:dyDescent="0.25">
      <c r="A829" s="22" t="s">
        <v>866</v>
      </c>
      <c r="B829" s="20">
        <f ca="1">INDIRECT(ADDRESS(MATCH(A829,Raw!$A:$A,0),2,1,1,"Raw"))</f>
        <v>0</v>
      </c>
      <c r="C829" s="20">
        <f>INDEX(Raw!$C:$C,MATCH(A829,Raw!$A:$A,0))</f>
        <v>0</v>
      </c>
      <c r="D829" s="21"/>
    </row>
    <row r="830" spans="1:4" ht="11.25" customHeight="1" x14ac:dyDescent="0.25">
      <c r="A830" s="22" t="s">
        <v>867</v>
      </c>
      <c r="B830" s="20">
        <f ca="1">INDIRECT(ADDRESS(MATCH(A830,Raw!$A:$A,0),2,1,1,"Raw"))</f>
        <v>0</v>
      </c>
      <c r="C830" s="20">
        <f>INDEX(Raw!$C:$C,MATCH(A830,Raw!$A:$A,0))</f>
        <v>0</v>
      </c>
      <c r="D830" s="21"/>
    </row>
    <row r="831" spans="1:4" ht="11.25" customHeight="1" x14ac:dyDescent="0.25">
      <c r="A831" s="22" t="s">
        <v>868</v>
      </c>
      <c r="B831" s="20">
        <f ca="1">INDIRECT(ADDRESS(MATCH(A831,Raw!$A:$A,0),2,1,1,"Raw"))</f>
        <v>0</v>
      </c>
      <c r="C831" s="20">
        <f>INDEX(Raw!$C:$C,MATCH(A831,Raw!$A:$A,0))</f>
        <v>0</v>
      </c>
      <c r="D831" s="21"/>
    </row>
    <row r="832" spans="1:4" ht="11.25" customHeight="1" x14ac:dyDescent="0.25">
      <c r="A832" s="22" t="s">
        <v>869</v>
      </c>
      <c r="B832" s="20">
        <f ca="1">INDIRECT(ADDRESS(MATCH(A832,Raw!$A:$A,0),2,1,1,"Raw"))</f>
        <v>0</v>
      </c>
      <c r="C832" s="20">
        <f>INDEX(Raw!$C:$C,MATCH(A832,Raw!$A:$A,0))</f>
        <v>0</v>
      </c>
      <c r="D832" s="21"/>
    </row>
    <row r="833" spans="1:4" ht="11.25" customHeight="1" x14ac:dyDescent="0.25">
      <c r="A833" s="22" t="s">
        <v>870</v>
      </c>
      <c r="B833" s="20">
        <f ca="1">INDIRECT(ADDRESS(MATCH(A833,Raw!$A:$A,0),2,1,1,"Raw"))</f>
        <v>0</v>
      </c>
      <c r="C833" s="20">
        <f>INDEX(Raw!$C:$C,MATCH(A833,Raw!$A:$A,0))</f>
        <v>0</v>
      </c>
      <c r="D833" s="21"/>
    </row>
    <row r="834" spans="1:4" ht="11.25" customHeight="1" x14ac:dyDescent="0.25">
      <c r="A834" s="22" t="s">
        <v>871</v>
      </c>
      <c r="B834" s="20">
        <f ca="1">INDIRECT(ADDRESS(MATCH(A834,Raw!$A:$A,0),2,1,1,"Raw"))</f>
        <v>0</v>
      </c>
      <c r="C834" s="20">
        <f>INDEX(Raw!$C:$C,MATCH(A834,Raw!$A:$A,0))</f>
        <v>0</v>
      </c>
      <c r="D834" s="21"/>
    </row>
    <row r="835" spans="1:4" ht="11.25" customHeight="1" x14ac:dyDescent="0.25">
      <c r="A835" s="22" t="s">
        <v>872</v>
      </c>
      <c r="B835" s="20">
        <f ca="1">INDIRECT(ADDRESS(MATCH(A835,Raw!$A:$A,0),2,1,1,"Raw"))</f>
        <v>0</v>
      </c>
      <c r="C835" s="20">
        <f>INDEX(Raw!$C:$C,MATCH(A835,Raw!$A:$A,0))</f>
        <v>0</v>
      </c>
      <c r="D835" s="21"/>
    </row>
    <row r="836" spans="1:4" ht="11.25" customHeight="1" x14ac:dyDescent="0.25">
      <c r="A836" s="22" t="s">
        <v>873</v>
      </c>
      <c r="B836" s="20">
        <f ca="1">INDIRECT(ADDRESS(MATCH(A836,Raw!$A:$A,0),2,1,1,"Raw"))</f>
        <v>0</v>
      </c>
      <c r="C836" s="20">
        <f>INDEX(Raw!$C:$C,MATCH(A836,Raw!$A:$A,0))</f>
        <v>0</v>
      </c>
      <c r="D836" s="21"/>
    </row>
    <row r="837" spans="1:4" ht="11.25" customHeight="1" x14ac:dyDescent="0.25">
      <c r="A837" s="22" t="s">
        <v>874</v>
      </c>
      <c r="B837" s="20">
        <f ca="1">INDIRECT(ADDRESS(MATCH(A837,Raw!$A:$A,0),2,1,1,"Raw"))</f>
        <v>0</v>
      </c>
      <c r="C837" s="20">
        <f>INDEX(Raw!$C:$C,MATCH(A837,Raw!$A:$A,0))</f>
        <v>0</v>
      </c>
      <c r="D837" s="21"/>
    </row>
    <row r="838" spans="1:4" ht="11.25" customHeight="1" x14ac:dyDescent="0.25">
      <c r="A838" s="22" t="s">
        <v>875</v>
      </c>
      <c r="B838" s="20">
        <f ca="1">INDIRECT(ADDRESS(MATCH(A838,Raw!$A:$A,0),2,1,1,"Raw"))</f>
        <v>0</v>
      </c>
      <c r="C838" s="20">
        <f>INDEX(Raw!$C:$C,MATCH(A838,Raw!$A:$A,0))</f>
        <v>0</v>
      </c>
      <c r="D838" s="21"/>
    </row>
    <row r="839" spans="1:4" ht="11.25" customHeight="1" x14ac:dyDescent="0.25">
      <c r="A839" s="22" t="s">
        <v>876</v>
      </c>
      <c r="B839" s="20">
        <f ca="1">INDIRECT(ADDRESS(MATCH(A839,Raw!$A:$A,0),2,1,1,"Raw"))</f>
        <v>0</v>
      </c>
      <c r="C839" s="20">
        <f>INDEX(Raw!$C:$C,MATCH(A839,Raw!$A:$A,0))</f>
        <v>0</v>
      </c>
      <c r="D839" s="21"/>
    </row>
    <row r="840" spans="1:4" ht="11.25" customHeight="1" x14ac:dyDescent="0.25">
      <c r="A840" s="22" t="s">
        <v>877</v>
      </c>
      <c r="B840" s="20">
        <f ca="1">INDIRECT(ADDRESS(MATCH(A840,Raw!$A:$A,0),2,1,1,"Raw"))</f>
        <v>0</v>
      </c>
      <c r="C840" s="20">
        <f>INDEX(Raw!$C:$C,MATCH(A840,Raw!$A:$A,0))</f>
        <v>0</v>
      </c>
      <c r="D840" s="21"/>
    </row>
    <row r="841" spans="1:4" ht="11.25" customHeight="1" x14ac:dyDescent="0.25">
      <c r="A841" s="22" t="s">
        <v>878</v>
      </c>
      <c r="B841" s="20">
        <f ca="1">INDIRECT(ADDRESS(MATCH(A841,Raw!$A:$A,0),2,1,1,"Raw"))</f>
        <v>0</v>
      </c>
      <c r="C841" s="20">
        <f>INDEX(Raw!$C:$C,MATCH(A841,Raw!$A:$A,0))</f>
        <v>0</v>
      </c>
      <c r="D841" s="21"/>
    </row>
    <row r="842" spans="1:4" ht="11.25" customHeight="1" x14ac:dyDescent="0.25">
      <c r="A842" s="22" t="s">
        <v>879</v>
      </c>
      <c r="B842" s="20">
        <f ca="1">INDIRECT(ADDRESS(MATCH(A842,Raw!$A:$A,0),2,1,1,"Raw"))</f>
        <v>0</v>
      </c>
      <c r="C842" s="20">
        <f>INDEX(Raw!$C:$C,MATCH(A842,Raw!$A:$A,0))</f>
        <v>0</v>
      </c>
      <c r="D842" s="21"/>
    </row>
    <row r="843" spans="1:4" ht="11.25" customHeight="1" x14ac:dyDescent="0.25">
      <c r="A843" s="22" t="s">
        <v>880</v>
      </c>
      <c r="B843" s="20">
        <f ca="1">INDIRECT(ADDRESS(MATCH(A843,Raw!$A:$A,0),2,1,1,"Raw"))</f>
        <v>0</v>
      </c>
      <c r="C843" s="20">
        <f>INDEX(Raw!$C:$C,MATCH(A843,Raw!$A:$A,0))</f>
        <v>0</v>
      </c>
      <c r="D843" s="21"/>
    </row>
    <row r="844" spans="1:4" ht="11.25" customHeight="1" x14ac:dyDescent="0.25">
      <c r="A844" s="22" t="s">
        <v>881</v>
      </c>
      <c r="B844" s="20">
        <f ca="1">INDIRECT(ADDRESS(MATCH(A844,Raw!$A:$A,0),2,1,1,"Raw"))</f>
        <v>0</v>
      </c>
      <c r="C844" s="20">
        <f>INDEX(Raw!$C:$C,MATCH(A844,Raw!$A:$A,0))</f>
        <v>0</v>
      </c>
      <c r="D844" s="21"/>
    </row>
    <row r="845" spans="1:4" ht="11.25" customHeight="1" x14ac:dyDescent="0.25">
      <c r="A845" s="22" t="s">
        <v>882</v>
      </c>
      <c r="B845" s="20">
        <f ca="1">INDIRECT(ADDRESS(MATCH(A845,Raw!$A:$A,0),2,1,1,"Raw"))</f>
        <v>0</v>
      </c>
      <c r="C845" s="20">
        <f>INDEX(Raw!$C:$C,MATCH(A845,Raw!$A:$A,0))</f>
        <v>0</v>
      </c>
      <c r="D845" s="21"/>
    </row>
    <row r="846" spans="1:4" ht="11.25" customHeight="1" x14ac:dyDescent="0.25">
      <c r="A846" s="22" t="s">
        <v>883</v>
      </c>
      <c r="B846" s="20">
        <f ca="1">INDIRECT(ADDRESS(MATCH(A846,Raw!$A:$A,0),2,1,1,"Raw"))</f>
        <v>0</v>
      </c>
      <c r="C846" s="20">
        <f>INDEX(Raw!$C:$C,MATCH(A846,Raw!$A:$A,0))</f>
        <v>0</v>
      </c>
      <c r="D846" s="21"/>
    </row>
    <row r="847" spans="1:4" ht="11.25" customHeight="1" x14ac:dyDescent="0.25">
      <c r="A847" s="22" t="s">
        <v>884</v>
      </c>
      <c r="B847" s="20">
        <f ca="1">INDIRECT(ADDRESS(MATCH(A847,Raw!$A:$A,0),2,1,1,"Raw"))</f>
        <v>0</v>
      </c>
      <c r="C847" s="20">
        <f>INDEX(Raw!$C:$C,MATCH(A847,Raw!$A:$A,0))</f>
        <v>0</v>
      </c>
      <c r="D847" s="21"/>
    </row>
    <row r="848" spans="1:4" ht="11.25" customHeight="1" x14ac:dyDescent="0.25">
      <c r="A848" s="22" t="s">
        <v>885</v>
      </c>
      <c r="B848" s="20">
        <f ca="1">INDIRECT(ADDRESS(MATCH(A848,Raw!$A:$A,0),2,1,1,"Raw"))</f>
        <v>0</v>
      </c>
      <c r="C848" s="20">
        <f>INDEX(Raw!$C:$C,MATCH(A848,Raw!$A:$A,0))</f>
        <v>0</v>
      </c>
      <c r="D848" s="21"/>
    </row>
    <row r="849" spans="1:4" ht="11.25" customHeight="1" x14ac:dyDescent="0.25">
      <c r="A849" s="22" t="s">
        <v>886</v>
      </c>
      <c r="B849" s="20">
        <f ca="1">INDIRECT(ADDRESS(MATCH(A849,Raw!$A:$A,0),2,1,1,"Raw"))</f>
        <v>0</v>
      </c>
      <c r="C849" s="20">
        <f>INDEX(Raw!$C:$C,MATCH(A849,Raw!$A:$A,0))</f>
        <v>0</v>
      </c>
      <c r="D849" s="21"/>
    </row>
    <row r="850" spans="1:4" ht="11.25" customHeight="1" x14ac:dyDescent="0.25">
      <c r="A850" s="22" t="s">
        <v>887</v>
      </c>
      <c r="B850" s="20">
        <f ca="1">INDIRECT(ADDRESS(MATCH(A850,Raw!$A:$A,0),2,1,1,"Raw"))</f>
        <v>0</v>
      </c>
      <c r="C850" s="20">
        <f>INDEX(Raw!$C:$C,MATCH(A850,Raw!$A:$A,0))</f>
        <v>0</v>
      </c>
      <c r="D850" s="21"/>
    </row>
    <row r="851" spans="1:4" ht="11.25" customHeight="1" x14ac:dyDescent="0.25">
      <c r="A851" s="22" t="s">
        <v>888</v>
      </c>
      <c r="B851" s="20">
        <f ca="1">INDIRECT(ADDRESS(MATCH(A851,Raw!$A:$A,0),2,1,1,"Raw"))</f>
        <v>0</v>
      </c>
      <c r="C851" s="20">
        <f>INDEX(Raw!$C:$C,MATCH(A851,Raw!$A:$A,0))</f>
        <v>0</v>
      </c>
      <c r="D851" s="21"/>
    </row>
    <row r="852" spans="1:4" ht="11.25" customHeight="1" x14ac:dyDescent="0.25">
      <c r="A852" s="22" t="s">
        <v>889</v>
      </c>
      <c r="B852" s="20">
        <f ca="1">INDIRECT(ADDRESS(MATCH(A852,Raw!$A:$A,0),2,1,1,"Raw"))</f>
        <v>0</v>
      </c>
      <c r="C852" s="20">
        <f>INDEX(Raw!$C:$C,MATCH(A852,Raw!$A:$A,0))</f>
        <v>0</v>
      </c>
      <c r="D852" s="21"/>
    </row>
    <row r="853" spans="1:4" ht="11.25" customHeight="1" x14ac:dyDescent="0.25">
      <c r="A853" s="22" t="s">
        <v>890</v>
      </c>
      <c r="B853" s="20">
        <f ca="1">INDIRECT(ADDRESS(MATCH(A853,Raw!$A:$A,0),2,1,1,"Raw"))</f>
        <v>0</v>
      </c>
      <c r="C853" s="20">
        <f>INDEX(Raw!$C:$C,MATCH(A853,Raw!$A:$A,0))</f>
        <v>0</v>
      </c>
      <c r="D853" s="21"/>
    </row>
    <row r="854" spans="1:4" ht="11.25" customHeight="1" x14ac:dyDescent="0.25">
      <c r="A854" s="22" t="s">
        <v>891</v>
      </c>
      <c r="B854" s="20">
        <f ca="1">INDIRECT(ADDRESS(MATCH(A854,Raw!$A:$A,0),2,1,1,"Raw"))</f>
        <v>0</v>
      </c>
      <c r="C854" s="20">
        <f>INDEX(Raw!$C:$C,MATCH(A854,Raw!$A:$A,0))</f>
        <v>0</v>
      </c>
      <c r="D854" s="21"/>
    </row>
    <row r="855" spans="1:4" ht="11.25" customHeight="1" x14ac:dyDescent="0.25">
      <c r="A855" s="22" t="s">
        <v>892</v>
      </c>
      <c r="B855" s="20">
        <f ca="1">INDIRECT(ADDRESS(MATCH(A855,Raw!$A:$A,0),2,1,1,"Raw"))</f>
        <v>0</v>
      </c>
      <c r="C855" s="20">
        <f>INDEX(Raw!$C:$C,MATCH(A855,Raw!$A:$A,0))</f>
        <v>0</v>
      </c>
      <c r="D855" s="21"/>
    </row>
    <row r="856" spans="1:4" ht="11.25" customHeight="1" x14ac:dyDescent="0.25">
      <c r="A856" s="22" t="s">
        <v>893</v>
      </c>
      <c r="B856" s="20">
        <f ca="1">INDIRECT(ADDRESS(MATCH(A856,Raw!$A:$A,0),2,1,1,"Raw"))</f>
        <v>0</v>
      </c>
      <c r="C856" s="20">
        <f>INDEX(Raw!$C:$C,MATCH(A856,Raw!$A:$A,0))</f>
        <v>0</v>
      </c>
      <c r="D856" s="21"/>
    </row>
    <row r="857" spans="1:4" ht="11.25" customHeight="1" x14ac:dyDescent="0.25">
      <c r="A857" s="22" t="s">
        <v>894</v>
      </c>
      <c r="B857" s="20">
        <f ca="1">INDIRECT(ADDRESS(MATCH(A857,Raw!$A:$A,0),2,1,1,"Raw"))</f>
        <v>0</v>
      </c>
      <c r="C857" s="20">
        <f>INDEX(Raw!$C:$C,MATCH(A857,Raw!$A:$A,0))</f>
        <v>0</v>
      </c>
      <c r="D857" s="21"/>
    </row>
    <row r="858" spans="1:4" ht="11.25" customHeight="1" x14ac:dyDescent="0.25">
      <c r="A858" s="22" t="s">
        <v>895</v>
      </c>
      <c r="B858" s="20">
        <f ca="1">INDIRECT(ADDRESS(MATCH(A858,Raw!$A:$A,0),2,1,1,"Raw"))</f>
        <v>0</v>
      </c>
      <c r="C858" s="20">
        <f>INDEX(Raw!$C:$C,MATCH(A858,Raw!$A:$A,0))</f>
        <v>0</v>
      </c>
      <c r="D858" s="21"/>
    </row>
    <row r="859" spans="1:4" ht="11.25" customHeight="1" x14ac:dyDescent="0.25">
      <c r="A859" s="22" t="s">
        <v>896</v>
      </c>
      <c r="B859" s="20">
        <f ca="1">INDIRECT(ADDRESS(MATCH(A859,Raw!$A:$A,0),2,1,1,"Raw"))</f>
        <v>0</v>
      </c>
      <c r="C859" s="20">
        <f>INDEX(Raw!$C:$C,MATCH(A859,Raw!$A:$A,0))</f>
        <v>0</v>
      </c>
      <c r="D859" s="21"/>
    </row>
    <row r="860" spans="1:4" ht="11.25" customHeight="1" x14ac:dyDescent="0.25">
      <c r="A860" s="22" t="s">
        <v>897</v>
      </c>
      <c r="B860" s="20">
        <f ca="1">INDIRECT(ADDRESS(MATCH(A860,Raw!$A:$A,0),2,1,1,"Raw"))</f>
        <v>0</v>
      </c>
      <c r="C860" s="20">
        <f>INDEX(Raw!$C:$C,MATCH(A860,Raw!$A:$A,0))</f>
        <v>0</v>
      </c>
      <c r="D860" s="21"/>
    </row>
    <row r="861" spans="1:4" ht="11.25" customHeight="1" x14ac:dyDescent="0.25">
      <c r="A861" s="22" t="s">
        <v>898</v>
      </c>
      <c r="B861" s="20">
        <f ca="1">INDIRECT(ADDRESS(MATCH(A861,Raw!$A:$A,0),2,1,1,"Raw"))</f>
        <v>0</v>
      </c>
      <c r="C861" s="20">
        <f>INDEX(Raw!$C:$C,MATCH(A861,Raw!$A:$A,0))</f>
        <v>0</v>
      </c>
      <c r="D861" s="21"/>
    </row>
    <row r="862" spans="1:4" ht="11.25" customHeight="1" x14ac:dyDescent="0.25">
      <c r="A862" s="22" t="s">
        <v>899</v>
      </c>
      <c r="B862" s="20">
        <f ca="1">INDIRECT(ADDRESS(MATCH(A862,Raw!$A:$A,0),2,1,1,"Raw"))</f>
        <v>0</v>
      </c>
      <c r="C862" s="20">
        <f>INDEX(Raw!$C:$C,MATCH(A862,Raw!$A:$A,0))</f>
        <v>0</v>
      </c>
      <c r="D862" s="21"/>
    </row>
    <row r="863" spans="1:4" ht="11.25" customHeight="1" x14ac:dyDescent="0.25">
      <c r="A863" s="22" t="s">
        <v>900</v>
      </c>
      <c r="B863" s="20">
        <f ca="1">INDIRECT(ADDRESS(MATCH(A863,Raw!$A:$A,0),2,1,1,"Raw"))</f>
        <v>0</v>
      </c>
      <c r="C863" s="20">
        <f>INDEX(Raw!$C:$C,MATCH(A863,Raw!$A:$A,0))</f>
        <v>0</v>
      </c>
      <c r="D863" s="21"/>
    </row>
    <row r="864" spans="1:4" ht="11.25" customHeight="1" x14ac:dyDescent="0.25">
      <c r="A864" s="22" t="s">
        <v>901</v>
      </c>
      <c r="B864" s="20">
        <f ca="1">INDIRECT(ADDRESS(MATCH(A864,Raw!$A:$A,0),2,1,1,"Raw"))</f>
        <v>0</v>
      </c>
      <c r="C864" s="20">
        <f>INDEX(Raw!$C:$C,MATCH(A864,Raw!$A:$A,0))</f>
        <v>0</v>
      </c>
      <c r="D864" s="21"/>
    </row>
    <row r="865" spans="1:4" ht="11.25" customHeight="1" x14ac:dyDescent="0.25">
      <c r="A865" s="22" t="s">
        <v>902</v>
      </c>
      <c r="B865" s="20">
        <f ca="1">INDIRECT(ADDRESS(MATCH(A865,Raw!$A:$A,0),2,1,1,"Raw"))</f>
        <v>0</v>
      </c>
      <c r="C865" s="20">
        <f>INDEX(Raw!$C:$C,MATCH(A865,Raw!$A:$A,0))</f>
        <v>0</v>
      </c>
      <c r="D865" s="21"/>
    </row>
    <row r="866" spans="1:4" ht="11.25" customHeight="1" x14ac:dyDescent="0.25">
      <c r="A866" s="22" t="s">
        <v>903</v>
      </c>
      <c r="B866" s="20">
        <f ca="1">INDIRECT(ADDRESS(MATCH(A866,Raw!$A:$A,0),2,1,1,"Raw"))</f>
        <v>0</v>
      </c>
      <c r="C866" s="20">
        <f>INDEX(Raw!$C:$C,MATCH(A866,Raw!$A:$A,0))</f>
        <v>0</v>
      </c>
      <c r="D866" s="21"/>
    </row>
    <row r="867" spans="1:4" ht="11.25" customHeight="1" x14ac:dyDescent="0.25">
      <c r="A867" s="22" t="s">
        <v>904</v>
      </c>
      <c r="B867" s="20">
        <f ca="1">INDIRECT(ADDRESS(MATCH(A867,Raw!$A:$A,0),2,1,1,"Raw"))</f>
        <v>0</v>
      </c>
      <c r="C867" s="20">
        <f>INDEX(Raw!$C:$C,MATCH(A867,Raw!$A:$A,0))</f>
        <v>0</v>
      </c>
      <c r="D867" s="21"/>
    </row>
    <row r="868" spans="1:4" ht="11.25" customHeight="1" x14ac:dyDescent="0.25">
      <c r="A868" s="22" t="s">
        <v>905</v>
      </c>
      <c r="B868" s="20">
        <f ca="1">INDIRECT(ADDRESS(MATCH(A868,Raw!$A:$A,0),2,1,1,"Raw"))</f>
        <v>0</v>
      </c>
      <c r="C868" s="20">
        <f>INDEX(Raw!$C:$C,MATCH(A868,Raw!$A:$A,0))</f>
        <v>0</v>
      </c>
      <c r="D868" s="21"/>
    </row>
    <row r="869" spans="1:4" ht="11.25" customHeight="1" x14ac:dyDescent="0.25">
      <c r="A869" s="22" t="s">
        <v>906</v>
      </c>
      <c r="B869" s="20">
        <f ca="1">INDIRECT(ADDRESS(MATCH(A869,Raw!$A:$A,0),2,1,1,"Raw"))</f>
        <v>0</v>
      </c>
      <c r="C869" s="20">
        <f>INDEX(Raw!$C:$C,MATCH(A869,Raw!$A:$A,0))</f>
        <v>0</v>
      </c>
      <c r="D869" s="21"/>
    </row>
    <row r="870" spans="1:4" ht="11.25" customHeight="1" x14ac:dyDescent="0.25">
      <c r="A870" s="22" t="s">
        <v>907</v>
      </c>
      <c r="B870" s="20">
        <f ca="1">INDIRECT(ADDRESS(MATCH(A870,Raw!$A:$A,0),2,1,1,"Raw"))</f>
        <v>0</v>
      </c>
      <c r="C870" s="20">
        <f>INDEX(Raw!$C:$C,MATCH(A870,Raw!$A:$A,0))</f>
        <v>0</v>
      </c>
      <c r="D870" s="21"/>
    </row>
    <row r="871" spans="1:4" ht="11.25" customHeight="1" x14ac:dyDescent="0.25">
      <c r="A871" s="22" t="s">
        <v>908</v>
      </c>
      <c r="B871" s="20">
        <f ca="1">INDIRECT(ADDRESS(MATCH(A871,Raw!$A:$A,0),2,1,1,"Raw"))</f>
        <v>0</v>
      </c>
      <c r="C871" s="20">
        <f>INDEX(Raw!$C:$C,MATCH(A871,Raw!$A:$A,0))</f>
        <v>0</v>
      </c>
      <c r="D871" s="21"/>
    </row>
    <row r="872" spans="1:4" ht="11.25" customHeight="1" x14ac:dyDescent="0.25">
      <c r="A872" s="22" t="s">
        <v>909</v>
      </c>
      <c r="B872" s="20">
        <f ca="1">INDIRECT(ADDRESS(MATCH(A872,Raw!$A:$A,0),2,1,1,"Raw"))</f>
        <v>0</v>
      </c>
      <c r="C872" s="20">
        <f>INDEX(Raw!$C:$C,MATCH(A872,Raw!$A:$A,0))</f>
        <v>0</v>
      </c>
      <c r="D872" s="21"/>
    </row>
    <row r="873" spans="1:4" ht="11.25" customHeight="1" x14ac:dyDescent="0.25">
      <c r="A873" s="22" t="s">
        <v>910</v>
      </c>
      <c r="B873" s="20">
        <f ca="1">INDIRECT(ADDRESS(MATCH(A873,Raw!$A:$A,0),2,1,1,"Raw"))</f>
        <v>0</v>
      </c>
      <c r="C873" s="20">
        <f>INDEX(Raw!$C:$C,MATCH(A873,Raw!$A:$A,0))</f>
        <v>0</v>
      </c>
      <c r="D873" s="21"/>
    </row>
    <row r="874" spans="1:4" ht="11.25" customHeight="1" x14ac:dyDescent="0.25">
      <c r="A874" s="22" t="s">
        <v>911</v>
      </c>
      <c r="B874" s="20">
        <f ca="1">INDIRECT(ADDRESS(MATCH(A874,Raw!$A:$A,0),2,1,1,"Raw"))</f>
        <v>0</v>
      </c>
      <c r="C874" s="20">
        <f>INDEX(Raw!$C:$C,MATCH(A874,Raw!$A:$A,0))</f>
        <v>0</v>
      </c>
      <c r="D874" s="21"/>
    </row>
    <row r="875" spans="1:4" ht="11.25" customHeight="1" x14ac:dyDescent="0.25">
      <c r="A875" s="22" t="s">
        <v>912</v>
      </c>
      <c r="B875" s="20">
        <f ca="1">INDIRECT(ADDRESS(MATCH(A875,Raw!$A:$A,0),2,1,1,"Raw"))</f>
        <v>0</v>
      </c>
      <c r="C875" s="20">
        <f>INDEX(Raw!$C:$C,MATCH(A875,Raw!$A:$A,0))</f>
        <v>0</v>
      </c>
      <c r="D875" s="21"/>
    </row>
    <row r="876" spans="1:4" ht="11.25" customHeight="1" x14ac:dyDescent="0.25">
      <c r="A876" s="22" t="s">
        <v>913</v>
      </c>
      <c r="B876" s="20">
        <f ca="1">INDIRECT(ADDRESS(MATCH(A876,Raw!$A:$A,0),2,1,1,"Raw"))</f>
        <v>0</v>
      </c>
      <c r="C876" s="20">
        <f>INDEX(Raw!$C:$C,MATCH(A876,Raw!$A:$A,0))</f>
        <v>0</v>
      </c>
      <c r="D876" s="21"/>
    </row>
    <row r="877" spans="1:4" ht="11.25" customHeight="1" x14ac:dyDescent="0.25">
      <c r="A877" s="22" t="s">
        <v>914</v>
      </c>
      <c r="B877" s="20">
        <f ca="1">INDIRECT(ADDRESS(MATCH(A877,Raw!$A:$A,0),2,1,1,"Raw"))</f>
        <v>0</v>
      </c>
      <c r="C877" s="20">
        <f>INDEX(Raw!$C:$C,MATCH(A877,Raw!$A:$A,0))</f>
        <v>0</v>
      </c>
      <c r="D877" s="21"/>
    </row>
    <row r="878" spans="1:4" ht="11.25" customHeight="1" x14ac:dyDescent="0.25">
      <c r="A878" s="22" t="s">
        <v>915</v>
      </c>
      <c r="B878" s="20">
        <f ca="1">INDIRECT(ADDRESS(MATCH(A878,Raw!$A:$A,0),2,1,1,"Raw"))</f>
        <v>0</v>
      </c>
      <c r="C878" s="20">
        <f>INDEX(Raw!$C:$C,MATCH(A878,Raw!$A:$A,0))</f>
        <v>0</v>
      </c>
      <c r="D878" s="21"/>
    </row>
    <row r="879" spans="1:4" ht="11.25" customHeight="1" x14ac:dyDescent="0.25">
      <c r="A879" s="22" t="s">
        <v>916</v>
      </c>
      <c r="B879" s="20">
        <f ca="1">INDIRECT(ADDRESS(MATCH(A879,Raw!$A:$A,0),2,1,1,"Raw"))</f>
        <v>0</v>
      </c>
      <c r="C879" s="20">
        <f>INDEX(Raw!$C:$C,MATCH(A879,Raw!$A:$A,0))</f>
        <v>0</v>
      </c>
      <c r="D879" s="21"/>
    </row>
    <row r="880" spans="1:4" ht="11.25" customHeight="1" x14ac:dyDescent="0.25">
      <c r="A880" s="22" t="s">
        <v>917</v>
      </c>
      <c r="B880" s="20">
        <f ca="1">INDIRECT(ADDRESS(MATCH(A880,Raw!$A:$A,0),2,1,1,"Raw"))</f>
        <v>0</v>
      </c>
      <c r="C880" s="20">
        <f>INDEX(Raw!$C:$C,MATCH(A880,Raw!$A:$A,0))</f>
        <v>0</v>
      </c>
      <c r="D880" s="21"/>
    </row>
    <row r="881" spans="1:4" ht="11.25" customHeight="1" x14ac:dyDescent="0.25">
      <c r="A881" s="22" t="s">
        <v>918</v>
      </c>
      <c r="B881" s="20">
        <f ca="1">INDIRECT(ADDRESS(MATCH(A881,Raw!$A:$A,0),2,1,1,"Raw"))</f>
        <v>0</v>
      </c>
      <c r="C881" s="20">
        <f>INDEX(Raw!$C:$C,MATCH(A881,Raw!$A:$A,0))</f>
        <v>0</v>
      </c>
      <c r="D881" s="21"/>
    </row>
    <row r="882" spans="1:4" ht="11.25" customHeight="1" x14ac:dyDescent="0.25">
      <c r="A882" s="22" t="s">
        <v>919</v>
      </c>
      <c r="B882" s="20">
        <f ca="1">INDIRECT(ADDRESS(MATCH(A882,Raw!$A:$A,0),2,1,1,"Raw"))</f>
        <v>0</v>
      </c>
      <c r="C882" s="20">
        <f>INDEX(Raw!$C:$C,MATCH(A882,Raw!$A:$A,0))</f>
        <v>0</v>
      </c>
      <c r="D882" s="21"/>
    </row>
    <row r="883" spans="1:4" ht="11.25" customHeight="1" x14ac:dyDescent="0.25">
      <c r="A883" s="22" t="s">
        <v>920</v>
      </c>
      <c r="B883" s="20">
        <f ca="1">INDIRECT(ADDRESS(MATCH(A883,Raw!$A:$A,0),2,1,1,"Raw"))</f>
        <v>0</v>
      </c>
      <c r="C883" s="20">
        <f>INDEX(Raw!$C:$C,MATCH(A883,Raw!$A:$A,0))</f>
        <v>0</v>
      </c>
      <c r="D883" s="21"/>
    </row>
    <row r="884" spans="1:4" ht="11.25" customHeight="1" x14ac:dyDescent="0.25">
      <c r="A884" s="22" t="s">
        <v>921</v>
      </c>
      <c r="B884" s="20">
        <f ca="1">INDIRECT(ADDRESS(MATCH(A884,Raw!$A:$A,0),2,1,1,"Raw"))</f>
        <v>0</v>
      </c>
      <c r="C884" s="20">
        <f>INDEX(Raw!$C:$C,MATCH(A884,Raw!$A:$A,0))</f>
        <v>0</v>
      </c>
      <c r="D884" s="21"/>
    </row>
    <row r="885" spans="1:4" ht="11.25" customHeight="1" x14ac:dyDescent="0.25">
      <c r="A885" s="22" t="s">
        <v>922</v>
      </c>
      <c r="B885" s="20">
        <f ca="1">INDIRECT(ADDRESS(MATCH(A885,Raw!$A:$A,0),2,1,1,"Raw"))</f>
        <v>0</v>
      </c>
      <c r="C885" s="20">
        <f>INDEX(Raw!$C:$C,MATCH(A885,Raw!$A:$A,0))</f>
        <v>0</v>
      </c>
      <c r="D885" s="21"/>
    </row>
    <row r="886" spans="1:4" ht="11.25" customHeight="1" x14ac:dyDescent="0.25">
      <c r="A886" s="22" t="s">
        <v>923</v>
      </c>
      <c r="B886" s="20">
        <f ca="1">INDIRECT(ADDRESS(MATCH(A886,Raw!$A:$A,0),2,1,1,"Raw"))</f>
        <v>0</v>
      </c>
      <c r="C886" s="20">
        <f>INDEX(Raw!$C:$C,MATCH(A886,Raw!$A:$A,0))</f>
        <v>0</v>
      </c>
      <c r="D886" s="21"/>
    </row>
    <row r="887" spans="1:4" ht="11.25" customHeight="1" x14ac:dyDescent="0.25">
      <c r="A887" s="22" t="s">
        <v>924</v>
      </c>
      <c r="B887" s="20">
        <f ca="1">INDIRECT(ADDRESS(MATCH(A887,Raw!$A:$A,0),2,1,1,"Raw"))</f>
        <v>0</v>
      </c>
      <c r="C887" s="20">
        <f>INDEX(Raw!$C:$C,MATCH(A887,Raw!$A:$A,0))</f>
        <v>0</v>
      </c>
      <c r="D887" s="21"/>
    </row>
    <row r="888" spans="1:4" ht="11.25" customHeight="1" x14ac:dyDescent="0.25">
      <c r="A888" s="22" t="s">
        <v>925</v>
      </c>
      <c r="B888" s="20">
        <f ca="1">INDIRECT(ADDRESS(MATCH(A888,Raw!$A:$A,0),2,1,1,"Raw"))</f>
        <v>0</v>
      </c>
      <c r="C888" s="20">
        <f>INDEX(Raw!$C:$C,MATCH(A888,Raw!$A:$A,0))</f>
        <v>0</v>
      </c>
      <c r="D888" s="21"/>
    </row>
    <row r="889" spans="1:4" ht="11.25" customHeight="1" x14ac:dyDescent="0.25">
      <c r="A889" s="22" t="s">
        <v>926</v>
      </c>
      <c r="B889" s="20">
        <f ca="1">INDIRECT(ADDRESS(MATCH(A889,Raw!$A:$A,0),2,1,1,"Raw"))</f>
        <v>0</v>
      </c>
      <c r="C889" s="20">
        <f>INDEX(Raw!$C:$C,MATCH(A889,Raw!$A:$A,0))</f>
        <v>0</v>
      </c>
      <c r="D889" s="21"/>
    </row>
    <row r="890" spans="1:4" ht="11.25" customHeight="1" x14ac:dyDescent="0.25">
      <c r="A890" s="22" t="s">
        <v>927</v>
      </c>
      <c r="B890" s="20">
        <f ca="1">INDIRECT(ADDRESS(MATCH(A890,Raw!$A:$A,0),2,1,1,"Raw"))</f>
        <v>0</v>
      </c>
      <c r="C890" s="20">
        <f>INDEX(Raw!$C:$C,MATCH(A890,Raw!$A:$A,0))</f>
        <v>0</v>
      </c>
      <c r="D890" s="21"/>
    </row>
    <row r="891" spans="1:4" ht="11.25" customHeight="1" x14ac:dyDescent="0.25">
      <c r="A891" s="22" t="s">
        <v>928</v>
      </c>
      <c r="B891" s="20">
        <f ca="1">INDIRECT(ADDRESS(MATCH(A891,Raw!$A:$A,0),2,1,1,"Raw"))</f>
        <v>0</v>
      </c>
      <c r="C891" s="20">
        <f>INDEX(Raw!$C:$C,MATCH(A891,Raw!$A:$A,0))</f>
        <v>0</v>
      </c>
      <c r="D891" s="21"/>
    </row>
    <row r="892" spans="1:4" ht="11.25" customHeight="1" x14ac:dyDescent="0.25">
      <c r="A892" s="22" t="s">
        <v>929</v>
      </c>
      <c r="B892" s="20">
        <f ca="1">INDIRECT(ADDRESS(MATCH(A892,Raw!$A:$A,0),2,1,1,"Raw"))</f>
        <v>0</v>
      </c>
      <c r="C892" s="20">
        <f>INDEX(Raw!$C:$C,MATCH(A892,Raw!$A:$A,0))</f>
        <v>0</v>
      </c>
      <c r="D892" s="21"/>
    </row>
    <row r="893" spans="1:4" ht="11.25" customHeight="1" x14ac:dyDescent="0.25">
      <c r="A893" s="22" t="s">
        <v>930</v>
      </c>
      <c r="B893" s="20">
        <f ca="1">INDIRECT(ADDRESS(MATCH(A893,Raw!$A:$A,0),2,1,1,"Raw"))</f>
        <v>0</v>
      </c>
      <c r="C893" s="20">
        <f>INDEX(Raw!$C:$C,MATCH(A893,Raw!$A:$A,0))</f>
        <v>0</v>
      </c>
      <c r="D893" s="21"/>
    </row>
    <row r="894" spans="1:4" ht="11.25" customHeight="1" x14ac:dyDescent="0.25">
      <c r="A894" s="22" t="s">
        <v>931</v>
      </c>
      <c r="B894" s="20">
        <f ca="1">INDIRECT(ADDRESS(MATCH(A894,Raw!$A:$A,0),2,1,1,"Raw"))</f>
        <v>0</v>
      </c>
      <c r="C894" s="20">
        <f>INDEX(Raw!$C:$C,MATCH(A894,Raw!$A:$A,0))</f>
        <v>0</v>
      </c>
      <c r="D894" s="21"/>
    </row>
    <row r="895" spans="1:4" ht="11.25" customHeight="1" x14ac:dyDescent="0.25">
      <c r="A895" s="22" t="s">
        <v>932</v>
      </c>
      <c r="B895" s="20">
        <f ca="1">INDIRECT(ADDRESS(MATCH(A895,Raw!$A:$A,0),2,1,1,"Raw"))</f>
        <v>0</v>
      </c>
      <c r="C895" s="20">
        <f>INDEX(Raw!$C:$C,MATCH(A895,Raw!$A:$A,0))</f>
        <v>0</v>
      </c>
      <c r="D895" s="21"/>
    </row>
    <row r="896" spans="1:4" ht="11.25" customHeight="1" x14ac:dyDescent="0.25">
      <c r="A896" s="22" t="s">
        <v>933</v>
      </c>
      <c r="B896" s="20">
        <f ca="1">INDIRECT(ADDRESS(MATCH(A896,Raw!$A:$A,0),2,1,1,"Raw"))</f>
        <v>0</v>
      </c>
      <c r="C896" s="20">
        <f>INDEX(Raw!$C:$C,MATCH(A896,Raw!$A:$A,0))</f>
        <v>0</v>
      </c>
      <c r="D896" s="21"/>
    </row>
    <row r="897" spans="1:4" ht="11.25" customHeight="1" x14ac:dyDescent="0.25">
      <c r="A897" s="22" t="s">
        <v>934</v>
      </c>
      <c r="B897" s="20">
        <f ca="1">INDIRECT(ADDRESS(MATCH(A897,Raw!$A:$A,0),2,1,1,"Raw"))</f>
        <v>0</v>
      </c>
      <c r="C897" s="20">
        <f>INDEX(Raw!$C:$C,MATCH(A897,Raw!$A:$A,0))</f>
        <v>0</v>
      </c>
      <c r="D897" s="21"/>
    </row>
    <row r="898" spans="1:4" ht="11.25" customHeight="1" x14ac:dyDescent="0.25">
      <c r="A898" s="22" t="s">
        <v>935</v>
      </c>
      <c r="B898" s="20">
        <f ca="1">INDIRECT(ADDRESS(MATCH(A898,Raw!$A:$A,0),2,1,1,"Raw"))</f>
        <v>0</v>
      </c>
      <c r="C898" s="20">
        <f>INDEX(Raw!$C:$C,MATCH(A898,Raw!$A:$A,0))</f>
        <v>0</v>
      </c>
      <c r="D898" s="21"/>
    </row>
    <row r="899" spans="1:4" ht="11.25" customHeight="1" x14ac:dyDescent="0.25">
      <c r="A899" s="22" t="s">
        <v>936</v>
      </c>
      <c r="B899" s="20">
        <f ca="1">INDIRECT(ADDRESS(MATCH(A899,Raw!$A:$A,0),2,1,1,"Raw"))</f>
        <v>0</v>
      </c>
      <c r="C899" s="20">
        <f>INDEX(Raw!$C:$C,MATCH(A899,Raw!$A:$A,0))</f>
        <v>0</v>
      </c>
      <c r="D899" s="21"/>
    </row>
    <row r="900" spans="1:4" ht="11.25" customHeight="1" x14ac:dyDescent="0.25">
      <c r="A900" s="22" t="s">
        <v>937</v>
      </c>
      <c r="B900" s="20">
        <f ca="1">INDIRECT(ADDRESS(MATCH(A900,Raw!$A:$A,0),2,1,1,"Raw"))</f>
        <v>0</v>
      </c>
      <c r="C900" s="20">
        <f>INDEX(Raw!$C:$C,MATCH(A900,Raw!$A:$A,0))</f>
        <v>0</v>
      </c>
      <c r="D900" s="21"/>
    </row>
    <row r="901" spans="1:4" ht="11.25" customHeight="1" x14ac:dyDescent="0.25">
      <c r="A901" s="22" t="s">
        <v>938</v>
      </c>
      <c r="B901" s="20">
        <f ca="1">INDIRECT(ADDRESS(MATCH(A901,Raw!$A:$A,0),2,1,1,"Raw"))</f>
        <v>0</v>
      </c>
      <c r="C901" s="20">
        <f>INDEX(Raw!$C:$C,MATCH(A901,Raw!$A:$A,0))</f>
        <v>0</v>
      </c>
      <c r="D901" s="21"/>
    </row>
    <row r="902" spans="1:4" ht="11.25" customHeight="1" x14ac:dyDescent="0.25">
      <c r="A902" s="22" t="s">
        <v>939</v>
      </c>
      <c r="B902" s="20">
        <f ca="1">INDIRECT(ADDRESS(MATCH(A902,Raw!$A:$A,0),2,1,1,"Raw"))</f>
        <v>0</v>
      </c>
      <c r="C902" s="20">
        <f>INDEX(Raw!$C:$C,MATCH(A902,Raw!$A:$A,0))</f>
        <v>0</v>
      </c>
      <c r="D902" s="21"/>
    </row>
    <row r="903" spans="1:4" ht="11.25" customHeight="1" x14ac:dyDescent="0.25">
      <c r="A903" s="22" t="s">
        <v>940</v>
      </c>
      <c r="B903" s="20">
        <f ca="1">INDIRECT(ADDRESS(MATCH(A903,Raw!$A:$A,0),2,1,1,"Raw"))</f>
        <v>0</v>
      </c>
      <c r="C903" s="20">
        <f>INDEX(Raw!$C:$C,MATCH(A903,Raw!$A:$A,0))</f>
        <v>0</v>
      </c>
      <c r="D903" s="21"/>
    </row>
    <row r="904" spans="1:4" ht="11.25" customHeight="1" x14ac:dyDescent="0.25">
      <c r="A904" s="22" t="s">
        <v>941</v>
      </c>
      <c r="B904" s="20">
        <f ca="1">INDIRECT(ADDRESS(MATCH(A904,Raw!$A:$A,0),2,1,1,"Raw"))</f>
        <v>0</v>
      </c>
      <c r="C904" s="20">
        <f>INDEX(Raw!$C:$C,MATCH(A904,Raw!$A:$A,0))</f>
        <v>0</v>
      </c>
      <c r="D904" s="21"/>
    </row>
    <row r="905" spans="1:4" ht="11.25" customHeight="1" x14ac:dyDescent="0.25">
      <c r="A905" s="22" t="s">
        <v>942</v>
      </c>
      <c r="B905" s="20">
        <f ca="1">INDIRECT(ADDRESS(MATCH(A905,Raw!$A:$A,0),2,1,1,"Raw"))</f>
        <v>0</v>
      </c>
      <c r="C905" s="20">
        <f>INDEX(Raw!$C:$C,MATCH(A905,Raw!$A:$A,0))</f>
        <v>0</v>
      </c>
      <c r="D905" s="21"/>
    </row>
    <row r="906" spans="1:4" ht="11.25" customHeight="1" x14ac:dyDescent="0.25">
      <c r="A906" s="22" t="s">
        <v>943</v>
      </c>
      <c r="B906" s="20">
        <f ca="1">INDIRECT(ADDRESS(MATCH(A906,Raw!$A:$A,0),2,1,1,"Raw"))</f>
        <v>0</v>
      </c>
      <c r="C906" s="20">
        <f>INDEX(Raw!$C:$C,MATCH(A906,Raw!$A:$A,0))</f>
        <v>0</v>
      </c>
      <c r="D906" s="21"/>
    </row>
    <row r="907" spans="1:4" ht="11.25" customHeight="1" x14ac:dyDescent="0.25">
      <c r="A907" s="22" t="s">
        <v>944</v>
      </c>
      <c r="B907" s="20">
        <f ca="1">INDIRECT(ADDRESS(MATCH(A907,Raw!$A:$A,0),2,1,1,"Raw"))</f>
        <v>0</v>
      </c>
      <c r="C907" s="20">
        <f>INDEX(Raw!$C:$C,MATCH(A907,Raw!$A:$A,0))</f>
        <v>0</v>
      </c>
      <c r="D907" s="21"/>
    </row>
    <row r="908" spans="1:4" ht="11.25" customHeight="1" x14ac:dyDescent="0.25">
      <c r="A908" s="22" t="s">
        <v>945</v>
      </c>
      <c r="B908" s="20">
        <f ca="1">INDIRECT(ADDRESS(MATCH(A908,Raw!$A:$A,0),2,1,1,"Raw"))</f>
        <v>0</v>
      </c>
      <c r="C908" s="20">
        <f>INDEX(Raw!$C:$C,MATCH(A908,Raw!$A:$A,0))</f>
        <v>0</v>
      </c>
      <c r="D908" s="21"/>
    </row>
    <row r="909" spans="1:4" ht="11.25" customHeight="1" x14ac:dyDescent="0.25">
      <c r="A909" s="22" t="s">
        <v>946</v>
      </c>
      <c r="B909" s="20">
        <f ca="1">INDIRECT(ADDRESS(MATCH(A909,Raw!$A:$A,0),2,1,1,"Raw"))</f>
        <v>0</v>
      </c>
      <c r="C909" s="20">
        <f>INDEX(Raw!$C:$C,MATCH(A909,Raw!$A:$A,0))</f>
        <v>0</v>
      </c>
      <c r="D909" s="21"/>
    </row>
    <row r="910" spans="1:4" ht="11.25" customHeight="1" x14ac:dyDescent="0.25">
      <c r="A910" s="22" t="s">
        <v>947</v>
      </c>
      <c r="B910" s="20">
        <f ca="1">INDIRECT(ADDRESS(MATCH(A910,Raw!$A:$A,0),2,1,1,"Raw"))</f>
        <v>0</v>
      </c>
      <c r="C910" s="20">
        <f>INDEX(Raw!$C:$C,MATCH(A910,Raw!$A:$A,0))</f>
        <v>0</v>
      </c>
      <c r="D910" s="21"/>
    </row>
    <row r="911" spans="1:4" ht="11.25" customHeight="1" x14ac:dyDescent="0.25">
      <c r="A911" s="22" t="s">
        <v>948</v>
      </c>
      <c r="B911" s="20">
        <f ca="1">INDIRECT(ADDRESS(MATCH(A911,Raw!$A:$A,0),2,1,1,"Raw"))</f>
        <v>0</v>
      </c>
      <c r="C911" s="20">
        <f>INDEX(Raw!$C:$C,MATCH(A911,Raw!$A:$A,0))</f>
        <v>0</v>
      </c>
      <c r="D911" s="21"/>
    </row>
    <row r="912" spans="1:4" ht="11.25" customHeight="1" x14ac:dyDescent="0.25">
      <c r="A912" s="22" t="s">
        <v>949</v>
      </c>
      <c r="B912" s="20">
        <f ca="1">INDIRECT(ADDRESS(MATCH(A912,Raw!$A:$A,0),2,1,1,"Raw"))</f>
        <v>0</v>
      </c>
      <c r="C912" s="20">
        <f>INDEX(Raw!$C:$C,MATCH(A912,Raw!$A:$A,0))</f>
        <v>0</v>
      </c>
      <c r="D912" s="21"/>
    </row>
    <row r="913" spans="1:4" ht="11.25" customHeight="1" x14ac:dyDescent="0.25">
      <c r="A913" s="22" t="s">
        <v>950</v>
      </c>
      <c r="B913" s="20">
        <f ca="1">INDIRECT(ADDRESS(MATCH(A913,Raw!$A:$A,0),2,1,1,"Raw"))</f>
        <v>0</v>
      </c>
      <c r="C913" s="20">
        <f>INDEX(Raw!$C:$C,MATCH(A913,Raw!$A:$A,0))</f>
        <v>0</v>
      </c>
      <c r="D913" s="21"/>
    </row>
    <row r="914" spans="1:4" ht="11.25" customHeight="1" x14ac:dyDescent="0.25">
      <c r="A914" s="22" t="s">
        <v>951</v>
      </c>
      <c r="B914" s="20">
        <f ca="1">INDIRECT(ADDRESS(MATCH(A914,Raw!$A:$A,0),2,1,1,"Raw"))</f>
        <v>0</v>
      </c>
      <c r="C914" s="20">
        <f>INDEX(Raw!$C:$C,MATCH(A914,Raw!$A:$A,0))</f>
        <v>0</v>
      </c>
      <c r="D914" s="21"/>
    </row>
    <row r="915" spans="1:4" ht="11.25" customHeight="1" x14ac:dyDescent="0.25">
      <c r="A915" s="22" t="s">
        <v>952</v>
      </c>
      <c r="B915" s="20">
        <f ca="1">INDIRECT(ADDRESS(MATCH(A915,Raw!$A:$A,0),2,1,1,"Raw"))</f>
        <v>0</v>
      </c>
      <c r="C915" s="20">
        <f>INDEX(Raw!$C:$C,MATCH(A915,Raw!$A:$A,0))</f>
        <v>0</v>
      </c>
      <c r="D915" s="21"/>
    </row>
    <row r="916" spans="1:4" ht="11.25" customHeight="1" x14ac:dyDescent="0.25">
      <c r="A916" s="22" t="s">
        <v>953</v>
      </c>
      <c r="B916" s="20">
        <f ca="1">INDIRECT(ADDRESS(MATCH(A916,Raw!$A:$A,0),2,1,1,"Raw"))</f>
        <v>0</v>
      </c>
      <c r="C916" s="20">
        <f>INDEX(Raw!$C:$C,MATCH(A916,Raw!$A:$A,0))</f>
        <v>0</v>
      </c>
      <c r="D916" s="21"/>
    </row>
    <row r="917" spans="1:4" ht="11.25" customHeight="1" x14ac:dyDescent="0.25">
      <c r="A917" s="22" t="s">
        <v>954</v>
      </c>
      <c r="B917" s="20">
        <f ca="1">INDIRECT(ADDRESS(MATCH(A917,Raw!$A:$A,0),2,1,1,"Raw"))</f>
        <v>0</v>
      </c>
      <c r="C917" s="20">
        <f>INDEX(Raw!$C:$C,MATCH(A917,Raw!$A:$A,0))</f>
        <v>0</v>
      </c>
      <c r="D917" s="21"/>
    </row>
    <row r="918" spans="1:4" ht="11.25" customHeight="1" x14ac:dyDescent="0.25">
      <c r="A918" s="22" t="s">
        <v>955</v>
      </c>
      <c r="B918" s="20">
        <f ca="1">INDIRECT(ADDRESS(MATCH(A918,Raw!$A:$A,0),2,1,1,"Raw"))</f>
        <v>0</v>
      </c>
      <c r="C918" s="20">
        <f>INDEX(Raw!$C:$C,MATCH(A918,Raw!$A:$A,0))</f>
        <v>0</v>
      </c>
      <c r="D918" s="21"/>
    </row>
    <row r="919" spans="1:4" ht="11.25" customHeight="1" x14ac:dyDescent="0.25">
      <c r="A919" s="22" t="s">
        <v>956</v>
      </c>
      <c r="B919" s="20">
        <f ca="1">INDIRECT(ADDRESS(MATCH(A919,Raw!$A:$A,0),2,1,1,"Raw"))</f>
        <v>0</v>
      </c>
      <c r="C919" s="20">
        <f>INDEX(Raw!$C:$C,MATCH(A919,Raw!$A:$A,0))</f>
        <v>0</v>
      </c>
      <c r="D919" s="21"/>
    </row>
    <row r="920" spans="1:4" ht="11.25" customHeight="1" x14ac:dyDescent="0.25">
      <c r="A920" s="22" t="s">
        <v>957</v>
      </c>
      <c r="B920" s="20">
        <f ca="1">INDIRECT(ADDRESS(MATCH(A920,Raw!$A:$A,0),2,1,1,"Raw"))</f>
        <v>0</v>
      </c>
      <c r="C920" s="20">
        <f>INDEX(Raw!$C:$C,MATCH(A920,Raw!$A:$A,0))</f>
        <v>0</v>
      </c>
      <c r="D920" s="21"/>
    </row>
    <row r="921" spans="1:4" ht="11.25" customHeight="1" x14ac:dyDescent="0.25">
      <c r="A921" s="22" t="s">
        <v>958</v>
      </c>
      <c r="B921" s="20">
        <f ca="1">INDIRECT(ADDRESS(MATCH(A921,Raw!$A:$A,0),2,1,1,"Raw"))</f>
        <v>0</v>
      </c>
      <c r="C921" s="20">
        <f>INDEX(Raw!$C:$C,MATCH(A921,Raw!$A:$A,0))</f>
        <v>0</v>
      </c>
      <c r="D921" s="21"/>
    </row>
    <row r="922" spans="1:4" ht="11.25" customHeight="1" x14ac:dyDescent="0.25">
      <c r="A922" s="22" t="s">
        <v>959</v>
      </c>
      <c r="B922" s="20">
        <f ca="1">INDIRECT(ADDRESS(MATCH(A922,Raw!$A:$A,0),2,1,1,"Raw"))</f>
        <v>0</v>
      </c>
      <c r="C922" s="20">
        <f>INDEX(Raw!$C:$C,MATCH(A922,Raw!$A:$A,0))</f>
        <v>0</v>
      </c>
      <c r="D922" s="21"/>
    </row>
    <row r="923" spans="1:4" ht="11.25" customHeight="1" x14ac:dyDescent="0.25">
      <c r="A923" s="22" t="s">
        <v>960</v>
      </c>
      <c r="B923" s="20">
        <f ca="1">INDIRECT(ADDRESS(MATCH(A923,Raw!$A:$A,0),2,1,1,"Raw"))</f>
        <v>0</v>
      </c>
      <c r="C923" s="20">
        <f>INDEX(Raw!$C:$C,MATCH(A923,Raw!$A:$A,0))</f>
        <v>0</v>
      </c>
      <c r="D923" s="21"/>
    </row>
    <row r="924" spans="1:4" ht="11.25" customHeight="1" x14ac:dyDescent="0.25">
      <c r="A924" s="22" t="s">
        <v>961</v>
      </c>
      <c r="B924" s="20">
        <f ca="1">INDIRECT(ADDRESS(MATCH(A924,Raw!$A:$A,0),2,1,1,"Raw"))</f>
        <v>0</v>
      </c>
      <c r="C924" s="20">
        <f>INDEX(Raw!$C:$C,MATCH(A924,Raw!$A:$A,0))</f>
        <v>0</v>
      </c>
      <c r="D924" s="21"/>
    </row>
    <row r="925" spans="1:4" ht="11.25" customHeight="1" x14ac:dyDescent="0.25">
      <c r="A925" s="22" t="s">
        <v>962</v>
      </c>
      <c r="B925" s="20">
        <f ca="1">INDIRECT(ADDRESS(MATCH(A925,Raw!$A:$A,0),2,1,1,"Raw"))</f>
        <v>0</v>
      </c>
      <c r="C925" s="20">
        <f>INDEX(Raw!$C:$C,MATCH(A925,Raw!$A:$A,0))</f>
        <v>0</v>
      </c>
      <c r="D925" s="21"/>
    </row>
    <row r="926" spans="1:4" ht="11.25" customHeight="1" x14ac:dyDescent="0.25">
      <c r="A926" s="22" t="s">
        <v>963</v>
      </c>
      <c r="B926" s="20">
        <f ca="1">INDIRECT(ADDRESS(MATCH(A926,Raw!$A:$A,0),2,1,1,"Raw"))</f>
        <v>0</v>
      </c>
      <c r="C926" s="20">
        <f>INDEX(Raw!$C:$C,MATCH(A926,Raw!$A:$A,0))</f>
        <v>0</v>
      </c>
      <c r="D926" s="21"/>
    </row>
    <row r="927" spans="1:4" ht="11.25" customHeight="1" x14ac:dyDescent="0.25">
      <c r="A927" s="22" t="s">
        <v>964</v>
      </c>
      <c r="B927" s="20">
        <f ca="1">INDIRECT(ADDRESS(MATCH(A927,Raw!$A:$A,0),2,1,1,"Raw"))</f>
        <v>0</v>
      </c>
      <c r="C927" s="20">
        <f>INDEX(Raw!$C:$C,MATCH(A927,Raw!$A:$A,0))</f>
        <v>0</v>
      </c>
      <c r="D927" s="21"/>
    </row>
    <row r="928" spans="1:4" ht="11.25" customHeight="1" x14ac:dyDescent="0.25">
      <c r="A928" s="22" t="s">
        <v>965</v>
      </c>
      <c r="B928" s="20">
        <f ca="1">INDIRECT(ADDRESS(MATCH(A928,Raw!$A:$A,0),2,1,1,"Raw"))</f>
        <v>0</v>
      </c>
      <c r="C928" s="20">
        <f>INDEX(Raw!$C:$C,MATCH(A928,Raw!$A:$A,0))</f>
        <v>0</v>
      </c>
      <c r="D928" s="21"/>
    </row>
    <row r="929" spans="1:4" ht="11.25" customHeight="1" x14ac:dyDescent="0.25">
      <c r="A929" s="22" t="s">
        <v>966</v>
      </c>
      <c r="B929" s="20">
        <f ca="1">INDIRECT(ADDRESS(MATCH(A929,Raw!$A:$A,0),2,1,1,"Raw"))</f>
        <v>0</v>
      </c>
      <c r="C929" s="20">
        <f>INDEX(Raw!$C:$C,MATCH(A929,Raw!$A:$A,0))</f>
        <v>0</v>
      </c>
      <c r="D929" s="21"/>
    </row>
    <row r="930" spans="1:4" ht="11.25" customHeight="1" x14ac:dyDescent="0.25">
      <c r="A930" s="22" t="s">
        <v>967</v>
      </c>
      <c r="B930" s="20">
        <f ca="1">INDIRECT(ADDRESS(MATCH(A930,Raw!$A:$A,0),2,1,1,"Raw"))</f>
        <v>0</v>
      </c>
      <c r="C930" s="20">
        <f>INDEX(Raw!$C:$C,MATCH(A930,Raw!$A:$A,0))</f>
        <v>0</v>
      </c>
      <c r="D930" s="21"/>
    </row>
    <row r="931" spans="1:4" ht="11.25" customHeight="1" x14ac:dyDescent="0.25">
      <c r="A931" s="22" t="s">
        <v>968</v>
      </c>
      <c r="B931" s="20">
        <f ca="1">INDIRECT(ADDRESS(MATCH(A931,Raw!$A:$A,0),2,1,1,"Raw"))</f>
        <v>0</v>
      </c>
      <c r="C931" s="20">
        <f>INDEX(Raw!$C:$C,MATCH(A931,Raw!$A:$A,0))</f>
        <v>0</v>
      </c>
      <c r="D931" s="21"/>
    </row>
    <row r="932" spans="1:4" ht="11.25" customHeight="1" x14ac:dyDescent="0.25">
      <c r="A932" s="22" t="s">
        <v>969</v>
      </c>
      <c r="B932" s="20">
        <f ca="1">INDIRECT(ADDRESS(MATCH(A932,Raw!$A:$A,0),2,1,1,"Raw"))</f>
        <v>0</v>
      </c>
      <c r="C932" s="20">
        <f>INDEX(Raw!$C:$C,MATCH(A932,Raw!$A:$A,0))</f>
        <v>0</v>
      </c>
      <c r="D932" s="21"/>
    </row>
    <row r="933" spans="1:4" ht="11.25" customHeight="1" x14ac:dyDescent="0.25">
      <c r="A933" s="22" t="s">
        <v>970</v>
      </c>
      <c r="B933" s="20">
        <f ca="1">INDIRECT(ADDRESS(MATCH(A933,Raw!$A:$A,0),2,1,1,"Raw"))</f>
        <v>0</v>
      </c>
      <c r="C933" s="20">
        <f>INDEX(Raw!$C:$C,MATCH(A933,Raw!$A:$A,0))</f>
        <v>0</v>
      </c>
      <c r="D933" s="21"/>
    </row>
    <row r="934" spans="1:4" ht="11.25" customHeight="1" x14ac:dyDescent="0.25">
      <c r="A934" s="22" t="s">
        <v>971</v>
      </c>
      <c r="B934" s="20">
        <f ca="1">INDIRECT(ADDRESS(MATCH(A934,Raw!$A:$A,0),2,1,1,"Raw"))</f>
        <v>0</v>
      </c>
      <c r="C934" s="20">
        <f>INDEX(Raw!$C:$C,MATCH(A934,Raw!$A:$A,0))</f>
        <v>0</v>
      </c>
      <c r="D934" s="21"/>
    </row>
    <row r="935" spans="1:4" ht="11.25" customHeight="1" x14ac:dyDescent="0.25">
      <c r="A935" s="22" t="s">
        <v>972</v>
      </c>
      <c r="B935" s="20">
        <f ca="1">INDIRECT(ADDRESS(MATCH(A935,Raw!$A:$A,0),2,1,1,"Raw"))</f>
        <v>0</v>
      </c>
      <c r="C935" s="20">
        <f>INDEX(Raw!$C:$C,MATCH(A935,Raw!$A:$A,0))</f>
        <v>0</v>
      </c>
      <c r="D935" s="21"/>
    </row>
    <row r="936" spans="1:4" ht="11.25" customHeight="1" x14ac:dyDescent="0.25">
      <c r="A936" s="22" t="s">
        <v>973</v>
      </c>
      <c r="B936" s="20">
        <f ca="1">INDIRECT(ADDRESS(MATCH(A936,Raw!$A:$A,0),2,1,1,"Raw"))</f>
        <v>0</v>
      </c>
      <c r="C936" s="20">
        <f>INDEX(Raw!$C:$C,MATCH(A936,Raw!$A:$A,0))</f>
        <v>0</v>
      </c>
      <c r="D936" s="21"/>
    </row>
    <row r="937" spans="1:4" ht="11.25" customHeight="1" x14ac:dyDescent="0.25">
      <c r="A937" s="22" t="s">
        <v>974</v>
      </c>
      <c r="B937" s="20">
        <f ca="1">INDIRECT(ADDRESS(MATCH(A937,Raw!$A:$A,0),2,1,1,"Raw"))</f>
        <v>0</v>
      </c>
      <c r="C937" s="20">
        <f>INDEX(Raw!$C:$C,MATCH(A937,Raw!$A:$A,0))</f>
        <v>0</v>
      </c>
      <c r="D937" s="21"/>
    </row>
    <row r="938" spans="1:4" ht="11.25" customHeight="1" x14ac:dyDescent="0.25">
      <c r="A938" s="22" t="s">
        <v>975</v>
      </c>
      <c r="B938" s="20">
        <f ca="1">INDIRECT(ADDRESS(MATCH(A938,Raw!$A:$A,0),2,1,1,"Raw"))</f>
        <v>0</v>
      </c>
      <c r="C938" s="20">
        <f>INDEX(Raw!$C:$C,MATCH(A938,Raw!$A:$A,0))</f>
        <v>0</v>
      </c>
      <c r="D938" s="21"/>
    </row>
    <row r="939" spans="1:4" ht="11.25" customHeight="1" x14ac:dyDescent="0.25">
      <c r="A939" s="22" t="s">
        <v>976</v>
      </c>
      <c r="B939" s="20">
        <f ca="1">INDIRECT(ADDRESS(MATCH(A939,Raw!$A:$A,0),2,1,1,"Raw"))</f>
        <v>0</v>
      </c>
      <c r="C939" s="20">
        <f>INDEX(Raw!$C:$C,MATCH(A939,Raw!$A:$A,0))</f>
        <v>0</v>
      </c>
      <c r="D939" s="21"/>
    </row>
    <row r="940" spans="1:4" ht="11.25" customHeight="1" x14ac:dyDescent="0.25">
      <c r="A940" s="22" t="s">
        <v>977</v>
      </c>
      <c r="B940" s="20">
        <f ca="1">INDIRECT(ADDRESS(MATCH(A940,Raw!$A:$A,0),2,1,1,"Raw"))</f>
        <v>0</v>
      </c>
      <c r="C940" s="20">
        <f>INDEX(Raw!$C:$C,MATCH(A940,Raw!$A:$A,0))</f>
        <v>0</v>
      </c>
      <c r="D940" s="21"/>
    </row>
    <row r="941" spans="1:4" ht="11.25" customHeight="1" x14ac:dyDescent="0.25">
      <c r="A941" s="22" t="s">
        <v>978</v>
      </c>
      <c r="B941" s="20">
        <f ca="1">INDIRECT(ADDRESS(MATCH(A941,Raw!$A:$A,0),2,1,1,"Raw"))</f>
        <v>0</v>
      </c>
      <c r="C941" s="20">
        <f>INDEX(Raw!$C:$C,MATCH(A941,Raw!$A:$A,0))</f>
        <v>0</v>
      </c>
      <c r="D941" s="21"/>
    </row>
    <row r="942" spans="1:4" ht="11.25" customHeight="1" x14ac:dyDescent="0.25">
      <c r="A942" s="22" t="s">
        <v>979</v>
      </c>
      <c r="B942" s="20">
        <f ca="1">INDIRECT(ADDRESS(MATCH(A942,Raw!$A:$A,0),2,1,1,"Raw"))</f>
        <v>0</v>
      </c>
      <c r="C942" s="20">
        <f>INDEX(Raw!$C:$C,MATCH(A942,Raw!$A:$A,0))</f>
        <v>0</v>
      </c>
      <c r="D942" s="21"/>
    </row>
    <row r="943" spans="1:4" ht="11.25" customHeight="1" x14ac:dyDescent="0.25">
      <c r="A943" s="22" t="s">
        <v>980</v>
      </c>
      <c r="B943" s="20">
        <f ca="1">INDIRECT(ADDRESS(MATCH(A943,Raw!$A:$A,0),2,1,1,"Raw"))</f>
        <v>0</v>
      </c>
      <c r="C943" s="20">
        <f>INDEX(Raw!$C:$C,MATCH(A943,Raw!$A:$A,0))</f>
        <v>0</v>
      </c>
      <c r="D943" s="21"/>
    </row>
    <row r="944" spans="1:4" ht="11.25" customHeight="1" x14ac:dyDescent="0.25">
      <c r="A944" s="22" t="s">
        <v>981</v>
      </c>
      <c r="B944" s="20">
        <f ca="1">INDIRECT(ADDRESS(MATCH(A944,Raw!$A:$A,0),2,1,1,"Raw"))</f>
        <v>0</v>
      </c>
      <c r="C944" s="20">
        <f>INDEX(Raw!$C:$C,MATCH(A944,Raw!$A:$A,0))</f>
        <v>0</v>
      </c>
      <c r="D944" s="21"/>
    </row>
    <row r="945" spans="1:4" ht="11.25" customHeight="1" x14ac:dyDescent="0.25">
      <c r="A945" s="22" t="s">
        <v>982</v>
      </c>
      <c r="B945" s="20">
        <f ca="1">INDIRECT(ADDRESS(MATCH(A945,Raw!$A:$A,0),2,1,1,"Raw"))</f>
        <v>0</v>
      </c>
      <c r="C945" s="20">
        <f>INDEX(Raw!$C:$C,MATCH(A945,Raw!$A:$A,0))</f>
        <v>0</v>
      </c>
      <c r="D945" s="21"/>
    </row>
    <row r="946" spans="1:4" ht="11.25" customHeight="1" x14ac:dyDescent="0.25">
      <c r="A946" s="22" t="s">
        <v>983</v>
      </c>
      <c r="B946" s="20">
        <f ca="1">INDIRECT(ADDRESS(MATCH(A946,Raw!$A:$A,0),2,1,1,"Raw"))</f>
        <v>0</v>
      </c>
      <c r="C946" s="20">
        <f>INDEX(Raw!$C:$C,MATCH(A946,Raw!$A:$A,0))</f>
        <v>0</v>
      </c>
      <c r="D946" s="21"/>
    </row>
    <row r="947" spans="1:4" ht="11.25" customHeight="1" x14ac:dyDescent="0.25">
      <c r="A947" s="22" t="s">
        <v>984</v>
      </c>
      <c r="B947" s="20">
        <f ca="1">INDIRECT(ADDRESS(MATCH(A947,Raw!$A:$A,0),2,1,1,"Raw"))</f>
        <v>0</v>
      </c>
      <c r="C947" s="20">
        <f>INDEX(Raw!$C:$C,MATCH(A947,Raw!$A:$A,0))</f>
        <v>0</v>
      </c>
      <c r="D947" s="21"/>
    </row>
    <row r="948" spans="1:4" ht="11.25" customHeight="1" x14ac:dyDescent="0.25">
      <c r="A948" s="22" t="s">
        <v>985</v>
      </c>
      <c r="B948" s="20">
        <f ca="1">INDIRECT(ADDRESS(MATCH(A948,Raw!$A:$A,0),2,1,1,"Raw"))</f>
        <v>0</v>
      </c>
      <c r="C948" s="20">
        <f>INDEX(Raw!$C:$C,MATCH(A948,Raw!$A:$A,0))</f>
        <v>0</v>
      </c>
      <c r="D948" s="21"/>
    </row>
    <row r="949" spans="1:4" ht="11.25" customHeight="1" x14ac:dyDescent="0.25">
      <c r="A949" s="22" t="s">
        <v>986</v>
      </c>
      <c r="B949" s="20">
        <f ca="1">INDIRECT(ADDRESS(MATCH(A949,Raw!$A:$A,0),2,1,1,"Raw"))</f>
        <v>0</v>
      </c>
      <c r="C949" s="20">
        <f>INDEX(Raw!$C:$C,MATCH(A949,Raw!$A:$A,0))</f>
        <v>0</v>
      </c>
      <c r="D949" s="21"/>
    </row>
    <row r="950" spans="1:4" ht="11.25" customHeight="1" x14ac:dyDescent="0.25">
      <c r="A950" s="22" t="s">
        <v>987</v>
      </c>
      <c r="B950" s="20">
        <f ca="1">INDIRECT(ADDRESS(MATCH(A950,Raw!$A:$A,0),2,1,1,"Raw"))</f>
        <v>0</v>
      </c>
      <c r="C950" s="20">
        <f>INDEX(Raw!$C:$C,MATCH(A950,Raw!$A:$A,0))</f>
        <v>0</v>
      </c>
      <c r="D950" s="21"/>
    </row>
    <row r="951" spans="1:4" ht="11.25" customHeight="1" x14ac:dyDescent="0.25">
      <c r="A951" s="22" t="s">
        <v>988</v>
      </c>
      <c r="B951" s="20">
        <f ca="1">INDIRECT(ADDRESS(MATCH(A951,Raw!$A:$A,0),2,1,1,"Raw"))</f>
        <v>0</v>
      </c>
      <c r="C951" s="20">
        <f>INDEX(Raw!$C:$C,MATCH(A951,Raw!$A:$A,0))</f>
        <v>0</v>
      </c>
      <c r="D951" s="21"/>
    </row>
    <row r="952" spans="1:4" ht="11.25" customHeight="1" x14ac:dyDescent="0.25">
      <c r="A952" s="22" t="s">
        <v>989</v>
      </c>
      <c r="B952" s="20">
        <f ca="1">INDIRECT(ADDRESS(MATCH(A952,Raw!$A:$A,0),2,1,1,"Raw"))</f>
        <v>0</v>
      </c>
      <c r="C952" s="20">
        <f>INDEX(Raw!$C:$C,MATCH(A952,Raw!$A:$A,0))</f>
        <v>0</v>
      </c>
      <c r="D952" s="21"/>
    </row>
    <row r="953" spans="1:4" ht="11.25" customHeight="1" x14ac:dyDescent="0.25">
      <c r="A953" s="22" t="s">
        <v>990</v>
      </c>
      <c r="B953" s="20">
        <f ca="1">INDIRECT(ADDRESS(MATCH(A953,Raw!$A:$A,0),2,1,1,"Raw"))</f>
        <v>0</v>
      </c>
      <c r="C953" s="20">
        <f>INDEX(Raw!$C:$C,MATCH(A953,Raw!$A:$A,0))</f>
        <v>0</v>
      </c>
      <c r="D953" s="21"/>
    </row>
    <row r="954" spans="1:4" ht="11.25" customHeight="1" x14ac:dyDescent="0.25">
      <c r="A954" s="22" t="s">
        <v>991</v>
      </c>
      <c r="B954" s="20">
        <f ca="1">INDIRECT(ADDRESS(MATCH(A954,Raw!$A:$A,0),2,1,1,"Raw"))</f>
        <v>0</v>
      </c>
      <c r="C954" s="20">
        <f>INDEX(Raw!$C:$C,MATCH(A954,Raw!$A:$A,0))</f>
        <v>0</v>
      </c>
      <c r="D954" s="21"/>
    </row>
    <row r="955" spans="1:4" ht="11.25" customHeight="1" x14ac:dyDescent="0.25">
      <c r="A955" s="22" t="s">
        <v>992</v>
      </c>
      <c r="B955" s="20">
        <f ca="1">INDIRECT(ADDRESS(MATCH(A955,Raw!$A:$A,0),2,1,1,"Raw"))</f>
        <v>0</v>
      </c>
      <c r="C955" s="20">
        <f>INDEX(Raw!$C:$C,MATCH(A955,Raw!$A:$A,0))</f>
        <v>0</v>
      </c>
      <c r="D955" s="21"/>
    </row>
    <row r="956" spans="1:4" ht="11.25" customHeight="1" x14ac:dyDescent="0.25">
      <c r="A956" s="22" t="s">
        <v>993</v>
      </c>
      <c r="B956" s="20">
        <f ca="1">INDIRECT(ADDRESS(MATCH(A956,Raw!$A:$A,0),2,1,1,"Raw"))</f>
        <v>0</v>
      </c>
      <c r="C956" s="20">
        <f>INDEX(Raw!$C:$C,MATCH(A956,Raw!$A:$A,0))</f>
        <v>0</v>
      </c>
      <c r="D956" s="21"/>
    </row>
    <row r="957" spans="1:4" ht="11.25" customHeight="1" x14ac:dyDescent="0.25">
      <c r="A957" s="22" t="s">
        <v>994</v>
      </c>
      <c r="B957" s="20">
        <f ca="1">INDIRECT(ADDRESS(MATCH(A957,Raw!$A:$A,0),2,1,1,"Raw"))</f>
        <v>0</v>
      </c>
      <c r="C957" s="20">
        <f>INDEX(Raw!$C:$C,MATCH(A957,Raw!$A:$A,0))</f>
        <v>0</v>
      </c>
      <c r="D957" s="21"/>
    </row>
    <row r="958" spans="1:4" ht="11.25" customHeight="1" x14ac:dyDescent="0.25">
      <c r="A958" s="22" t="s">
        <v>995</v>
      </c>
      <c r="B958" s="20">
        <f ca="1">INDIRECT(ADDRESS(MATCH(A958,Raw!$A:$A,0),2,1,1,"Raw"))</f>
        <v>0</v>
      </c>
      <c r="C958" s="20">
        <f>INDEX(Raw!$C:$C,MATCH(A958,Raw!$A:$A,0))</f>
        <v>0</v>
      </c>
      <c r="D958" s="21"/>
    </row>
    <row r="959" spans="1:4" ht="11.25" customHeight="1" x14ac:dyDescent="0.25">
      <c r="A959" s="22" t="s">
        <v>996</v>
      </c>
      <c r="B959" s="20">
        <f ca="1">INDIRECT(ADDRESS(MATCH(A959,Raw!$A:$A,0),2,1,1,"Raw"))</f>
        <v>0</v>
      </c>
      <c r="C959" s="20">
        <f>INDEX(Raw!$C:$C,MATCH(A959,Raw!$A:$A,0))</f>
        <v>0</v>
      </c>
      <c r="D959" s="21"/>
    </row>
    <row r="960" spans="1:4" ht="11.25" customHeight="1" x14ac:dyDescent="0.25">
      <c r="A960" s="22" t="s">
        <v>997</v>
      </c>
      <c r="B960" s="20">
        <f ca="1">INDIRECT(ADDRESS(MATCH(A960,Raw!$A:$A,0),2,1,1,"Raw"))</f>
        <v>0</v>
      </c>
      <c r="C960" s="20">
        <f>INDEX(Raw!$C:$C,MATCH(A960,Raw!$A:$A,0))</f>
        <v>0</v>
      </c>
      <c r="D960" s="21"/>
    </row>
    <row r="961" spans="1:4" ht="11.25" customHeight="1" x14ac:dyDescent="0.25">
      <c r="A961" s="22" t="s">
        <v>998</v>
      </c>
      <c r="B961" s="20">
        <f ca="1">INDIRECT(ADDRESS(MATCH(A961,Raw!$A:$A,0),2,1,1,"Raw"))</f>
        <v>0</v>
      </c>
      <c r="C961" s="20">
        <f>INDEX(Raw!$C:$C,MATCH(A961,Raw!$A:$A,0))</f>
        <v>0</v>
      </c>
      <c r="D961" s="21"/>
    </row>
    <row r="962" spans="1:4" ht="11.25" customHeight="1" x14ac:dyDescent="0.25">
      <c r="A962" s="22" t="s">
        <v>999</v>
      </c>
      <c r="B962" s="20">
        <f ca="1">INDIRECT(ADDRESS(MATCH(A962,Raw!$A:$A,0),2,1,1,"Raw"))</f>
        <v>0</v>
      </c>
      <c r="C962" s="20">
        <f>INDEX(Raw!$C:$C,MATCH(A962,Raw!$A:$A,0))</f>
        <v>0</v>
      </c>
      <c r="D962" s="21"/>
    </row>
    <row r="963" spans="1:4" ht="11.25" customHeight="1" x14ac:dyDescent="0.25">
      <c r="A963" s="22" t="s">
        <v>1000</v>
      </c>
      <c r="B963" s="20">
        <f ca="1">INDIRECT(ADDRESS(MATCH(A963,Raw!$A:$A,0),2,1,1,"Raw"))</f>
        <v>0</v>
      </c>
      <c r="C963" s="20">
        <f>INDEX(Raw!$C:$C,MATCH(A963,Raw!$A:$A,0))</f>
        <v>0</v>
      </c>
      <c r="D963" s="21"/>
    </row>
    <row r="964" spans="1:4" ht="11.25" customHeight="1" x14ac:dyDescent="0.25">
      <c r="A964" s="22" t="s">
        <v>1001</v>
      </c>
      <c r="B964" s="20">
        <f ca="1">INDIRECT(ADDRESS(MATCH(A964,Raw!$A:$A,0),2,1,1,"Raw"))</f>
        <v>0</v>
      </c>
      <c r="C964" s="20">
        <f>INDEX(Raw!$C:$C,MATCH(A964,Raw!$A:$A,0))</f>
        <v>0</v>
      </c>
      <c r="D964" s="21"/>
    </row>
    <row r="965" spans="1:4" ht="11.25" customHeight="1" x14ac:dyDescent="0.25">
      <c r="A965" s="22" t="s">
        <v>1002</v>
      </c>
      <c r="B965" s="20">
        <f ca="1">INDIRECT(ADDRESS(MATCH(A965,Raw!$A:$A,0),2,1,1,"Raw"))</f>
        <v>0</v>
      </c>
      <c r="C965" s="20">
        <f>INDEX(Raw!$C:$C,MATCH(A965,Raw!$A:$A,0))</f>
        <v>0</v>
      </c>
      <c r="D965" s="21"/>
    </row>
    <row r="966" spans="1:4" ht="11.25" customHeight="1" x14ac:dyDescent="0.25">
      <c r="A966" s="22" t="s">
        <v>1003</v>
      </c>
      <c r="B966" s="20">
        <f ca="1">INDIRECT(ADDRESS(MATCH(A966,Raw!$A:$A,0),2,1,1,"Raw"))</f>
        <v>0</v>
      </c>
      <c r="C966" s="20">
        <f>INDEX(Raw!$C:$C,MATCH(A966,Raw!$A:$A,0))</f>
        <v>0</v>
      </c>
      <c r="D966" s="21"/>
    </row>
    <row r="967" spans="1:4" ht="11.25" customHeight="1" x14ac:dyDescent="0.25">
      <c r="A967" s="22" t="s">
        <v>1004</v>
      </c>
      <c r="B967" s="20">
        <f ca="1">INDIRECT(ADDRESS(MATCH(A967,Raw!$A:$A,0),2,1,1,"Raw"))</f>
        <v>0</v>
      </c>
      <c r="C967" s="20">
        <f>INDEX(Raw!$C:$C,MATCH(A967,Raw!$A:$A,0))</f>
        <v>0</v>
      </c>
      <c r="D967" s="21"/>
    </row>
    <row r="968" spans="1:4" ht="11.25" customHeight="1" x14ac:dyDescent="0.25">
      <c r="A968" s="22" t="s">
        <v>1005</v>
      </c>
      <c r="B968" s="20">
        <f ca="1">INDIRECT(ADDRESS(MATCH(A968,Raw!$A:$A,0),2,1,1,"Raw"))</f>
        <v>0</v>
      </c>
      <c r="C968" s="20">
        <f>INDEX(Raw!$C:$C,MATCH(A968,Raw!$A:$A,0))</f>
        <v>0</v>
      </c>
      <c r="D968" s="21"/>
    </row>
    <row r="969" spans="1:4" ht="11.25" customHeight="1" x14ac:dyDescent="0.25">
      <c r="A969" s="22" t="s">
        <v>1006</v>
      </c>
      <c r="B969" s="20">
        <f ca="1">INDIRECT(ADDRESS(MATCH(A969,Raw!$A:$A,0),2,1,1,"Raw"))</f>
        <v>0</v>
      </c>
      <c r="C969" s="20">
        <f>INDEX(Raw!$C:$C,MATCH(A969,Raw!$A:$A,0))</f>
        <v>0</v>
      </c>
      <c r="D969" s="21"/>
    </row>
    <row r="970" spans="1:4" ht="11.25" customHeight="1" x14ac:dyDescent="0.25">
      <c r="A970" s="22" t="s">
        <v>1007</v>
      </c>
      <c r="B970" s="20">
        <f ca="1">INDIRECT(ADDRESS(MATCH(A970,Raw!$A:$A,0),2,1,1,"Raw"))</f>
        <v>0</v>
      </c>
      <c r="C970" s="20">
        <f>INDEX(Raw!$C:$C,MATCH(A970,Raw!$A:$A,0))</f>
        <v>0</v>
      </c>
      <c r="D970" s="21"/>
    </row>
    <row r="971" spans="1:4" ht="11.25" customHeight="1" x14ac:dyDescent="0.25">
      <c r="A971" s="22" t="s">
        <v>1008</v>
      </c>
      <c r="B971" s="20">
        <f ca="1">INDIRECT(ADDRESS(MATCH(A971,Raw!$A:$A,0),2,1,1,"Raw"))</f>
        <v>0</v>
      </c>
      <c r="C971" s="20">
        <f>INDEX(Raw!$C:$C,MATCH(A971,Raw!$A:$A,0))</f>
        <v>0</v>
      </c>
      <c r="D971" s="21"/>
    </row>
    <row r="972" spans="1:4" ht="11.25" customHeight="1" x14ac:dyDescent="0.25">
      <c r="A972" s="22" t="s">
        <v>1009</v>
      </c>
      <c r="B972" s="20">
        <f ca="1">INDIRECT(ADDRESS(MATCH(A972,Raw!$A:$A,0),2,1,1,"Raw"))</f>
        <v>0</v>
      </c>
      <c r="C972" s="20">
        <f>INDEX(Raw!$C:$C,MATCH(A972,Raw!$A:$A,0))</f>
        <v>0</v>
      </c>
      <c r="D972" s="21"/>
    </row>
    <row r="973" spans="1:4" ht="11.25" customHeight="1" x14ac:dyDescent="0.25">
      <c r="A973" s="22" t="s">
        <v>1010</v>
      </c>
      <c r="B973" s="20">
        <f ca="1">INDIRECT(ADDRESS(MATCH(A973,Raw!$A:$A,0),2,1,1,"Raw"))</f>
        <v>0</v>
      </c>
      <c r="C973" s="20">
        <f>INDEX(Raw!$C:$C,MATCH(A973,Raw!$A:$A,0))</f>
        <v>0</v>
      </c>
      <c r="D973" s="21"/>
    </row>
    <row r="974" spans="1:4" ht="11.25" customHeight="1" x14ac:dyDescent="0.25">
      <c r="A974" s="22" t="s">
        <v>1011</v>
      </c>
      <c r="B974" s="20">
        <f ca="1">INDIRECT(ADDRESS(MATCH(A974,Raw!$A:$A,0),2,1,1,"Raw"))</f>
        <v>0</v>
      </c>
      <c r="C974" s="20">
        <f>INDEX(Raw!$C:$C,MATCH(A974,Raw!$A:$A,0))</f>
        <v>0</v>
      </c>
      <c r="D974" s="21"/>
    </row>
    <row r="975" spans="1:4" ht="11.25" customHeight="1" x14ac:dyDescent="0.25">
      <c r="A975" s="22" t="s">
        <v>1012</v>
      </c>
      <c r="B975" s="20">
        <f ca="1">INDIRECT(ADDRESS(MATCH(A975,Raw!$A:$A,0),2,1,1,"Raw"))</f>
        <v>0</v>
      </c>
      <c r="C975" s="20">
        <f>INDEX(Raw!$C:$C,MATCH(A975,Raw!$A:$A,0))</f>
        <v>0</v>
      </c>
      <c r="D975" s="21"/>
    </row>
    <row r="976" spans="1:4" ht="11.25" customHeight="1" x14ac:dyDescent="0.25">
      <c r="A976" s="22" t="s">
        <v>1013</v>
      </c>
      <c r="B976" s="20">
        <f ca="1">INDIRECT(ADDRESS(MATCH(A976,Raw!$A:$A,0),2,1,1,"Raw"))</f>
        <v>0</v>
      </c>
      <c r="C976" s="20">
        <f>INDEX(Raw!$C:$C,MATCH(A976,Raw!$A:$A,0))</f>
        <v>0</v>
      </c>
      <c r="D976" s="21"/>
    </row>
    <row r="977" spans="1:4" ht="11.25" customHeight="1" x14ac:dyDescent="0.25">
      <c r="A977" s="22" t="s">
        <v>1014</v>
      </c>
      <c r="B977" s="20">
        <f ca="1">INDIRECT(ADDRESS(MATCH(A977,Raw!$A:$A,0),2,1,1,"Raw"))</f>
        <v>0</v>
      </c>
      <c r="C977" s="20">
        <f>INDEX(Raw!$C:$C,MATCH(A977,Raw!$A:$A,0))</f>
        <v>0</v>
      </c>
      <c r="D977" s="21"/>
    </row>
    <row r="978" spans="1:4" ht="11.25" customHeight="1" x14ac:dyDescent="0.25">
      <c r="A978" s="22" t="s">
        <v>1015</v>
      </c>
      <c r="B978" s="20">
        <f ca="1">INDIRECT(ADDRESS(MATCH(A978,Raw!$A:$A,0),2,1,1,"Raw"))</f>
        <v>0</v>
      </c>
      <c r="C978" s="20">
        <f>INDEX(Raw!$C:$C,MATCH(A978,Raw!$A:$A,0))</f>
        <v>0</v>
      </c>
      <c r="D978" s="21"/>
    </row>
    <row r="979" spans="1:4" ht="11.25" customHeight="1" x14ac:dyDescent="0.25">
      <c r="A979" s="22" t="s">
        <v>1016</v>
      </c>
      <c r="B979" s="20">
        <f ca="1">INDIRECT(ADDRESS(MATCH(A979,Raw!$A:$A,0),2,1,1,"Raw"))</f>
        <v>0</v>
      </c>
      <c r="C979" s="20">
        <f>INDEX(Raw!$C:$C,MATCH(A979,Raw!$A:$A,0))</f>
        <v>0</v>
      </c>
      <c r="D979" s="21"/>
    </row>
    <row r="980" spans="1:4" ht="11.25" customHeight="1" x14ac:dyDescent="0.25">
      <c r="A980" s="22" t="s">
        <v>1017</v>
      </c>
      <c r="B980" s="20">
        <f ca="1">INDIRECT(ADDRESS(MATCH(A980,Raw!$A:$A,0),2,1,1,"Raw"))</f>
        <v>0</v>
      </c>
      <c r="C980" s="20">
        <f>INDEX(Raw!$C:$C,MATCH(A980,Raw!$A:$A,0))</f>
        <v>0</v>
      </c>
      <c r="D980" s="21"/>
    </row>
    <row r="981" spans="1:4" ht="11.25" customHeight="1" x14ac:dyDescent="0.25">
      <c r="A981" s="22" t="s">
        <v>1018</v>
      </c>
      <c r="B981" s="20">
        <f ca="1">INDIRECT(ADDRESS(MATCH(A981,Raw!$A:$A,0),2,1,1,"Raw"))</f>
        <v>0</v>
      </c>
      <c r="C981" s="20">
        <f>INDEX(Raw!$C:$C,MATCH(A981,Raw!$A:$A,0))</f>
        <v>0</v>
      </c>
      <c r="D981" s="21"/>
    </row>
    <row r="982" spans="1:4" ht="11.25" customHeight="1" x14ac:dyDescent="0.25">
      <c r="A982" s="22" t="s">
        <v>1019</v>
      </c>
      <c r="B982" s="20">
        <f ca="1">INDIRECT(ADDRESS(MATCH(A982,Raw!$A:$A,0),2,1,1,"Raw"))</f>
        <v>0</v>
      </c>
      <c r="C982" s="20">
        <f>INDEX(Raw!$C:$C,MATCH(A982,Raw!$A:$A,0))</f>
        <v>0</v>
      </c>
      <c r="D982" s="21"/>
    </row>
    <row r="983" spans="1:4" ht="11.25" customHeight="1" x14ac:dyDescent="0.25">
      <c r="A983" s="22" t="s">
        <v>1020</v>
      </c>
      <c r="B983" s="20">
        <f ca="1">INDIRECT(ADDRESS(MATCH(A983,Raw!$A:$A,0),2,1,1,"Raw"))</f>
        <v>0</v>
      </c>
      <c r="C983" s="20">
        <f>INDEX(Raw!$C:$C,MATCH(A983,Raw!$A:$A,0))</f>
        <v>0</v>
      </c>
      <c r="D983" s="21"/>
    </row>
    <row r="984" spans="1:4" ht="11.25" customHeight="1" x14ac:dyDescent="0.25">
      <c r="A984" s="22" t="s">
        <v>1021</v>
      </c>
      <c r="B984" s="20">
        <f ca="1">INDIRECT(ADDRESS(MATCH(A984,Raw!$A:$A,0),2,1,1,"Raw"))</f>
        <v>0</v>
      </c>
      <c r="C984" s="20">
        <f>INDEX(Raw!$C:$C,MATCH(A984,Raw!$A:$A,0))</f>
        <v>0</v>
      </c>
      <c r="D984" s="21"/>
    </row>
    <row r="985" spans="1:4" ht="11.25" customHeight="1" x14ac:dyDescent="0.25">
      <c r="A985" s="22" t="s">
        <v>1022</v>
      </c>
      <c r="B985" s="20">
        <f ca="1">INDIRECT(ADDRESS(MATCH(A985,Raw!$A:$A,0),2,1,1,"Raw"))</f>
        <v>0</v>
      </c>
      <c r="C985" s="20">
        <f>INDEX(Raw!$C:$C,MATCH(A985,Raw!$A:$A,0))</f>
        <v>0</v>
      </c>
      <c r="D985" s="21"/>
    </row>
    <row r="986" spans="1:4" ht="11.25" customHeight="1" x14ac:dyDescent="0.25">
      <c r="A986" s="22" t="s">
        <v>1023</v>
      </c>
      <c r="B986" s="20">
        <f ca="1">INDIRECT(ADDRESS(MATCH(A986,Raw!$A:$A,0),2,1,1,"Raw"))</f>
        <v>0</v>
      </c>
      <c r="C986" s="20">
        <f>INDEX(Raw!$C:$C,MATCH(A986,Raw!$A:$A,0))</f>
        <v>0</v>
      </c>
      <c r="D986" s="21"/>
    </row>
    <row r="987" spans="1:4" ht="11.25" customHeight="1" x14ac:dyDescent="0.25">
      <c r="A987" s="22" t="s">
        <v>1024</v>
      </c>
      <c r="B987" s="20">
        <f ca="1">INDIRECT(ADDRESS(MATCH(A987,Raw!$A:$A,0),2,1,1,"Raw"))</f>
        <v>0</v>
      </c>
      <c r="C987" s="20">
        <f>INDEX(Raw!$C:$C,MATCH(A987,Raw!$A:$A,0))</f>
        <v>0</v>
      </c>
      <c r="D987" s="21"/>
    </row>
    <row r="988" spans="1:4" ht="11.25" customHeight="1" x14ac:dyDescent="0.25">
      <c r="A988" s="22" t="s">
        <v>1025</v>
      </c>
      <c r="B988" s="20">
        <f ca="1">INDIRECT(ADDRESS(MATCH(A988,Raw!$A:$A,0),2,1,1,"Raw"))</f>
        <v>0</v>
      </c>
      <c r="C988" s="20">
        <f>INDEX(Raw!$C:$C,MATCH(A988,Raw!$A:$A,0))</f>
        <v>0</v>
      </c>
      <c r="D988" s="21"/>
    </row>
    <row r="989" spans="1:4" ht="11.25" customHeight="1" x14ac:dyDescent="0.25">
      <c r="A989" s="22" t="s">
        <v>1026</v>
      </c>
      <c r="B989" s="20">
        <f ca="1">INDIRECT(ADDRESS(MATCH(A989,Raw!$A:$A,0),2,1,1,"Raw"))</f>
        <v>0</v>
      </c>
      <c r="C989" s="20">
        <f>INDEX(Raw!$C:$C,MATCH(A989,Raw!$A:$A,0))</f>
        <v>0</v>
      </c>
      <c r="D989" s="21"/>
    </row>
    <row r="990" spans="1:4" ht="11.25" customHeight="1" x14ac:dyDescent="0.25">
      <c r="A990" s="22" t="s">
        <v>1027</v>
      </c>
      <c r="B990" s="20">
        <f ca="1">INDIRECT(ADDRESS(MATCH(A990,Raw!$A:$A,0),2,1,1,"Raw"))</f>
        <v>0</v>
      </c>
      <c r="C990" s="20">
        <f>INDEX(Raw!$C:$C,MATCH(A990,Raw!$A:$A,0))</f>
        <v>0</v>
      </c>
      <c r="D990" s="21"/>
    </row>
    <row r="991" spans="1:4" ht="11.25" customHeight="1" x14ac:dyDescent="0.25">
      <c r="A991" s="22" t="s">
        <v>1028</v>
      </c>
      <c r="B991" s="20">
        <f ca="1">INDIRECT(ADDRESS(MATCH(A991,Raw!$A:$A,0),2,1,1,"Raw"))</f>
        <v>0</v>
      </c>
      <c r="C991" s="20">
        <f>INDEX(Raw!$C:$C,MATCH(A991,Raw!$A:$A,0))</f>
        <v>0</v>
      </c>
      <c r="D991" s="21"/>
    </row>
    <row r="992" spans="1:4" ht="11.25" customHeight="1" x14ac:dyDescent="0.25">
      <c r="A992" s="22" t="s">
        <v>1029</v>
      </c>
      <c r="B992" s="20">
        <f ca="1">INDIRECT(ADDRESS(MATCH(A992,Raw!$A:$A,0),2,1,1,"Raw"))</f>
        <v>0</v>
      </c>
      <c r="C992" s="20">
        <f>INDEX(Raw!$C:$C,MATCH(A992,Raw!$A:$A,0))</f>
        <v>0</v>
      </c>
      <c r="D992" s="21"/>
    </row>
    <row r="993" spans="1:4" ht="11.25" customHeight="1" x14ac:dyDescent="0.25">
      <c r="A993" s="22" t="s">
        <v>1030</v>
      </c>
      <c r="B993" s="20">
        <f ca="1">INDIRECT(ADDRESS(MATCH(A993,Raw!$A:$A,0),2,1,1,"Raw"))</f>
        <v>0</v>
      </c>
      <c r="C993" s="20">
        <f>INDEX(Raw!$C:$C,MATCH(A993,Raw!$A:$A,0))</f>
        <v>0</v>
      </c>
      <c r="D993" s="21"/>
    </row>
    <row r="994" spans="1:4" ht="11.25" customHeight="1" x14ac:dyDescent="0.25">
      <c r="A994" s="22" t="s">
        <v>1031</v>
      </c>
      <c r="B994" s="20">
        <f ca="1">INDIRECT(ADDRESS(MATCH(A994,Raw!$A:$A,0),2,1,1,"Raw"))</f>
        <v>0</v>
      </c>
      <c r="C994" s="20">
        <f>INDEX(Raw!$C:$C,MATCH(A994,Raw!$A:$A,0))</f>
        <v>0</v>
      </c>
      <c r="D994" s="21"/>
    </row>
    <row r="995" spans="1:4" ht="11.25" customHeight="1" x14ac:dyDescent="0.25">
      <c r="A995" s="22" t="s">
        <v>1032</v>
      </c>
      <c r="B995" s="20">
        <f ca="1">INDIRECT(ADDRESS(MATCH(A995,Raw!$A:$A,0),2,1,1,"Raw"))</f>
        <v>0</v>
      </c>
      <c r="C995" s="20">
        <f>INDEX(Raw!$C:$C,MATCH(A995,Raw!$A:$A,0))</f>
        <v>0</v>
      </c>
      <c r="D995" s="21"/>
    </row>
    <row r="996" spans="1:4" ht="11.25" customHeight="1" x14ac:dyDescent="0.25">
      <c r="A996" s="22" t="s">
        <v>1033</v>
      </c>
      <c r="B996" s="20">
        <f ca="1">INDIRECT(ADDRESS(MATCH(A996,Raw!$A:$A,0),2,1,1,"Raw"))</f>
        <v>0</v>
      </c>
      <c r="C996" s="20">
        <f>INDEX(Raw!$C:$C,MATCH(A996,Raw!$A:$A,0))</f>
        <v>0</v>
      </c>
      <c r="D996" s="21"/>
    </row>
    <row r="997" spans="1:4" ht="11.25" customHeight="1" x14ac:dyDescent="0.25">
      <c r="A997" s="22" t="s">
        <v>1034</v>
      </c>
      <c r="B997" s="20">
        <f ca="1">INDIRECT(ADDRESS(MATCH(A997,Raw!$A:$A,0),2,1,1,"Raw"))</f>
        <v>0</v>
      </c>
      <c r="C997" s="20">
        <f>INDEX(Raw!$C:$C,MATCH(A997,Raw!$A:$A,0))</f>
        <v>0</v>
      </c>
      <c r="D997" s="21"/>
    </row>
    <row r="998" spans="1:4" ht="11.25" customHeight="1" x14ac:dyDescent="0.25">
      <c r="A998" s="22" t="s">
        <v>1035</v>
      </c>
      <c r="B998" s="20">
        <f ca="1">INDIRECT(ADDRESS(MATCH(A998,Raw!$A:$A,0),2,1,1,"Raw"))</f>
        <v>0</v>
      </c>
      <c r="C998" s="20">
        <f>INDEX(Raw!$C:$C,MATCH(A998,Raw!$A:$A,0))</f>
        <v>0</v>
      </c>
      <c r="D998" s="21"/>
    </row>
    <row r="999" spans="1:4" ht="11.25" customHeight="1" x14ac:dyDescent="0.25">
      <c r="A999" s="22" t="s">
        <v>1036</v>
      </c>
      <c r="B999" s="20">
        <f ca="1">INDIRECT(ADDRESS(MATCH(A999,Raw!$A:$A,0),2,1,1,"Raw"))</f>
        <v>0</v>
      </c>
      <c r="C999" s="20">
        <f>INDEX(Raw!$C:$C,MATCH(A999,Raw!$A:$A,0))</f>
        <v>0</v>
      </c>
      <c r="D999" s="21"/>
    </row>
    <row r="1000" spans="1:4" ht="11.25" customHeight="1" x14ac:dyDescent="0.25">
      <c r="A1000" s="22" t="s">
        <v>1037</v>
      </c>
      <c r="B1000" s="20">
        <f ca="1">INDIRECT(ADDRESS(MATCH(A1000,Raw!$A:$A,0),2,1,1,"Raw"))</f>
        <v>0</v>
      </c>
      <c r="C1000" s="20">
        <f>INDEX(Raw!$C:$C,MATCH(A1000,Raw!$A:$A,0))</f>
        <v>0</v>
      </c>
      <c r="D1000" s="21"/>
    </row>
    <row r="1001" spans="1:4" ht="11.25" customHeight="1" x14ac:dyDescent="0.25">
      <c r="A1001" s="22" t="s">
        <v>1038</v>
      </c>
      <c r="B1001" s="20">
        <f ca="1">INDIRECT(ADDRESS(MATCH(A1001,Raw!$A:$A,0),2,1,1,"Raw"))</f>
        <v>0</v>
      </c>
      <c r="C1001" s="20">
        <f>INDEX(Raw!$C:$C,MATCH(A1001,Raw!$A:$A,0))</f>
        <v>0</v>
      </c>
      <c r="D1001" s="21"/>
    </row>
    <row r="1002" spans="1:4" ht="11.25" customHeight="1" x14ac:dyDescent="0.25">
      <c r="A1002" s="22" t="s">
        <v>1039</v>
      </c>
      <c r="B1002" s="20">
        <f ca="1">INDIRECT(ADDRESS(MATCH(A1002,Raw!$A:$A,0),2,1,1,"Raw"))</f>
        <v>0</v>
      </c>
      <c r="C1002" s="20">
        <f>INDEX(Raw!$C:$C,MATCH(A1002,Raw!$A:$A,0))</f>
        <v>0</v>
      </c>
      <c r="D1002" s="21"/>
    </row>
    <row r="1003" spans="1:4" ht="11.25" customHeight="1" x14ac:dyDescent="0.25">
      <c r="A1003" s="22" t="s">
        <v>1040</v>
      </c>
      <c r="B1003" s="20">
        <f ca="1">INDIRECT(ADDRESS(MATCH(A1003,Raw!$A:$A,0),2,1,1,"Raw"))</f>
        <v>0</v>
      </c>
      <c r="C1003" s="20">
        <f>INDEX(Raw!$C:$C,MATCH(A1003,Raw!$A:$A,0))</f>
        <v>0</v>
      </c>
      <c r="D1003" s="21"/>
    </row>
    <row r="1004" spans="1:4" ht="11.25" customHeight="1" x14ac:dyDescent="0.25">
      <c r="A1004" s="22" t="s">
        <v>1041</v>
      </c>
      <c r="B1004" s="20">
        <f ca="1">INDIRECT(ADDRESS(MATCH(A1004,Raw!$A:$A,0),2,1,1,"Raw"))</f>
        <v>0</v>
      </c>
      <c r="C1004" s="20">
        <f>INDEX(Raw!$C:$C,MATCH(A1004,Raw!$A:$A,0))</f>
        <v>0</v>
      </c>
      <c r="D1004" s="21"/>
    </row>
    <row r="1005" spans="1:4" ht="11.25" customHeight="1" x14ac:dyDescent="0.25">
      <c r="A1005" s="22" t="s">
        <v>1042</v>
      </c>
      <c r="B1005" s="20">
        <f ca="1">INDIRECT(ADDRESS(MATCH(A1005,Raw!$A:$A,0),2,1,1,"Raw"))</f>
        <v>0</v>
      </c>
      <c r="C1005" s="20">
        <f>INDEX(Raw!$C:$C,MATCH(A1005,Raw!$A:$A,0))</f>
        <v>0</v>
      </c>
      <c r="D1005" s="21"/>
    </row>
    <row r="1006" spans="1:4" ht="11.25" customHeight="1" x14ac:dyDescent="0.25">
      <c r="A1006" s="22" t="s">
        <v>1043</v>
      </c>
      <c r="B1006" s="20">
        <f ca="1">INDIRECT(ADDRESS(MATCH(A1006,Raw!$A:$A,0),2,1,1,"Raw"))</f>
        <v>0</v>
      </c>
      <c r="C1006" s="20">
        <f>INDEX(Raw!$C:$C,MATCH(A1006,Raw!$A:$A,0))</f>
        <v>0</v>
      </c>
      <c r="D1006" s="21"/>
    </row>
    <row r="1007" spans="1:4" ht="11.25" customHeight="1" x14ac:dyDescent="0.25">
      <c r="A1007" s="22" t="s">
        <v>1044</v>
      </c>
      <c r="B1007" s="20">
        <f ca="1">INDIRECT(ADDRESS(MATCH(A1007,Raw!$A:$A,0),2,1,1,"Raw"))</f>
        <v>0</v>
      </c>
      <c r="C1007" s="20">
        <f>INDEX(Raw!$C:$C,MATCH(A1007,Raw!$A:$A,0))</f>
        <v>0</v>
      </c>
      <c r="D1007" s="21"/>
    </row>
    <row r="1008" spans="1:4" ht="11.25" customHeight="1" x14ac:dyDescent="0.25">
      <c r="A1008" s="22" t="s">
        <v>1045</v>
      </c>
      <c r="B1008" s="20">
        <f ca="1">INDIRECT(ADDRESS(MATCH(A1008,Raw!$A:$A,0),2,1,1,"Raw"))</f>
        <v>0</v>
      </c>
      <c r="C1008" s="20">
        <f>INDEX(Raw!$C:$C,MATCH(A1008,Raw!$A:$A,0))</f>
        <v>0</v>
      </c>
      <c r="D1008" s="21"/>
    </row>
    <row r="1009" spans="1:4" ht="11.25" customHeight="1" x14ac:dyDescent="0.25">
      <c r="A1009" s="22" t="s">
        <v>1046</v>
      </c>
      <c r="B1009" s="20">
        <f ca="1">INDIRECT(ADDRESS(MATCH(A1009,Raw!$A:$A,0),2,1,1,"Raw"))</f>
        <v>0</v>
      </c>
      <c r="C1009" s="20">
        <f>INDEX(Raw!$C:$C,MATCH(A1009,Raw!$A:$A,0))</f>
        <v>0</v>
      </c>
      <c r="D1009" s="21"/>
    </row>
    <row r="1010" spans="1:4" ht="11.25" customHeight="1" x14ac:dyDescent="0.25">
      <c r="A1010" s="22" t="s">
        <v>1047</v>
      </c>
      <c r="B1010" s="20">
        <f ca="1">INDIRECT(ADDRESS(MATCH(A1010,Raw!$A:$A,0),2,1,1,"Raw"))</f>
        <v>0</v>
      </c>
      <c r="C1010" s="20">
        <f>INDEX(Raw!$C:$C,MATCH(A1010,Raw!$A:$A,0))</f>
        <v>0</v>
      </c>
      <c r="D1010" s="21"/>
    </row>
    <row r="1011" spans="1:4" ht="11.25" customHeight="1" x14ac:dyDescent="0.25">
      <c r="A1011" s="22" t="s">
        <v>1048</v>
      </c>
      <c r="B1011" s="20">
        <f ca="1">INDIRECT(ADDRESS(MATCH(A1011,Raw!$A:$A,0),2,1,1,"Raw"))</f>
        <v>0</v>
      </c>
      <c r="C1011" s="20">
        <f>INDEX(Raw!$C:$C,MATCH(A1011,Raw!$A:$A,0))</f>
        <v>0</v>
      </c>
      <c r="D1011" s="21"/>
    </row>
    <row r="1012" spans="1:4" ht="11.25" customHeight="1" x14ac:dyDescent="0.25">
      <c r="A1012" s="22" t="s">
        <v>1049</v>
      </c>
      <c r="B1012" s="20">
        <f ca="1">INDIRECT(ADDRESS(MATCH(A1012,Raw!$A:$A,0),2,1,1,"Raw"))</f>
        <v>0</v>
      </c>
      <c r="C1012" s="20">
        <f>INDEX(Raw!$C:$C,MATCH(A1012,Raw!$A:$A,0))</f>
        <v>0</v>
      </c>
      <c r="D1012" s="21"/>
    </row>
    <row r="1013" spans="1:4" ht="11.25" customHeight="1" x14ac:dyDescent="0.25">
      <c r="A1013" s="22" t="s">
        <v>1050</v>
      </c>
      <c r="B1013" s="20">
        <f ca="1">INDIRECT(ADDRESS(MATCH(A1013,Raw!$A:$A,0),2,1,1,"Raw"))</f>
        <v>0</v>
      </c>
      <c r="C1013" s="20">
        <f>INDEX(Raw!$C:$C,MATCH(A1013,Raw!$A:$A,0))</f>
        <v>0</v>
      </c>
      <c r="D1013" s="21"/>
    </row>
    <row r="1014" spans="1:4" ht="11.25" customHeight="1" x14ac:dyDescent="0.25">
      <c r="A1014" s="22" t="s">
        <v>1051</v>
      </c>
      <c r="B1014" s="20">
        <f ca="1">INDIRECT(ADDRESS(MATCH(A1014,Raw!$A:$A,0),2,1,1,"Raw"))</f>
        <v>0</v>
      </c>
      <c r="C1014" s="20">
        <f>INDEX(Raw!$C:$C,MATCH(A1014,Raw!$A:$A,0))</f>
        <v>0</v>
      </c>
      <c r="D1014" s="21"/>
    </row>
    <row r="1015" spans="1:4" ht="11.25" customHeight="1" x14ac:dyDescent="0.25">
      <c r="A1015" s="22" t="s">
        <v>1052</v>
      </c>
      <c r="B1015" s="20">
        <f ca="1">INDIRECT(ADDRESS(MATCH(A1015,Raw!$A:$A,0),2,1,1,"Raw"))</f>
        <v>0</v>
      </c>
      <c r="C1015" s="20">
        <f>INDEX(Raw!$C:$C,MATCH(A1015,Raw!$A:$A,0))</f>
        <v>0</v>
      </c>
      <c r="D1015" s="21"/>
    </row>
    <row r="1016" spans="1:4" ht="11.25" customHeight="1" x14ac:dyDescent="0.25">
      <c r="A1016" s="22" t="s">
        <v>1053</v>
      </c>
      <c r="B1016" s="20">
        <f ca="1">INDIRECT(ADDRESS(MATCH(A1016,Raw!$A:$A,0),2,1,1,"Raw"))</f>
        <v>0</v>
      </c>
      <c r="C1016" s="20">
        <f>INDEX(Raw!$C:$C,MATCH(A1016,Raw!$A:$A,0))</f>
        <v>0</v>
      </c>
      <c r="D1016" s="21"/>
    </row>
    <row r="1017" spans="1:4" ht="11.25" customHeight="1" x14ac:dyDescent="0.25">
      <c r="A1017" s="22" t="s">
        <v>1054</v>
      </c>
      <c r="B1017" s="20">
        <f ca="1">INDIRECT(ADDRESS(MATCH(A1017,Raw!$A:$A,0),2,1,1,"Raw"))</f>
        <v>0</v>
      </c>
      <c r="C1017" s="20">
        <f>INDEX(Raw!$C:$C,MATCH(A1017,Raw!$A:$A,0))</f>
        <v>0</v>
      </c>
      <c r="D1017" s="21"/>
    </row>
    <row r="1018" spans="1:4" ht="11.25" customHeight="1" x14ac:dyDescent="0.25">
      <c r="A1018" s="22" t="s">
        <v>1055</v>
      </c>
      <c r="B1018" s="20">
        <f ca="1">INDIRECT(ADDRESS(MATCH(A1018,Raw!$A:$A,0),2,1,1,"Raw"))</f>
        <v>0</v>
      </c>
      <c r="C1018" s="20">
        <f>INDEX(Raw!$C:$C,MATCH(A1018,Raw!$A:$A,0))</f>
        <v>0</v>
      </c>
      <c r="D1018" s="21"/>
    </row>
    <row r="1019" spans="1:4" ht="11.25" customHeight="1" x14ac:dyDescent="0.25">
      <c r="A1019" s="22" t="s">
        <v>1056</v>
      </c>
      <c r="B1019" s="20">
        <f ca="1">INDIRECT(ADDRESS(MATCH(A1019,Raw!$A:$A,0),2,1,1,"Raw"))</f>
        <v>0</v>
      </c>
      <c r="C1019" s="20">
        <f>INDEX(Raw!$C:$C,MATCH(A1019,Raw!$A:$A,0))</f>
        <v>0</v>
      </c>
      <c r="D1019" s="21"/>
    </row>
    <row r="1020" spans="1:4" ht="11.25" customHeight="1" x14ac:dyDescent="0.25">
      <c r="A1020" s="22" t="s">
        <v>1057</v>
      </c>
      <c r="B1020" s="20">
        <f ca="1">INDIRECT(ADDRESS(MATCH(A1020,Raw!$A:$A,0),2,1,1,"Raw"))</f>
        <v>0</v>
      </c>
      <c r="C1020" s="20">
        <f>INDEX(Raw!$C:$C,MATCH(A1020,Raw!$A:$A,0))</f>
        <v>0</v>
      </c>
      <c r="D1020" s="21"/>
    </row>
    <row r="1021" spans="1:4" ht="11.25" customHeight="1" x14ac:dyDescent="0.25">
      <c r="A1021" s="22" t="s">
        <v>1058</v>
      </c>
      <c r="B1021" s="20">
        <f ca="1">INDIRECT(ADDRESS(MATCH(A1021,Raw!$A:$A,0),2,1,1,"Raw"))</f>
        <v>0</v>
      </c>
      <c r="C1021" s="20">
        <f>INDEX(Raw!$C:$C,MATCH(A1021,Raw!$A:$A,0))</f>
        <v>0</v>
      </c>
      <c r="D1021" s="21"/>
    </row>
    <row r="1022" spans="1:4" ht="11.25" customHeight="1" x14ac:dyDescent="0.25">
      <c r="A1022" s="22" t="s">
        <v>1059</v>
      </c>
      <c r="B1022" s="20">
        <f ca="1">INDIRECT(ADDRESS(MATCH(A1022,Raw!$A:$A,0),2,1,1,"Raw"))</f>
        <v>0</v>
      </c>
      <c r="C1022" s="20">
        <f>INDEX(Raw!$C:$C,MATCH(A1022,Raw!$A:$A,0))</f>
        <v>0</v>
      </c>
      <c r="D1022" s="21"/>
    </row>
    <row r="1023" spans="1:4" ht="11.25" customHeight="1" x14ac:dyDescent="0.25">
      <c r="A1023" s="22" t="s">
        <v>1060</v>
      </c>
      <c r="B1023" s="20">
        <f ca="1">INDIRECT(ADDRESS(MATCH(A1023,Raw!$A:$A,0),2,1,1,"Raw"))</f>
        <v>0</v>
      </c>
      <c r="C1023" s="20">
        <f>INDEX(Raw!$C:$C,MATCH(A1023,Raw!$A:$A,0))</f>
        <v>0</v>
      </c>
      <c r="D1023" s="21"/>
    </row>
    <row r="1024" spans="1:4" ht="11.25" customHeight="1" x14ac:dyDescent="0.25">
      <c r="A1024" s="22" t="s">
        <v>1061</v>
      </c>
      <c r="B1024" s="20">
        <f ca="1">INDIRECT(ADDRESS(MATCH(A1024,Raw!$A:$A,0),2,1,1,"Raw"))</f>
        <v>0</v>
      </c>
      <c r="C1024" s="20">
        <f>INDEX(Raw!$C:$C,MATCH(A1024,Raw!$A:$A,0))</f>
        <v>0</v>
      </c>
      <c r="D1024" s="21"/>
    </row>
    <row r="1025" spans="1:4" ht="11.25" customHeight="1" x14ac:dyDescent="0.25">
      <c r="A1025" s="22" t="s">
        <v>1062</v>
      </c>
      <c r="B1025" s="20">
        <f ca="1">INDIRECT(ADDRESS(MATCH(A1025,Raw!$A:$A,0),2,1,1,"Raw"))</f>
        <v>0</v>
      </c>
      <c r="C1025" s="20">
        <f>INDEX(Raw!$C:$C,MATCH(A1025,Raw!$A:$A,0))</f>
        <v>0</v>
      </c>
      <c r="D1025" s="21"/>
    </row>
    <row r="1026" spans="1:4" ht="11.25" customHeight="1" x14ac:dyDescent="0.25">
      <c r="A1026" s="22" t="s">
        <v>1063</v>
      </c>
      <c r="B1026" s="20">
        <f ca="1">INDIRECT(ADDRESS(MATCH(A1026,Raw!$A:$A,0),2,1,1,"Raw"))</f>
        <v>0</v>
      </c>
      <c r="C1026" s="20">
        <f>INDEX(Raw!$C:$C,MATCH(A1026,Raw!$A:$A,0))</f>
        <v>0</v>
      </c>
      <c r="D1026" s="21"/>
    </row>
    <row r="1027" spans="1:4" ht="11.25" customHeight="1" x14ac:dyDescent="0.25">
      <c r="A1027" s="22" t="s">
        <v>1064</v>
      </c>
      <c r="B1027" s="20">
        <f ca="1">INDIRECT(ADDRESS(MATCH(A1027,Raw!$A:$A,0),2,1,1,"Raw"))</f>
        <v>0</v>
      </c>
      <c r="C1027" s="20">
        <f>INDEX(Raw!$C:$C,MATCH(A1027,Raw!$A:$A,0))</f>
        <v>0</v>
      </c>
      <c r="D1027" s="21"/>
    </row>
    <row r="1028" spans="1:4" ht="11.25" customHeight="1" x14ac:dyDescent="0.25">
      <c r="A1028" s="22" t="s">
        <v>1065</v>
      </c>
      <c r="B1028" s="20">
        <f ca="1">INDIRECT(ADDRESS(MATCH(A1028,Raw!$A:$A,0),2,1,1,"Raw"))</f>
        <v>0</v>
      </c>
      <c r="C1028" s="20">
        <f>INDEX(Raw!$C:$C,MATCH(A1028,Raw!$A:$A,0))</f>
        <v>0</v>
      </c>
      <c r="D1028" s="21"/>
    </row>
    <row r="1029" spans="1:4" ht="11.25" customHeight="1" x14ac:dyDescent="0.25">
      <c r="A1029" s="22" t="s">
        <v>1066</v>
      </c>
      <c r="B1029" s="20">
        <f ca="1">INDIRECT(ADDRESS(MATCH(A1029,Raw!$A:$A,0),2,1,1,"Raw"))</f>
        <v>0</v>
      </c>
      <c r="C1029" s="20">
        <f>INDEX(Raw!$C:$C,MATCH(A1029,Raw!$A:$A,0))</f>
        <v>0</v>
      </c>
      <c r="D1029" s="21"/>
    </row>
    <row r="1030" spans="1:4" ht="11.25" customHeight="1" x14ac:dyDescent="0.25">
      <c r="A1030" s="22" t="s">
        <v>1067</v>
      </c>
      <c r="B1030" s="20">
        <f ca="1">INDIRECT(ADDRESS(MATCH(A1030,Raw!$A:$A,0),2,1,1,"Raw"))</f>
        <v>0</v>
      </c>
      <c r="C1030" s="20">
        <f>INDEX(Raw!$C:$C,MATCH(A1030,Raw!$A:$A,0))</f>
        <v>0</v>
      </c>
      <c r="D1030" s="21"/>
    </row>
    <row r="1031" spans="1:4" ht="11.25" customHeight="1" x14ac:dyDescent="0.25">
      <c r="A1031" s="22" t="s">
        <v>1068</v>
      </c>
      <c r="B1031" s="20">
        <f ca="1">INDIRECT(ADDRESS(MATCH(A1031,Raw!$A:$A,0),2,1,1,"Raw"))</f>
        <v>0</v>
      </c>
      <c r="C1031" s="20">
        <f>INDEX(Raw!$C:$C,MATCH(A1031,Raw!$A:$A,0))</f>
        <v>0</v>
      </c>
      <c r="D1031" s="21"/>
    </row>
    <row r="1032" spans="1:4" ht="11.25" customHeight="1" x14ac:dyDescent="0.25">
      <c r="A1032" s="22" t="s">
        <v>1069</v>
      </c>
      <c r="B1032" s="20">
        <f ca="1">INDIRECT(ADDRESS(MATCH(A1032,Raw!$A:$A,0),2,1,1,"Raw"))</f>
        <v>0</v>
      </c>
      <c r="C1032" s="20">
        <f>INDEX(Raw!$C:$C,MATCH(A1032,Raw!$A:$A,0))</f>
        <v>0</v>
      </c>
      <c r="D1032" s="21"/>
    </row>
    <row r="1033" spans="1:4" ht="11.25" customHeight="1" x14ac:dyDescent="0.25">
      <c r="A1033" s="22" t="s">
        <v>1070</v>
      </c>
      <c r="B1033" s="20">
        <f ca="1">INDIRECT(ADDRESS(MATCH(A1033,Raw!$A:$A,0),2,1,1,"Raw"))</f>
        <v>0</v>
      </c>
      <c r="C1033" s="20">
        <f>INDEX(Raw!$C:$C,MATCH(A1033,Raw!$A:$A,0))</f>
        <v>0</v>
      </c>
      <c r="D1033" s="21"/>
    </row>
    <row r="1034" spans="1:4" ht="11.25" customHeight="1" x14ac:dyDescent="0.25">
      <c r="A1034" s="22" t="s">
        <v>1071</v>
      </c>
      <c r="B1034" s="20">
        <f ca="1">INDIRECT(ADDRESS(MATCH(A1034,Raw!$A:$A,0),2,1,1,"Raw"))</f>
        <v>0</v>
      </c>
      <c r="C1034" s="20">
        <f>INDEX(Raw!$C:$C,MATCH(A1034,Raw!$A:$A,0))</f>
        <v>0</v>
      </c>
      <c r="D1034" s="21"/>
    </row>
    <row r="1035" spans="1:4" ht="11.25" customHeight="1" x14ac:dyDescent="0.25">
      <c r="A1035" s="22" t="s">
        <v>1072</v>
      </c>
      <c r="B1035" s="20">
        <f ca="1">INDIRECT(ADDRESS(MATCH(A1035,Raw!$A:$A,0),2,1,1,"Raw"))</f>
        <v>0</v>
      </c>
      <c r="C1035" s="20">
        <f>INDEX(Raw!$C:$C,MATCH(A1035,Raw!$A:$A,0))</f>
        <v>0</v>
      </c>
      <c r="D1035" s="21"/>
    </row>
    <row r="1036" spans="1:4" ht="11.25" customHeight="1" x14ac:dyDescent="0.25">
      <c r="A1036" s="22" t="s">
        <v>1073</v>
      </c>
      <c r="B1036" s="20">
        <f ca="1">INDIRECT(ADDRESS(MATCH(A1036,Raw!$A:$A,0),2,1,1,"Raw"))</f>
        <v>0</v>
      </c>
      <c r="C1036" s="20">
        <f>INDEX(Raw!$C:$C,MATCH(A1036,Raw!$A:$A,0))</f>
        <v>0</v>
      </c>
      <c r="D1036" s="21"/>
    </row>
    <row r="1037" spans="1:4" ht="11.25" customHeight="1" x14ac:dyDescent="0.25">
      <c r="A1037" s="22" t="s">
        <v>1074</v>
      </c>
      <c r="B1037" s="20">
        <f ca="1">INDIRECT(ADDRESS(MATCH(A1037,Raw!$A:$A,0),2,1,1,"Raw"))</f>
        <v>0</v>
      </c>
      <c r="C1037" s="20">
        <f>INDEX(Raw!$C:$C,MATCH(A1037,Raw!$A:$A,0))</f>
        <v>0</v>
      </c>
      <c r="D1037" s="21"/>
    </row>
    <row r="1038" spans="1:4" ht="11.25" customHeight="1" x14ac:dyDescent="0.25">
      <c r="A1038" s="22" t="s">
        <v>1075</v>
      </c>
      <c r="B1038" s="20">
        <f ca="1">INDIRECT(ADDRESS(MATCH(A1038,Raw!$A:$A,0),2,1,1,"Raw"))</f>
        <v>0</v>
      </c>
      <c r="C1038" s="20">
        <f>INDEX(Raw!$C:$C,MATCH(A1038,Raw!$A:$A,0))</f>
        <v>0</v>
      </c>
      <c r="D1038" s="21"/>
    </row>
    <row r="1039" spans="1:4" ht="11.25" customHeight="1" x14ac:dyDescent="0.25">
      <c r="A1039" s="22" t="s">
        <v>1076</v>
      </c>
      <c r="B1039" s="20">
        <f ca="1">INDIRECT(ADDRESS(MATCH(A1039,Raw!$A:$A,0),2,1,1,"Raw"))</f>
        <v>0</v>
      </c>
      <c r="C1039" s="20">
        <f>INDEX(Raw!$C:$C,MATCH(A1039,Raw!$A:$A,0))</f>
        <v>0</v>
      </c>
      <c r="D1039" s="21"/>
    </row>
    <row r="1040" spans="1:4" ht="11.25" customHeight="1" x14ac:dyDescent="0.25">
      <c r="A1040" s="22" t="s">
        <v>1077</v>
      </c>
      <c r="B1040" s="20">
        <f ca="1">INDIRECT(ADDRESS(MATCH(A1040,Raw!$A:$A,0),2,1,1,"Raw"))</f>
        <v>0</v>
      </c>
      <c r="C1040" s="20">
        <f>INDEX(Raw!$C:$C,MATCH(A1040,Raw!$A:$A,0))</f>
        <v>0</v>
      </c>
      <c r="D1040" s="21"/>
    </row>
    <row r="1041" spans="1:4" ht="11.25" customHeight="1" x14ac:dyDescent="0.25">
      <c r="A1041" s="22" t="s">
        <v>1078</v>
      </c>
      <c r="B1041" s="20">
        <f ca="1">INDIRECT(ADDRESS(MATCH(A1041,Raw!$A:$A,0),2,1,1,"Raw"))</f>
        <v>0</v>
      </c>
      <c r="C1041" s="20">
        <f>INDEX(Raw!$C:$C,MATCH(A1041,Raw!$A:$A,0))</f>
        <v>0</v>
      </c>
      <c r="D1041" s="21"/>
    </row>
    <row r="1042" spans="1:4" ht="11.25" customHeight="1" x14ac:dyDescent="0.25">
      <c r="A1042" s="22" t="s">
        <v>1079</v>
      </c>
      <c r="B1042" s="20">
        <f ca="1">INDIRECT(ADDRESS(MATCH(A1042,Raw!$A:$A,0),2,1,1,"Raw"))</f>
        <v>0</v>
      </c>
      <c r="C1042" s="20">
        <f>INDEX(Raw!$C:$C,MATCH(A1042,Raw!$A:$A,0))</f>
        <v>0</v>
      </c>
      <c r="D1042" s="21"/>
    </row>
    <row r="1043" spans="1:4" ht="11.25" customHeight="1" x14ac:dyDescent="0.25">
      <c r="A1043" s="22" t="s">
        <v>1080</v>
      </c>
      <c r="B1043" s="20">
        <f ca="1">INDIRECT(ADDRESS(MATCH(A1043,Raw!$A:$A,0),2,1,1,"Raw"))</f>
        <v>0</v>
      </c>
      <c r="C1043" s="20">
        <f>INDEX(Raw!$C:$C,MATCH(A1043,Raw!$A:$A,0))</f>
        <v>0</v>
      </c>
      <c r="D1043" s="21"/>
    </row>
    <row r="1044" spans="1:4" ht="11.25" customHeight="1" x14ac:dyDescent="0.25">
      <c r="A1044" s="22" t="s">
        <v>1081</v>
      </c>
      <c r="B1044" s="20">
        <f ca="1">INDIRECT(ADDRESS(MATCH(A1044,Raw!$A:$A,0),2,1,1,"Raw"))</f>
        <v>0</v>
      </c>
      <c r="C1044" s="20">
        <f>INDEX(Raw!$C:$C,MATCH(A1044,Raw!$A:$A,0))</f>
        <v>0</v>
      </c>
      <c r="D1044" s="21"/>
    </row>
    <row r="1045" spans="1:4" ht="11.25" customHeight="1" x14ac:dyDescent="0.25">
      <c r="A1045" s="22" t="s">
        <v>1082</v>
      </c>
      <c r="B1045" s="20">
        <f ca="1">INDIRECT(ADDRESS(MATCH(A1045,Raw!$A:$A,0),2,1,1,"Raw"))</f>
        <v>0</v>
      </c>
      <c r="C1045" s="20">
        <f>INDEX(Raw!$C:$C,MATCH(A1045,Raw!$A:$A,0))</f>
        <v>0</v>
      </c>
      <c r="D1045" s="21"/>
    </row>
    <row r="1046" spans="1:4" ht="11.25" customHeight="1" x14ac:dyDescent="0.25">
      <c r="A1046" s="22" t="s">
        <v>1083</v>
      </c>
      <c r="B1046" s="20">
        <f ca="1">INDIRECT(ADDRESS(MATCH(A1046,Raw!$A:$A,0),2,1,1,"Raw"))</f>
        <v>0</v>
      </c>
      <c r="C1046" s="20">
        <f>INDEX(Raw!$C:$C,MATCH(A1046,Raw!$A:$A,0))</f>
        <v>0</v>
      </c>
      <c r="D1046" s="21"/>
    </row>
    <row r="1047" spans="1:4" ht="11.25" customHeight="1" x14ac:dyDescent="0.25">
      <c r="A1047" s="22" t="s">
        <v>1084</v>
      </c>
      <c r="B1047" s="20">
        <f ca="1">INDIRECT(ADDRESS(MATCH(A1047,Raw!$A:$A,0),2,1,1,"Raw"))</f>
        <v>0</v>
      </c>
      <c r="C1047" s="20">
        <f>INDEX(Raw!$C:$C,MATCH(A1047,Raw!$A:$A,0))</f>
        <v>0</v>
      </c>
      <c r="D1047" s="21"/>
    </row>
    <row r="1048" spans="1:4" ht="11.25" customHeight="1" x14ac:dyDescent="0.25">
      <c r="A1048" s="22" t="s">
        <v>1085</v>
      </c>
      <c r="B1048" s="20">
        <f ca="1">INDIRECT(ADDRESS(MATCH(A1048,Raw!$A:$A,0),2,1,1,"Raw"))</f>
        <v>0</v>
      </c>
      <c r="C1048" s="20">
        <f>INDEX(Raw!$C:$C,MATCH(A1048,Raw!$A:$A,0))</f>
        <v>0</v>
      </c>
      <c r="D1048" s="21"/>
    </row>
    <row r="1049" spans="1:4" ht="11.25" customHeight="1" x14ac:dyDescent="0.25">
      <c r="A1049" s="22" t="s">
        <v>1086</v>
      </c>
      <c r="B1049" s="20">
        <f ca="1">INDIRECT(ADDRESS(MATCH(A1049,Raw!$A:$A,0),2,1,1,"Raw"))</f>
        <v>0</v>
      </c>
      <c r="C1049" s="20">
        <f>INDEX(Raw!$C:$C,MATCH(A1049,Raw!$A:$A,0))</f>
        <v>0</v>
      </c>
      <c r="D1049" s="21"/>
    </row>
    <row r="1050" spans="1:4" ht="11.25" customHeight="1" x14ac:dyDescent="0.25">
      <c r="A1050" s="22" t="s">
        <v>1087</v>
      </c>
      <c r="B1050" s="20">
        <f ca="1">INDIRECT(ADDRESS(MATCH(A1050,Raw!$A:$A,0),2,1,1,"Raw"))</f>
        <v>0</v>
      </c>
      <c r="C1050" s="20">
        <f>INDEX(Raw!$C:$C,MATCH(A1050,Raw!$A:$A,0))</f>
        <v>0</v>
      </c>
      <c r="D1050" s="21"/>
    </row>
    <row r="1051" spans="1:4" ht="11.25" customHeight="1" x14ac:dyDescent="0.25">
      <c r="A1051" s="22" t="s">
        <v>1088</v>
      </c>
      <c r="B1051" s="20">
        <f ca="1">INDIRECT(ADDRESS(MATCH(A1051,Raw!$A:$A,0),2,1,1,"Raw"))</f>
        <v>0</v>
      </c>
      <c r="C1051" s="20">
        <f>INDEX(Raw!$C:$C,MATCH(A1051,Raw!$A:$A,0))</f>
        <v>0</v>
      </c>
      <c r="D1051" s="21"/>
    </row>
    <row r="1052" spans="1:4" ht="11.25" customHeight="1" x14ac:dyDescent="0.25">
      <c r="A1052" s="22" t="s">
        <v>1089</v>
      </c>
      <c r="B1052" s="20">
        <f ca="1">INDIRECT(ADDRESS(MATCH(A1052,Raw!$A:$A,0),2,1,1,"Raw"))</f>
        <v>0</v>
      </c>
      <c r="C1052" s="20">
        <f>INDEX(Raw!$C:$C,MATCH(A1052,Raw!$A:$A,0))</f>
        <v>0</v>
      </c>
      <c r="D1052" s="21"/>
    </row>
    <row r="1053" spans="1:4" ht="11.25" customHeight="1" x14ac:dyDescent="0.25">
      <c r="A1053" s="22" t="s">
        <v>1090</v>
      </c>
      <c r="B1053" s="20">
        <f ca="1">INDIRECT(ADDRESS(MATCH(A1053,Raw!$A:$A,0),2,1,1,"Raw"))</f>
        <v>0</v>
      </c>
      <c r="C1053" s="20">
        <f>INDEX(Raw!$C:$C,MATCH(A1053,Raw!$A:$A,0))</f>
        <v>0</v>
      </c>
      <c r="D1053" s="21"/>
    </row>
    <row r="1054" spans="1:4" ht="11.25" customHeight="1" x14ac:dyDescent="0.25">
      <c r="A1054" s="22" t="s">
        <v>1091</v>
      </c>
      <c r="B1054" s="20">
        <f ca="1">INDIRECT(ADDRESS(MATCH(A1054,Raw!$A:$A,0),2,1,1,"Raw"))</f>
        <v>0</v>
      </c>
      <c r="C1054" s="20">
        <f>INDEX(Raw!$C:$C,MATCH(A1054,Raw!$A:$A,0))</f>
        <v>0</v>
      </c>
      <c r="D1054" s="21"/>
    </row>
    <row r="1055" spans="1:4" ht="11.25" customHeight="1" x14ac:dyDescent="0.25">
      <c r="A1055" s="22" t="s">
        <v>1092</v>
      </c>
      <c r="B1055" s="20">
        <f ca="1">INDIRECT(ADDRESS(MATCH(A1055,Raw!$A:$A,0),2,1,1,"Raw"))</f>
        <v>0</v>
      </c>
      <c r="C1055" s="20">
        <f>INDEX(Raw!$C:$C,MATCH(A1055,Raw!$A:$A,0))</f>
        <v>0</v>
      </c>
      <c r="D1055" s="21"/>
    </row>
    <row r="1056" spans="1:4" ht="11.25" customHeight="1" x14ac:dyDescent="0.25">
      <c r="A1056" s="22" t="s">
        <v>1093</v>
      </c>
      <c r="B1056" s="20">
        <f ca="1">INDIRECT(ADDRESS(MATCH(A1056,Raw!$A:$A,0),2,1,1,"Raw"))</f>
        <v>0</v>
      </c>
      <c r="C1056" s="20">
        <f>INDEX(Raw!$C:$C,MATCH(A1056,Raw!$A:$A,0))</f>
        <v>0</v>
      </c>
      <c r="D1056" s="21"/>
    </row>
    <row r="1057" spans="1:4" ht="11.25" customHeight="1" x14ac:dyDescent="0.25">
      <c r="A1057" s="22" t="s">
        <v>1094</v>
      </c>
      <c r="B1057" s="20">
        <f ca="1">INDIRECT(ADDRESS(MATCH(A1057,Raw!$A:$A,0),2,1,1,"Raw"))</f>
        <v>0</v>
      </c>
      <c r="C1057" s="20">
        <f>INDEX(Raw!$C:$C,MATCH(A1057,Raw!$A:$A,0))</f>
        <v>0</v>
      </c>
      <c r="D1057" s="21"/>
    </row>
    <row r="1058" spans="1:4" ht="11.25" customHeight="1" x14ac:dyDescent="0.25">
      <c r="A1058" s="22" t="s">
        <v>1095</v>
      </c>
      <c r="B1058" s="20">
        <f ca="1">INDIRECT(ADDRESS(MATCH(A1058,Raw!$A:$A,0),2,1,1,"Raw"))</f>
        <v>0</v>
      </c>
      <c r="C1058" s="20">
        <f>INDEX(Raw!$C:$C,MATCH(A1058,Raw!$A:$A,0))</f>
        <v>0</v>
      </c>
      <c r="D1058" s="21"/>
    </row>
    <row r="1059" spans="1:4" ht="11.25" customHeight="1" x14ac:dyDescent="0.25">
      <c r="A1059" s="22" t="s">
        <v>1096</v>
      </c>
      <c r="B1059" s="20">
        <f ca="1">INDIRECT(ADDRESS(MATCH(A1059,Raw!$A:$A,0),2,1,1,"Raw"))</f>
        <v>0</v>
      </c>
      <c r="C1059" s="20">
        <f>INDEX(Raw!$C:$C,MATCH(A1059,Raw!$A:$A,0))</f>
        <v>0</v>
      </c>
      <c r="D1059" s="21"/>
    </row>
    <row r="1060" spans="1:4" ht="11.25" customHeight="1" x14ac:dyDescent="0.25">
      <c r="A1060" s="22" t="s">
        <v>1097</v>
      </c>
      <c r="B1060" s="20">
        <f ca="1">INDIRECT(ADDRESS(MATCH(A1060,Raw!$A:$A,0),2,1,1,"Raw"))</f>
        <v>0</v>
      </c>
      <c r="C1060" s="20">
        <f>INDEX(Raw!$C:$C,MATCH(A1060,Raw!$A:$A,0))</f>
        <v>0</v>
      </c>
      <c r="D1060" s="21"/>
    </row>
    <row r="1061" spans="1:4" ht="11.25" customHeight="1" x14ac:dyDescent="0.25">
      <c r="A1061" s="22" t="s">
        <v>1098</v>
      </c>
      <c r="B1061" s="20">
        <f ca="1">INDIRECT(ADDRESS(MATCH(A1061,Raw!$A:$A,0),2,1,1,"Raw"))</f>
        <v>0</v>
      </c>
      <c r="C1061" s="20">
        <f>INDEX(Raw!$C:$C,MATCH(A1061,Raw!$A:$A,0))</f>
        <v>0</v>
      </c>
      <c r="D1061" s="21"/>
    </row>
    <row r="1062" spans="1:4" ht="11.25" customHeight="1" x14ac:dyDescent="0.25">
      <c r="A1062" s="22" t="s">
        <v>1099</v>
      </c>
      <c r="B1062" s="20">
        <f ca="1">INDIRECT(ADDRESS(MATCH(A1062,Raw!$A:$A,0),2,1,1,"Raw"))</f>
        <v>0</v>
      </c>
      <c r="C1062" s="20">
        <f>INDEX(Raw!$C:$C,MATCH(A1062,Raw!$A:$A,0))</f>
        <v>0</v>
      </c>
      <c r="D1062" s="21"/>
    </row>
    <row r="1063" spans="1:4" ht="11.25" customHeight="1" x14ac:dyDescent="0.25">
      <c r="A1063" s="22" t="s">
        <v>1100</v>
      </c>
      <c r="B1063" s="20">
        <f ca="1">INDIRECT(ADDRESS(MATCH(A1063,Raw!$A:$A,0),2,1,1,"Raw"))</f>
        <v>0</v>
      </c>
      <c r="C1063" s="20">
        <f>INDEX(Raw!$C:$C,MATCH(A1063,Raw!$A:$A,0))</f>
        <v>0</v>
      </c>
      <c r="D1063" s="21"/>
    </row>
    <row r="1064" spans="1:4" ht="11.25" customHeight="1" x14ac:dyDescent="0.25">
      <c r="A1064" s="22" t="s">
        <v>1101</v>
      </c>
      <c r="B1064" s="20">
        <f ca="1">INDIRECT(ADDRESS(MATCH(A1064,Raw!$A:$A,0),2,1,1,"Raw"))</f>
        <v>0</v>
      </c>
      <c r="C1064" s="20">
        <f>INDEX(Raw!$C:$C,MATCH(A1064,Raw!$A:$A,0))</f>
        <v>0</v>
      </c>
      <c r="D1064" s="21"/>
    </row>
    <row r="1065" spans="1:4" ht="11.25" customHeight="1" x14ac:dyDescent="0.25">
      <c r="A1065" s="22" t="s">
        <v>1102</v>
      </c>
      <c r="B1065" s="20">
        <f ca="1">INDIRECT(ADDRESS(MATCH(A1065,Raw!$A:$A,0),2,1,1,"Raw"))</f>
        <v>0</v>
      </c>
      <c r="C1065" s="20">
        <f>INDEX(Raw!$C:$C,MATCH(A1065,Raw!$A:$A,0))</f>
        <v>0</v>
      </c>
      <c r="D1065" s="21"/>
    </row>
    <row r="1066" spans="1:4" ht="11.25" customHeight="1" x14ac:dyDescent="0.25">
      <c r="A1066" s="22" t="s">
        <v>1103</v>
      </c>
      <c r="B1066" s="20">
        <f ca="1">INDIRECT(ADDRESS(MATCH(A1066,Raw!$A:$A,0),2,1,1,"Raw"))</f>
        <v>0</v>
      </c>
      <c r="C1066" s="20">
        <f>INDEX(Raw!$C:$C,MATCH(A1066,Raw!$A:$A,0))</f>
        <v>0</v>
      </c>
      <c r="D1066" s="21"/>
    </row>
    <row r="1067" spans="1:4" ht="11.25" customHeight="1" x14ac:dyDescent="0.25">
      <c r="A1067" s="22" t="s">
        <v>1104</v>
      </c>
      <c r="B1067" s="20">
        <f ca="1">INDIRECT(ADDRESS(MATCH(A1067,Raw!$A:$A,0),2,1,1,"Raw"))</f>
        <v>0</v>
      </c>
      <c r="C1067" s="20">
        <f>INDEX(Raw!$C:$C,MATCH(A1067,Raw!$A:$A,0))</f>
        <v>0</v>
      </c>
      <c r="D1067" s="21"/>
    </row>
    <row r="1068" spans="1:4" ht="11.25" customHeight="1" x14ac:dyDescent="0.25">
      <c r="A1068" s="22" t="s">
        <v>1105</v>
      </c>
      <c r="B1068" s="20">
        <f ca="1">INDIRECT(ADDRESS(MATCH(A1068,Raw!$A:$A,0),2,1,1,"Raw"))</f>
        <v>0</v>
      </c>
      <c r="C1068" s="20">
        <f>INDEX(Raw!$C:$C,MATCH(A1068,Raw!$A:$A,0))</f>
        <v>0</v>
      </c>
      <c r="D1068" s="21"/>
    </row>
    <row r="1069" spans="1:4" ht="11.25" customHeight="1" x14ac:dyDescent="0.25">
      <c r="A1069" s="22" t="s">
        <v>1106</v>
      </c>
      <c r="B1069" s="20">
        <f ca="1">INDIRECT(ADDRESS(MATCH(A1069,Raw!$A:$A,0),2,1,1,"Raw"))</f>
        <v>0</v>
      </c>
      <c r="C1069" s="20">
        <f>INDEX(Raw!$C:$C,MATCH(A1069,Raw!$A:$A,0))</f>
        <v>0</v>
      </c>
      <c r="D1069" s="21"/>
    </row>
    <row r="1070" spans="1:4" ht="11.25" customHeight="1" x14ac:dyDescent="0.25">
      <c r="A1070" s="22" t="s">
        <v>1107</v>
      </c>
      <c r="B1070" s="20">
        <f ca="1">INDIRECT(ADDRESS(MATCH(A1070,Raw!$A:$A,0),2,1,1,"Raw"))</f>
        <v>0</v>
      </c>
      <c r="C1070" s="20">
        <f>INDEX(Raw!$C:$C,MATCH(A1070,Raw!$A:$A,0))</f>
        <v>0</v>
      </c>
      <c r="D1070" s="21"/>
    </row>
    <row r="1071" spans="1:4" ht="11.25" customHeight="1" x14ac:dyDescent="0.25">
      <c r="A1071" s="22" t="s">
        <v>1108</v>
      </c>
      <c r="B1071" s="20">
        <f ca="1">INDIRECT(ADDRESS(MATCH(A1071,Raw!$A:$A,0),2,1,1,"Raw"))</f>
        <v>0</v>
      </c>
      <c r="C1071" s="20">
        <f>INDEX(Raw!$C:$C,MATCH(A1071,Raw!$A:$A,0))</f>
        <v>0</v>
      </c>
      <c r="D1071" s="21"/>
    </row>
    <row r="1072" spans="1:4" ht="11.25" customHeight="1" x14ac:dyDescent="0.25">
      <c r="A1072" s="22" t="s">
        <v>1109</v>
      </c>
      <c r="B1072" s="20">
        <f ca="1">INDIRECT(ADDRESS(MATCH(A1072,Raw!$A:$A,0),2,1,1,"Raw"))</f>
        <v>0</v>
      </c>
      <c r="C1072" s="20">
        <f>INDEX(Raw!$C:$C,MATCH(A1072,Raw!$A:$A,0))</f>
        <v>0</v>
      </c>
      <c r="D1072" s="21"/>
    </row>
    <row r="1073" spans="1:4" ht="11.25" customHeight="1" x14ac:dyDescent="0.25">
      <c r="A1073" s="22" t="s">
        <v>1110</v>
      </c>
      <c r="B1073" s="20">
        <f ca="1">INDIRECT(ADDRESS(MATCH(A1073,Raw!$A:$A,0),2,1,1,"Raw"))</f>
        <v>0</v>
      </c>
      <c r="C1073" s="20">
        <f>INDEX(Raw!$C:$C,MATCH(A1073,Raw!$A:$A,0))</f>
        <v>0</v>
      </c>
      <c r="D1073" s="21"/>
    </row>
    <row r="1074" spans="1:4" ht="11.25" customHeight="1" x14ac:dyDescent="0.25">
      <c r="A1074" s="22" t="s">
        <v>1111</v>
      </c>
      <c r="B1074" s="20">
        <f ca="1">INDIRECT(ADDRESS(MATCH(A1074,Raw!$A:$A,0),2,1,1,"Raw"))</f>
        <v>0</v>
      </c>
      <c r="C1074" s="20">
        <f>INDEX(Raw!$C:$C,MATCH(A1074,Raw!$A:$A,0))</f>
        <v>0</v>
      </c>
      <c r="D1074" s="21"/>
    </row>
    <row r="1075" spans="1:4" ht="11.25" customHeight="1" x14ac:dyDescent="0.25">
      <c r="A1075" s="22" t="s">
        <v>1112</v>
      </c>
      <c r="B1075" s="20">
        <f ca="1">INDIRECT(ADDRESS(MATCH(A1075,Raw!$A:$A,0),2,1,1,"Raw"))</f>
        <v>0</v>
      </c>
      <c r="C1075" s="20">
        <f>INDEX(Raw!$C:$C,MATCH(A1075,Raw!$A:$A,0))</f>
        <v>0</v>
      </c>
      <c r="D1075" s="21"/>
    </row>
    <row r="1076" spans="1:4" ht="11.25" customHeight="1" x14ac:dyDescent="0.25">
      <c r="A1076" s="22" t="s">
        <v>1113</v>
      </c>
      <c r="B1076" s="20">
        <f ca="1">INDIRECT(ADDRESS(MATCH(A1076,Raw!$A:$A,0),2,1,1,"Raw"))</f>
        <v>0</v>
      </c>
      <c r="C1076" s="20">
        <f>INDEX(Raw!$C:$C,MATCH(A1076,Raw!$A:$A,0))</f>
        <v>0</v>
      </c>
      <c r="D1076" s="21"/>
    </row>
    <row r="1077" spans="1:4" ht="11.25" customHeight="1" x14ac:dyDescent="0.25">
      <c r="A1077" s="22" t="s">
        <v>1114</v>
      </c>
      <c r="B1077" s="20">
        <f ca="1">INDIRECT(ADDRESS(MATCH(A1077,Raw!$A:$A,0),2,1,1,"Raw"))</f>
        <v>0</v>
      </c>
      <c r="C1077" s="20">
        <f>INDEX(Raw!$C:$C,MATCH(A1077,Raw!$A:$A,0))</f>
        <v>0</v>
      </c>
      <c r="D1077" s="21"/>
    </row>
    <row r="1078" spans="1:4" ht="11.25" customHeight="1" x14ac:dyDescent="0.25">
      <c r="A1078" s="22" t="s">
        <v>1115</v>
      </c>
      <c r="B1078" s="20">
        <f ca="1">INDIRECT(ADDRESS(MATCH(A1078,Raw!$A:$A,0),2,1,1,"Raw"))</f>
        <v>0</v>
      </c>
      <c r="C1078" s="20">
        <f>INDEX(Raw!$C:$C,MATCH(A1078,Raw!$A:$A,0))</f>
        <v>0</v>
      </c>
      <c r="D1078" s="21"/>
    </row>
    <row r="1079" spans="1:4" ht="11.25" customHeight="1" x14ac:dyDescent="0.25">
      <c r="A1079" s="22" t="s">
        <v>1116</v>
      </c>
      <c r="B1079" s="20">
        <f ca="1">INDIRECT(ADDRESS(MATCH(A1079,Raw!$A:$A,0),2,1,1,"Raw"))</f>
        <v>0</v>
      </c>
      <c r="C1079" s="20">
        <f>INDEX(Raw!$C:$C,MATCH(A1079,Raw!$A:$A,0))</f>
        <v>0</v>
      </c>
      <c r="D1079" s="21"/>
    </row>
    <row r="1080" spans="1:4" ht="11.25" customHeight="1" x14ac:dyDescent="0.25">
      <c r="A1080" s="22" t="s">
        <v>1117</v>
      </c>
      <c r="B1080" s="20">
        <f ca="1">INDIRECT(ADDRESS(MATCH(A1080,Raw!$A:$A,0),2,1,1,"Raw"))</f>
        <v>0</v>
      </c>
      <c r="C1080" s="20">
        <f>INDEX(Raw!$C:$C,MATCH(A1080,Raw!$A:$A,0))</f>
        <v>0</v>
      </c>
      <c r="D1080" s="21"/>
    </row>
    <row r="1081" spans="1:4" ht="11.25" customHeight="1" x14ac:dyDescent="0.25">
      <c r="A1081" s="22" t="s">
        <v>1118</v>
      </c>
      <c r="B1081" s="20">
        <f ca="1">INDIRECT(ADDRESS(MATCH(A1081,Raw!$A:$A,0),2,1,1,"Raw"))</f>
        <v>0</v>
      </c>
      <c r="C1081" s="20">
        <f>INDEX(Raw!$C:$C,MATCH(A1081,Raw!$A:$A,0))</f>
        <v>0</v>
      </c>
      <c r="D1081" s="21"/>
    </row>
    <row r="1082" spans="1:4" ht="11.25" customHeight="1" x14ac:dyDescent="0.25">
      <c r="A1082" s="22" t="s">
        <v>1119</v>
      </c>
      <c r="B1082" s="20">
        <f ca="1">INDIRECT(ADDRESS(MATCH(A1082,Raw!$A:$A,0),2,1,1,"Raw"))</f>
        <v>0</v>
      </c>
      <c r="C1082" s="20">
        <f>INDEX(Raw!$C:$C,MATCH(A1082,Raw!$A:$A,0))</f>
        <v>0</v>
      </c>
      <c r="D1082" s="21"/>
    </row>
    <row r="1083" spans="1:4" ht="11.25" customHeight="1" x14ac:dyDescent="0.25">
      <c r="A1083" s="22" t="s">
        <v>1120</v>
      </c>
      <c r="B1083" s="20">
        <f ca="1">INDIRECT(ADDRESS(MATCH(A1083,Raw!$A:$A,0),2,1,1,"Raw"))</f>
        <v>0</v>
      </c>
      <c r="C1083" s="20">
        <f>INDEX(Raw!$C:$C,MATCH(A1083,Raw!$A:$A,0))</f>
        <v>0</v>
      </c>
      <c r="D1083" s="21"/>
    </row>
    <row r="1084" spans="1:4" ht="11.25" customHeight="1" x14ac:dyDescent="0.25">
      <c r="A1084" s="22" t="s">
        <v>1121</v>
      </c>
      <c r="B1084" s="20">
        <f ca="1">INDIRECT(ADDRESS(MATCH(A1084,Raw!$A:$A,0),2,1,1,"Raw"))</f>
        <v>0</v>
      </c>
      <c r="C1084" s="20">
        <f>INDEX(Raw!$C:$C,MATCH(A1084,Raw!$A:$A,0))</f>
        <v>0</v>
      </c>
      <c r="D1084" s="21"/>
    </row>
    <row r="1085" spans="1:4" ht="11.25" customHeight="1" x14ac:dyDescent="0.25">
      <c r="A1085" s="22" t="s">
        <v>1122</v>
      </c>
      <c r="B1085" s="20">
        <f ca="1">INDIRECT(ADDRESS(MATCH(A1085,Raw!$A:$A,0),2,1,1,"Raw"))</f>
        <v>0</v>
      </c>
      <c r="C1085" s="20">
        <f>INDEX(Raw!$C:$C,MATCH(A1085,Raw!$A:$A,0))</f>
        <v>0</v>
      </c>
      <c r="D1085" s="21"/>
    </row>
    <row r="1086" spans="1:4" ht="11.25" customHeight="1" x14ac:dyDescent="0.25">
      <c r="A1086" s="22" t="s">
        <v>1123</v>
      </c>
      <c r="B1086" s="20">
        <f ca="1">INDIRECT(ADDRESS(MATCH(A1086,Raw!$A:$A,0),2,1,1,"Raw"))</f>
        <v>0</v>
      </c>
      <c r="C1086" s="20">
        <f>INDEX(Raw!$C:$C,MATCH(A1086,Raw!$A:$A,0))</f>
        <v>0</v>
      </c>
      <c r="D1086" s="21"/>
    </row>
    <row r="1087" spans="1:4" ht="11.25" customHeight="1" x14ac:dyDescent="0.25">
      <c r="A1087" s="22" t="s">
        <v>1124</v>
      </c>
      <c r="B1087" s="20">
        <f ca="1">INDIRECT(ADDRESS(MATCH(A1087,Raw!$A:$A,0),2,1,1,"Raw"))</f>
        <v>0</v>
      </c>
      <c r="C1087" s="20">
        <f>INDEX(Raw!$C:$C,MATCH(A1087,Raw!$A:$A,0))</f>
        <v>0</v>
      </c>
      <c r="D1087" s="21"/>
    </row>
    <row r="1088" spans="1:4" ht="11.25" customHeight="1" x14ac:dyDescent="0.25">
      <c r="A1088" s="22" t="s">
        <v>1125</v>
      </c>
      <c r="B1088" s="20">
        <f ca="1">INDIRECT(ADDRESS(MATCH(A1088,Raw!$A:$A,0),2,1,1,"Raw"))</f>
        <v>0</v>
      </c>
      <c r="C1088" s="20">
        <f>INDEX(Raw!$C:$C,MATCH(A1088,Raw!$A:$A,0))</f>
        <v>0</v>
      </c>
      <c r="D1088" s="21"/>
    </row>
    <row r="1089" spans="1:4" ht="11.25" customHeight="1" x14ac:dyDescent="0.25">
      <c r="A1089" s="22" t="s">
        <v>1126</v>
      </c>
      <c r="B1089" s="20">
        <f ca="1">INDIRECT(ADDRESS(MATCH(A1089,Raw!$A:$A,0),2,1,1,"Raw"))</f>
        <v>0</v>
      </c>
      <c r="C1089" s="20">
        <f>INDEX(Raw!$C:$C,MATCH(A1089,Raw!$A:$A,0))</f>
        <v>0</v>
      </c>
      <c r="D1089" s="21"/>
    </row>
    <row r="1090" spans="1:4" ht="11.25" customHeight="1" x14ac:dyDescent="0.25">
      <c r="A1090" s="22" t="s">
        <v>1127</v>
      </c>
      <c r="B1090" s="20">
        <f ca="1">INDIRECT(ADDRESS(MATCH(A1090,Raw!$A:$A,0),2,1,1,"Raw"))</f>
        <v>0</v>
      </c>
      <c r="C1090" s="20">
        <f>INDEX(Raw!$C:$C,MATCH(A1090,Raw!$A:$A,0))</f>
        <v>0</v>
      </c>
      <c r="D1090" s="21"/>
    </row>
    <row r="1091" spans="1:4" ht="11.25" customHeight="1" x14ac:dyDescent="0.25">
      <c r="A1091" s="22" t="s">
        <v>1128</v>
      </c>
      <c r="B1091" s="20">
        <f ca="1">INDIRECT(ADDRESS(MATCH(A1091,Raw!$A:$A,0),2,1,1,"Raw"))</f>
        <v>0</v>
      </c>
      <c r="C1091" s="20">
        <f>INDEX(Raw!$C:$C,MATCH(A1091,Raw!$A:$A,0))</f>
        <v>0</v>
      </c>
      <c r="D1091" s="21"/>
    </row>
    <row r="1092" spans="1:4" ht="11.25" customHeight="1" x14ac:dyDescent="0.25">
      <c r="A1092" s="22" t="s">
        <v>1129</v>
      </c>
      <c r="B1092" s="20">
        <f ca="1">INDIRECT(ADDRESS(MATCH(A1092,Raw!$A:$A,0),2,1,1,"Raw"))</f>
        <v>0</v>
      </c>
      <c r="C1092" s="20">
        <f>INDEX(Raw!$C:$C,MATCH(A1092,Raw!$A:$A,0))</f>
        <v>0</v>
      </c>
      <c r="D1092" s="21"/>
    </row>
    <row r="1093" spans="1:4" ht="11.25" customHeight="1" x14ac:dyDescent="0.25">
      <c r="A1093" s="22" t="s">
        <v>1130</v>
      </c>
      <c r="B1093" s="20">
        <f ca="1">INDIRECT(ADDRESS(MATCH(A1093,Raw!$A:$A,0),2,1,1,"Raw"))</f>
        <v>0</v>
      </c>
      <c r="C1093" s="20">
        <f>INDEX(Raw!$C:$C,MATCH(A1093,Raw!$A:$A,0))</f>
        <v>0</v>
      </c>
      <c r="D1093" s="21"/>
    </row>
    <row r="1094" spans="1:4" ht="11.25" customHeight="1" x14ac:dyDescent="0.25">
      <c r="A1094" s="22" t="s">
        <v>1131</v>
      </c>
      <c r="B1094" s="20">
        <f ca="1">INDIRECT(ADDRESS(MATCH(A1094,Raw!$A:$A,0),2,1,1,"Raw"))</f>
        <v>0</v>
      </c>
      <c r="C1094" s="20">
        <f>INDEX(Raw!$C:$C,MATCH(A1094,Raw!$A:$A,0))</f>
        <v>0</v>
      </c>
      <c r="D1094" s="21"/>
    </row>
    <row r="1095" spans="1:4" ht="11.25" customHeight="1" x14ac:dyDescent="0.25">
      <c r="A1095" s="22" t="s">
        <v>1132</v>
      </c>
      <c r="B1095" s="20">
        <f ca="1">INDIRECT(ADDRESS(MATCH(A1095,Raw!$A:$A,0),2,1,1,"Raw"))</f>
        <v>0</v>
      </c>
      <c r="C1095" s="20">
        <f>INDEX(Raw!$C:$C,MATCH(A1095,Raw!$A:$A,0))</f>
        <v>0</v>
      </c>
      <c r="D1095" s="21"/>
    </row>
    <row r="1096" spans="1:4" ht="11.25" customHeight="1" x14ac:dyDescent="0.25">
      <c r="A1096" s="22" t="s">
        <v>1133</v>
      </c>
      <c r="B1096" s="20">
        <f ca="1">INDIRECT(ADDRESS(MATCH(A1096,Raw!$A:$A,0),2,1,1,"Raw"))</f>
        <v>0</v>
      </c>
      <c r="C1096" s="20">
        <f>INDEX(Raw!$C:$C,MATCH(A1096,Raw!$A:$A,0))</f>
        <v>0</v>
      </c>
      <c r="D1096" s="21"/>
    </row>
    <row r="1097" spans="1:4" ht="11.25" customHeight="1" x14ac:dyDescent="0.25">
      <c r="A1097" s="22" t="s">
        <v>1134</v>
      </c>
      <c r="B1097" s="20">
        <f ca="1">INDIRECT(ADDRESS(MATCH(A1097,Raw!$A:$A,0),2,1,1,"Raw"))</f>
        <v>0</v>
      </c>
      <c r="C1097" s="20">
        <f>INDEX(Raw!$C:$C,MATCH(A1097,Raw!$A:$A,0))</f>
        <v>0</v>
      </c>
      <c r="D1097" s="21"/>
    </row>
    <row r="1098" spans="1:4" ht="11.25" customHeight="1" x14ac:dyDescent="0.25">
      <c r="A1098" s="22" t="s">
        <v>1135</v>
      </c>
      <c r="B1098" s="20">
        <f ca="1">INDIRECT(ADDRESS(MATCH(A1098,Raw!$A:$A,0),2,1,1,"Raw"))</f>
        <v>0</v>
      </c>
      <c r="C1098" s="20">
        <f>INDEX(Raw!$C:$C,MATCH(A1098,Raw!$A:$A,0))</f>
        <v>0</v>
      </c>
      <c r="D1098" s="21"/>
    </row>
    <row r="1099" spans="1:4" ht="11.25" customHeight="1" x14ac:dyDescent="0.25">
      <c r="A1099" s="22" t="s">
        <v>1136</v>
      </c>
      <c r="B1099" s="20">
        <f ca="1">INDIRECT(ADDRESS(MATCH(A1099,Raw!$A:$A,0),2,1,1,"Raw"))</f>
        <v>0</v>
      </c>
      <c r="C1099" s="20">
        <f>INDEX(Raw!$C:$C,MATCH(A1099,Raw!$A:$A,0))</f>
        <v>0</v>
      </c>
      <c r="D1099" s="21"/>
    </row>
    <row r="1100" spans="1:4" ht="11.25" customHeight="1" x14ac:dyDescent="0.25">
      <c r="A1100" s="22" t="s">
        <v>1137</v>
      </c>
      <c r="B1100" s="20">
        <f ca="1">INDIRECT(ADDRESS(MATCH(A1100,Raw!$A:$A,0),2,1,1,"Raw"))</f>
        <v>0</v>
      </c>
      <c r="C1100" s="20">
        <f>INDEX(Raw!$C:$C,MATCH(A1100,Raw!$A:$A,0))</f>
        <v>0</v>
      </c>
      <c r="D1100" s="21"/>
    </row>
    <row r="1101" spans="1:4" ht="11.25" customHeight="1" x14ac:dyDescent="0.25">
      <c r="A1101" s="22" t="s">
        <v>1138</v>
      </c>
      <c r="B1101" s="20">
        <f ca="1">INDIRECT(ADDRESS(MATCH(A1101,Raw!$A:$A,0),2,1,1,"Raw"))</f>
        <v>0</v>
      </c>
      <c r="C1101" s="20">
        <f>INDEX(Raw!$C:$C,MATCH(A1101,Raw!$A:$A,0))</f>
        <v>0</v>
      </c>
      <c r="D1101" s="21"/>
    </row>
    <row r="1102" spans="1:4" ht="11.25" customHeight="1" x14ac:dyDescent="0.25">
      <c r="A1102" s="22" t="s">
        <v>1139</v>
      </c>
      <c r="B1102" s="20">
        <f ca="1">INDIRECT(ADDRESS(MATCH(A1102,Raw!$A:$A,0),2,1,1,"Raw"))</f>
        <v>0</v>
      </c>
      <c r="C1102" s="20">
        <f>INDEX(Raw!$C:$C,MATCH(A1102,Raw!$A:$A,0))</f>
        <v>0</v>
      </c>
      <c r="D1102" s="21"/>
    </row>
    <row r="1103" spans="1:4" ht="11.25" customHeight="1" x14ac:dyDescent="0.25">
      <c r="A1103" s="22" t="s">
        <v>1140</v>
      </c>
      <c r="B1103" s="20">
        <f ca="1">INDIRECT(ADDRESS(MATCH(A1103,Raw!$A:$A,0),2,1,1,"Raw"))</f>
        <v>0</v>
      </c>
      <c r="C1103" s="20">
        <f>INDEX(Raw!$C:$C,MATCH(A1103,Raw!$A:$A,0))</f>
        <v>0</v>
      </c>
      <c r="D1103" s="21"/>
    </row>
    <row r="1104" spans="1:4" ht="11.25" customHeight="1" x14ac:dyDescent="0.25">
      <c r="A1104" s="22" t="s">
        <v>1141</v>
      </c>
      <c r="B1104" s="20">
        <f ca="1">INDIRECT(ADDRESS(MATCH(A1104,Raw!$A:$A,0),2,1,1,"Raw"))</f>
        <v>0</v>
      </c>
      <c r="C1104" s="20">
        <f>INDEX(Raw!$C:$C,MATCH(A1104,Raw!$A:$A,0))</f>
        <v>0</v>
      </c>
      <c r="D1104" s="21"/>
    </row>
    <row r="1105" spans="1:4" ht="11.25" customHeight="1" x14ac:dyDescent="0.25">
      <c r="A1105" s="22" t="s">
        <v>1142</v>
      </c>
      <c r="B1105" s="20">
        <f ca="1">INDIRECT(ADDRESS(MATCH(A1105,Raw!$A:$A,0),2,1,1,"Raw"))</f>
        <v>0</v>
      </c>
      <c r="C1105" s="20">
        <f>INDEX(Raw!$C:$C,MATCH(A1105,Raw!$A:$A,0))</f>
        <v>0</v>
      </c>
      <c r="D1105" s="21"/>
    </row>
    <row r="1106" spans="1:4" ht="11.25" customHeight="1" x14ac:dyDescent="0.25">
      <c r="A1106" s="22" t="s">
        <v>1143</v>
      </c>
      <c r="B1106" s="20">
        <f ca="1">INDIRECT(ADDRESS(MATCH(A1106,Raw!$A:$A,0),2,1,1,"Raw"))</f>
        <v>0</v>
      </c>
      <c r="C1106" s="20">
        <f>INDEX(Raw!$C:$C,MATCH(A1106,Raw!$A:$A,0))</f>
        <v>0</v>
      </c>
      <c r="D1106" s="21"/>
    </row>
    <row r="1107" spans="1:4" ht="11.25" customHeight="1" x14ac:dyDescent="0.25">
      <c r="A1107" s="22" t="s">
        <v>1144</v>
      </c>
      <c r="B1107" s="20">
        <f ca="1">INDIRECT(ADDRESS(MATCH(A1107,Raw!$A:$A,0),2,1,1,"Raw"))</f>
        <v>0</v>
      </c>
      <c r="C1107" s="20">
        <f>INDEX(Raw!$C:$C,MATCH(A1107,Raw!$A:$A,0))</f>
        <v>0</v>
      </c>
      <c r="D1107" s="21"/>
    </row>
    <row r="1108" spans="1:4" ht="11.25" customHeight="1" x14ac:dyDescent="0.25">
      <c r="A1108" s="22" t="s">
        <v>1145</v>
      </c>
      <c r="B1108" s="20">
        <f ca="1">INDIRECT(ADDRESS(MATCH(A1108,Raw!$A:$A,0),2,1,1,"Raw"))</f>
        <v>0</v>
      </c>
      <c r="C1108" s="20">
        <f>INDEX(Raw!$C:$C,MATCH(A1108,Raw!$A:$A,0))</f>
        <v>0</v>
      </c>
      <c r="D1108" s="21"/>
    </row>
    <row r="1109" spans="1:4" ht="11.25" customHeight="1" x14ac:dyDescent="0.25">
      <c r="A1109" s="22" t="s">
        <v>1146</v>
      </c>
      <c r="B1109" s="20">
        <f ca="1">INDIRECT(ADDRESS(MATCH(A1109,Raw!$A:$A,0),2,1,1,"Raw"))</f>
        <v>0</v>
      </c>
      <c r="C1109" s="20">
        <f>INDEX(Raw!$C:$C,MATCH(A1109,Raw!$A:$A,0))</f>
        <v>0</v>
      </c>
      <c r="D1109" s="21"/>
    </row>
    <row r="1110" spans="1:4" ht="11.25" customHeight="1" x14ac:dyDescent="0.25">
      <c r="A1110" s="22" t="s">
        <v>1147</v>
      </c>
      <c r="B1110" s="20">
        <f ca="1">INDIRECT(ADDRESS(MATCH(A1110,Raw!$A:$A,0),2,1,1,"Raw"))</f>
        <v>0</v>
      </c>
      <c r="C1110" s="20">
        <f>INDEX(Raw!$C:$C,MATCH(A1110,Raw!$A:$A,0))</f>
        <v>0</v>
      </c>
      <c r="D1110" s="21"/>
    </row>
    <row r="1111" spans="1:4" ht="11.25" customHeight="1" x14ac:dyDescent="0.25">
      <c r="A1111" s="22" t="s">
        <v>1148</v>
      </c>
      <c r="B1111" s="20">
        <f ca="1">INDIRECT(ADDRESS(MATCH(A1111,Raw!$A:$A,0),2,1,1,"Raw"))</f>
        <v>0</v>
      </c>
      <c r="C1111" s="20">
        <f>INDEX(Raw!$C:$C,MATCH(A1111,Raw!$A:$A,0))</f>
        <v>0</v>
      </c>
      <c r="D1111" s="21"/>
    </row>
    <row r="1112" spans="1:4" ht="11.25" customHeight="1" x14ac:dyDescent="0.25">
      <c r="A1112" s="22" t="s">
        <v>1149</v>
      </c>
      <c r="B1112" s="20">
        <f ca="1">INDIRECT(ADDRESS(MATCH(A1112,Raw!$A:$A,0),2,1,1,"Raw"))</f>
        <v>0</v>
      </c>
      <c r="C1112" s="20">
        <f>INDEX(Raw!$C:$C,MATCH(A1112,Raw!$A:$A,0))</f>
        <v>0</v>
      </c>
      <c r="D1112" s="21"/>
    </row>
    <row r="1113" spans="1:4" ht="11.25" customHeight="1" x14ac:dyDescent="0.25">
      <c r="A1113" s="22" t="s">
        <v>1150</v>
      </c>
      <c r="B1113" s="20">
        <f ca="1">INDIRECT(ADDRESS(MATCH(A1113,Raw!$A:$A,0),2,1,1,"Raw"))</f>
        <v>0</v>
      </c>
      <c r="C1113" s="20">
        <f>INDEX(Raw!$C:$C,MATCH(A1113,Raw!$A:$A,0))</f>
        <v>0</v>
      </c>
      <c r="D1113" s="21"/>
    </row>
    <row r="1114" spans="1:4" ht="11.25" customHeight="1" x14ac:dyDescent="0.25">
      <c r="A1114" s="22" t="s">
        <v>1151</v>
      </c>
      <c r="B1114" s="20">
        <f ca="1">INDIRECT(ADDRESS(MATCH(A1114,Raw!$A:$A,0),2,1,1,"Raw"))</f>
        <v>0</v>
      </c>
      <c r="C1114" s="20">
        <f>INDEX(Raw!$C:$C,MATCH(A1114,Raw!$A:$A,0))</f>
        <v>0</v>
      </c>
      <c r="D1114" s="21"/>
    </row>
    <row r="1115" spans="1:4" ht="11.25" customHeight="1" x14ac:dyDescent="0.25">
      <c r="A1115" s="22" t="s">
        <v>1152</v>
      </c>
      <c r="B1115" s="20">
        <f ca="1">INDIRECT(ADDRESS(MATCH(A1115,Raw!$A:$A,0),2,1,1,"Raw"))</f>
        <v>0</v>
      </c>
      <c r="C1115" s="20">
        <f>INDEX(Raw!$C:$C,MATCH(A1115,Raw!$A:$A,0))</f>
        <v>0</v>
      </c>
      <c r="D1115" s="21"/>
    </row>
    <row r="1116" spans="1:4" ht="11.25" customHeight="1" x14ac:dyDescent="0.25">
      <c r="A1116" s="22" t="s">
        <v>1153</v>
      </c>
      <c r="B1116" s="20">
        <f ca="1">INDIRECT(ADDRESS(MATCH(A1116,Raw!$A:$A,0),2,1,1,"Raw"))</f>
        <v>0</v>
      </c>
      <c r="C1116" s="20">
        <f>INDEX(Raw!$C:$C,MATCH(A1116,Raw!$A:$A,0))</f>
        <v>0</v>
      </c>
      <c r="D1116" s="21"/>
    </row>
    <row r="1117" spans="1:4" ht="11.25" customHeight="1" x14ac:dyDescent="0.25">
      <c r="A1117" s="22" t="s">
        <v>1154</v>
      </c>
      <c r="B1117" s="20">
        <f ca="1">INDIRECT(ADDRESS(MATCH(A1117,Raw!$A:$A,0),2,1,1,"Raw"))</f>
        <v>0</v>
      </c>
      <c r="C1117" s="20">
        <f>INDEX(Raw!$C:$C,MATCH(A1117,Raw!$A:$A,0))</f>
        <v>0</v>
      </c>
      <c r="D1117" s="21"/>
    </row>
    <row r="1118" spans="1:4" ht="11.25" customHeight="1" x14ac:dyDescent="0.25">
      <c r="A1118" s="22" t="s">
        <v>1155</v>
      </c>
      <c r="B1118" s="20">
        <f ca="1">INDIRECT(ADDRESS(MATCH(A1118,Raw!$A:$A,0),2,1,1,"Raw"))</f>
        <v>0</v>
      </c>
      <c r="C1118" s="20">
        <f>INDEX(Raw!$C:$C,MATCH(A1118,Raw!$A:$A,0))</f>
        <v>0</v>
      </c>
      <c r="D1118" s="21"/>
    </row>
    <row r="1119" spans="1:4" ht="11.25" customHeight="1" x14ac:dyDescent="0.25">
      <c r="A1119" s="22" t="s">
        <v>1156</v>
      </c>
      <c r="B1119" s="20">
        <f ca="1">INDIRECT(ADDRESS(MATCH(A1119,Raw!$A:$A,0),2,1,1,"Raw"))</f>
        <v>0</v>
      </c>
      <c r="C1119" s="20">
        <f>INDEX(Raw!$C:$C,MATCH(A1119,Raw!$A:$A,0))</f>
        <v>0</v>
      </c>
      <c r="D1119" s="21"/>
    </row>
    <row r="1120" spans="1:4" ht="11.25" customHeight="1" x14ac:dyDescent="0.25">
      <c r="A1120" s="22" t="s">
        <v>1157</v>
      </c>
      <c r="B1120" s="20">
        <f ca="1">INDIRECT(ADDRESS(MATCH(A1120,Raw!$A:$A,0),2,1,1,"Raw"))</f>
        <v>0</v>
      </c>
      <c r="C1120" s="20">
        <f>INDEX(Raw!$C:$C,MATCH(A1120,Raw!$A:$A,0))</f>
        <v>0</v>
      </c>
      <c r="D1120" s="21"/>
    </row>
    <row r="1121" spans="1:4" ht="11.25" customHeight="1" x14ac:dyDescent="0.25">
      <c r="A1121" s="22" t="s">
        <v>1158</v>
      </c>
      <c r="B1121" s="20">
        <f ca="1">INDIRECT(ADDRESS(MATCH(A1121,Raw!$A:$A,0),2,1,1,"Raw"))</f>
        <v>0</v>
      </c>
      <c r="C1121" s="20">
        <f>INDEX(Raw!$C:$C,MATCH(A1121,Raw!$A:$A,0))</f>
        <v>0</v>
      </c>
      <c r="D1121" s="21"/>
    </row>
    <row r="1122" spans="1:4" ht="11.25" customHeight="1" x14ac:dyDescent="0.25">
      <c r="A1122" s="22" t="s">
        <v>1159</v>
      </c>
      <c r="B1122" s="20">
        <f ca="1">INDIRECT(ADDRESS(MATCH(A1122,Raw!$A:$A,0),2,1,1,"Raw"))</f>
        <v>0</v>
      </c>
      <c r="C1122" s="20">
        <f>INDEX(Raw!$C:$C,MATCH(A1122,Raw!$A:$A,0))</f>
        <v>0</v>
      </c>
      <c r="D1122" s="21"/>
    </row>
    <row r="1123" spans="1:4" ht="11.25" customHeight="1" x14ac:dyDescent="0.25">
      <c r="A1123" s="22" t="s">
        <v>1160</v>
      </c>
      <c r="B1123" s="20">
        <f ca="1">INDIRECT(ADDRESS(MATCH(A1123,Raw!$A:$A,0),2,1,1,"Raw"))</f>
        <v>0</v>
      </c>
      <c r="C1123" s="20">
        <f>INDEX(Raw!$C:$C,MATCH(A1123,Raw!$A:$A,0))</f>
        <v>0</v>
      </c>
      <c r="D1123" s="21"/>
    </row>
    <row r="1124" spans="1:4" ht="11.25" customHeight="1" x14ac:dyDescent="0.25">
      <c r="A1124" s="22" t="s">
        <v>1161</v>
      </c>
      <c r="B1124" s="20">
        <f ca="1">INDIRECT(ADDRESS(MATCH(A1124,Raw!$A:$A,0),2,1,1,"Raw"))</f>
        <v>0</v>
      </c>
      <c r="C1124" s="20">
        <f>INDEX(Raw!$C:$C,MATCH(A1124,Raw!$A:$A,0))</f>
        <v>0</v>
      </c>
      <c r="D1124" s="21"/>
    </row>
    <row r="1125" spans="1:4" ht="11.25" customHeight="1" x14ac:dyDescent="0.25">
      <c r="A1125" s="22" t="s">
        <v>1162</v>
      </c>
      <c r="B1125" s="20">
        <f ca="1">INDIRECT(ADDRESS(MATCH(A1125,Raw!$A:$A,0),2,1,1,"Raw"))</f>
        <v>0</v>
      </c>
      <c r="C1125" s="20">
        <f>INDEX(Raw!$C:$C,MATCH(A1125,Raw!$A:$A,0))</f>
        <v>0</v>
      </c>
      <c r="D1125" s="21"/>
    </row>
    <row r="1126" spans="1:4" ht="11.25" customHeight="1" x14ac:dyDescent="0.25">
      <c r="A1126" s="22" t="s">
        <v>1163</v>
      </c>
      <c r="B1126" s="20">
        <f ca="1">INDIRECT(ADDRESS(MATCH(A1126,Raw!$A:$A,0),2,1,1,"Raw"))</f>
        <v>0</v>
      </c>
      <c r="C1126" s="20">
        <f>INDEX(Raw!$C:$C,MATCH(A1126,Raw!$A:$A,0))</f>
        <v>0</v>
      </c>
      <c r="D1126" s="21"/>
    </row>
    <row r="1127" spans="1:4" ht="11.25" customHeight="1" x14ac:dyDescent="0.25">
      <c r="A1127" s="22" t="s">
        <v>1164</v>
      </c>
      <c r="B1127" s="20">
        <f ca="1">INDIRECT(ADDRESS(MATCH(A1127,Raw!$A:$A,0),2,1,1,"Raw"))</f>
        <v>0</v>
      </c>
      <c r="C1127" s="20">
        <f>INDEX(Raw!$C:$C,MATCH(A1127,Raw!$A:$A,0))</f>
        <v>0</v>
      </c>
      <c r="D1127" s="21"/>
    </row>
    <row r="1128" spans="1:4" ht="11.25" customHeight="1" x14ac:dyDescent="0.25">
      <c r="A1128" s="22" t="s">
        <v>1165</v>
      </c>
      <c r="B1128" s="20">
        <f ca="1">INDIRECT(ADDRESS(MATCH(A1128,Raw!$A:$A,0),2,1,1,"Raw"))</f>
        <v>0</v>
      </c>
      <c r="C1128" s="20">
        <f>INDEX(Raw!$C:$C,MATCH(A1128,Raw!$A:$A,0))</f>
        <v>0</v>
      </c>
      <c r="D1128" s="21"/>
    </row>
    <row r="1129" spans="1:4" ht="11.25" customHeight="1" x14ac:dyDescent="0.25">
      <c r="A1129" s="22" t="s">
        <v>1166</v>
      </c>
      <c r="B1129" s="20">
        <f ca="1">INDIRECT(ADDRESS(MATCH(A1129,Raw!$A:$A,0),2,1,1,"Raw"))</f>
        <v>0</v>
      </c>
      <c r="C1129" s="20">
        <f>INDEX(Raw!$C:$C,MATCH(A1129,Raw!$A:$A,0))</f>
        <v>0</v>
      </c>
      <c r="D1129" s="21"/>
    </row>
    <row r="1130" spans="1:4" ht="11.25" customHeight="1" x14ac:dyDescent="0.25">
      <c r="A1130" s="22" t="s">
        <v>1167</v>
      </c>
      <c r="B1130" s="20">
        <f ca="1">INDIRECT(ADDRESS(MATCH(A1130,Raw!$A:$A,0),2,1,1,"Raw"))</f>
        <v>0</v>
      </c>
      <c r="C1130" s="20">
        <f>INDEX(Raw!$C:$C,MATCH(A1130,Raw!$A:$A,0))</f>
        <v>0</v>
      </c>
      <c r="D1130" s="21"/>
    </row>
    <row r="1131" spans="1:4" ht="11.25" customHeight="1" x14ac:dyDescent="0.25">
      <c r="A1131" s="22" t="s">
        <v>1168</v>
      </c>
      <c r="B1131" s="20">
        <f ca="1">INDIRECT(ADDRESS(MATCH(A1131,Raw!$A:$A,0),2,1,1,"Raw"))</f>
        <v>0</v>
      </c>
      <c r="C1131" s="20">
        <f>INDEX(Raw!$C:$C,MATCH(A1131,Raw!$A:$A,0))</f>
        <v>0</v>
      </c>
      <c r="D1131" s="21"/>
    </row>
    <row r="1132" spans="1:4" ht="11.25" customHeight="1" x14ac:dyDescent="0.25">
      <c r="A1132" s="22" t="s">
        <v>1169</v>
      </c>
      <c r="B1132" s="20">
        <f ca="1">INDIRECT(ADDRESS(MATCH(A1132,Raw!$A:$A,0),2,1,1,"Raw"))</f>
        <v>0</v>
      </c>
      <c r="C1132" s="20">
        <f>INDEX(Raw!$C:$C,MATCH(A1132,Raw!$A:$A,0))</f>
        <v>0</v>
      </c>
      <c r="D1132" s="21"/>
    </row>
    <row r="1133" spans="1:4" ht="11.25" customHeight="1" x14ac:dyDescent="0.25">
      <c r="A1133" s="22" t="s">
        <v>1170</v>
      </c>
      <c r="B1133" s="20">
        <f ca="1">INDIRECT(ADDRESS(MATCH(A1133,Raw!$A:$A,0),2,1,1,"Raw"))</f>
        <v>0</v>
      </c>
      <c r="C1133" s="20">
        <f>INDEX(Raw!$C:$C,MATCH(A1133,Raw!$A:$A,0))</f>
        <v>0</v>
      </c>
      <c r="D1133" s="21"/>
    </row>
    <row r="1134" spans="1:4" ht="11.25" customHeight="1" x14ac:dyDescent="0.25">
      <c r="A1134" s="22" t="s">
        <v>1171</v>
      </c>
      <c r="B1134" s="20">
        <f ca="1">INDIRECT(ADDRESS(MATCH(A1134,Raw!$A:$A,0),2,1,1,"Raw"))</f>
        <v>0</v>
      </c>
      <c r="C1134" s="20">
        <f>INDEX(Raw!$C:$C,MATCH(A1134,Raw!$A:$A,0))</f>
        <v>0</v>
      </c>
      <c r="D1134" s="21"/>
    </row>
    <row r="1135" spans="1:4" ht="11.25" customHeight="1" x14ac:dyDescent="0.25">
      <c r="A1135" s="22" t="s">
        <v>1172</v>
      </c>
      <c r="B1135" s="20">
        <f ca="1">INDIRECT(ADDRESS(MATCH(A1135,Raw!$A:$A,0),2,1,1,"Raw"))</f>
        <v>0</v>
      </c>
      <c r="C1135" s="20">
        <f>INDEX(Raw!$C:$C,MATCH(A1135,Raw!$A:$A,0))</f>
        <v>0</v>
      </c>
      <c r="D1135" s="21"/>
    </row>
    <row r="1136" spans="1:4" ht="11.25" customHeight="1" x14ac:dyDescent="0.25">
      <c r="A1136" s="22" t="s">
        <v>1173</v>
      </c>
      <c r="B1136" s="20">
        <f ca="1">INDIRECT(ADDRESS(MATCH(A1136,Raw!$A:$A,0),2,1,1,"Raw"))</f>
        <v>0</v>
      </c>
      <c r="C1136" s="20">
        <f>INDEX(Raw!$C:$C,MATCH(A1136,Raw!$A:$A,0))</f>
        <v>0</v>
      </c>
      <c r="D1136" s="21"/>
    </row>
    <row r="1137" spans="1:4" ht="11.25" customHeight="1" x14ac:dyDescent="0.25">
      <c r="A1137" s="22" t="s">
        <v>1174</v>
      </c>
      <c r="B1137" s="20">
        <f ca="1">INDIRECT(ADDRESS(MATCH(A1137,Raw!$A:$A,0),2,1,1,"Raw"))</f>
        <v>0</v>
      </c>
      <c r="C1137" s="20">
        <f>INDEX(Raw!$C:$C,MATCH(A1137,Raw!$A:$A,0))</f>
        <v>0</v>
      </c>
      <c r="D1137" s="21"/>
    </row>
    <row r="1138" spans="1:4" ht="11.25" customHeight="1" x14ac:dyDescent="0.25">
      <c r="A1138" s="22" t="s">
        <v>1175</v>
      </c>
      <c r="B1138" s="20">
        <f ca="1">INDIRECT(ADDRESS(MATCH(A1138,Raw!$A:$A,0),2,1,1,"Raw"))</f>
        <v>0</v>
      </c>
      <c r="C1138" s="20">
        <f>INDEX(Raw!$C:$C,MATCH(A1138,Raw!$A:$A,0))</f>
        <v>0</v>
      </c>
      <c r="D1138" s="21"/>
    </row>
    <row r="1139" spans="1:4" ht="11.25" customHeight="1" x14ac:dyDescent="0.25">
      <c r="A1139" s="22" t="s">
        <v>1176</v>
      </c>
      <c r="B1139" s="20">
        <f ca="1">INDIRECT(ADDRESS(MATCH(A1139,Raw!$A:$A,0),2,1,1,"Raw"))</f>
        <v>0</v>
      </c>
      <c r="C1139" s="20">
        <f>INDEX(Raw!$C:$C,MATCH(A1139,Raw!$A:$A,0))</f>
        <v>0</v>
      </c>
      <c r="D1139" s="21"/>
    </row>
    <row r="1140" spans="1:4" ht="11.25" customHeight="1" x14ac:dyDescent="0.25">
      <c r="A1140" s="22" t="s">
        <v>1177</v>
      </c>
      <c r="B1140" s="20">
        <f ca="1">INDIRECT(ADDRESS(MATCH(A1140,Raw!$A:$A,0),2,1,1,"Raw"))</f>
        <v>0</v>
      </c>
      <c r="C1140" s="20">
        <f>INDEX(Raw!$C:$C,MATCH(A1140,Raw!$A:$A,0))</f>
        <v>0</v>
      </c>
      <c r="D1140" s="21"/>
    </row>
    <row r="1141" spans="1:4" ht="11.25" customHeight="1" x14ac:dyDescent="0.25">
      <c r="A1141" s="22" t="s">
        <v>1178</v>
      </c>
      <c r="B1141" s="20">
        <f ca="1">INDIRECT(ADDRESS(MATCH(A1141,Raw!$A:$A,0),2,1,1,"Raw"))</f>
        <v>0</v>
      </c>
      <c r="C1141" s="20">
        <f>INDEX(Raw!$C:$C,MATCH(A1141,Raw!$A:$A,0))</f>
        <v>0</v>
      </c>
      <c r="D1141" s="21"/>
    </row>
    <row r="1142" spans="1:4" ht="11.25" customHeight="1" x14ac:dyDescent="0.25">
      <c r="A1142" s="22" t="s">
        <v>1179</v>
      </c>
      <c r="B1142" s="20">
        <f ca="1">INDIRECT(ADDRESS(MATCH(A1142,Raw!$A:$A,0),2,1,1,"Raw"))</f>
        <v>0</v>
      </c>
      <c r="C1142" s="20">
        <f>INDEX(Raw!$C:$C,MATCH(A1142,Raw!$A:$A,0))</f>
        <v>0</v>
      </c>
      <c r="D1142" s="21"/>
    </row>
    <row r="1143" spans="1:4" ht="11.25" customHeight="1" x14ac:dyDescent="0.25">
      <c r="A1143" s="22" t="s">
        <v>1180</v>
      </c>
      <c r="B1143" s="20">
        <f ca="1">INDIRECT(ADDRESS(MATCH(A1143,Raw!$A:$A,0),2,1,1,"Raw"))</f>
        <v>0</v>
      </c>
      <c r="C1143" s="20">
        <f>INDEX(Raw!$C:$C,MATCH(A1143,Raw!$A:$A,0))</f>
        <v>0</v>
      </c>
      <c r="D1143" s="21"/>
    </row>
    <row r="1144" spans="1:4" ht="11.25" customHeight="1" x14ac:dyDescent="0.25">
      <c r="A1144" s="22" t="s">
        <v>1181</v>
      </c>
      <c r="B1144" s="20">
        <f ca="1">INDIRECT(ADDRESS(MATCH(A1144,Raw!$A:$A,0),2,1,1,"Raw"))</f>
        <v>0</v>
      </c>
      <c r="C1144" s="20">
        <f>INDEX(Raw!$C:$C,MATCH(A1144,Raw!$A:$A,0))</f>
        <v>0</v>
      </c>
      <c r="D1144" s="21"/>
    </row>
    <row r="1145" spans="1:4" ht="11.25" customHeight="1" x14ac:dyDescent="0.25">
      <c r="A1145" s="22" t="s">
        <v>1182</v>
      </c>
      <c r="B1145" s="20">
        <f ca="1">INDIRECT(ADDRESS(MATCH(A1145,Raw!$A:$A,0),2,1,1,"Raw"))</f>
        <v>0</v>
      </c>
      <c r="C1145" s="20">
        <f>INDEX(Raw!$C:$C,MATCH(A1145,Raw!$A:$A,0))</f>
        <v>0</v>
      </c>
      <c r="D1145" s="21"/>
    </row>
    <row r="1146" spans="1:4" ht="11.25" customHeight="1" x14ac:dyDescent="0.25">
      <c r="A1146" s="22" t="s">
        <v>1183</v>
      </c>
      <c r="B1146" s="20">
        <f ca="1">INDIRECT(ADDRESS(MATCH(A1146,Raw!$A:$A,0),2,1,1,"Raw"))</f>
        <v>0</v>
      </c>
      <c r="C1146" s="20">
        <f>INDEX(Raw!$C:$C,MATCH(A1146,Raw!$A:$A,0))</f>
        <v>0</v>
      </c>
      <c r="D1146" s="21"/>
    </row>
    <row r="1147" spans="1:4" ht="11.25" customHeight="1" x14ac:dyDescent="0.25">
      <c r="A1147" s="22" t="s">
        <v>1184</v>
      </c>
      <c r="B1147" s="20">
        <f ca="1">INDIRECT(ADDRESS(MATCH(A1147,Raw!$A:$A,0),2,1,1,"Raw"))</f>
        <v>0</v>
      </c>
      <c r="C1147" s="20">
        <f>INDEX(Raw!$C:$C,MATCH(A1147,Raw!$A:$A,0))</f>
        <v>0</v>
      </c>
      <c r="D1147" s="21"/>
    </row>
    <row r="1148" spans="1:4" ht="11.25" customHeight="1" x14ac:dyDescent="0.25">
      <c r="A1148" s="22" t="s">
        <v>1185</v>
      </c>
      <c r="B1148" s="20">
        <f ca="1">INDIRECT(ADDRESS(MATCH(A1148,Raw!$A:$A,0),2,1,1,"Raw"))</f>
        <v>0</v>
      </c>
      <c r="C1148" s="20">
        <f>INDEX(Raw!$C:$C,MATCH(A1148,Raw!$A:$A,0))</f>
        <v>0</v>
      </c>
      <c r="D1148" s="21"/>
    </row>
    <row r="1149" spans="1:4" ht="11.25" customHeight="1" x14ac:dyDescent="0.25">
      <c r="A1149" s="22" t="s">
        <v>1186</v>
      </c>
      <c r="B1149" s="20">
        <f ca="1">INDIRECT(ADDRESS(MATCH(A1149,Raw!$A:$A,0),2,1,1,"Raw"))</f>
        <v>0</v>
      </c>
      <c r="C1149" s="20">
        <f>INDEX(Raw!$C:$C,MATCH(A1149,Raw!$A:$A,0))</f>
        <v>0</v>
      </c>
      <c r="D1149" s="21"/>
    </row>
    <row r="1150" spans="1:4" ht="11.25" customHeight="1" x14ac:dyDescent="0.25">
      <c r="A1150" s="22" t="s">
        <v>1187</v>
      </c>
      <c r="B1150" s="20">
        <f ca="1">INDIRECT(ADDRESS(MATCH(A1150,Raw!$A:$A,0),2,1,1,"Raw"))</f>
        <v>0</v>
      </c>
      <c r="C1150" s="20">
        <f>INDEX(Raw!$C:$C,MATCH(A1150,Raw!$A:$A,0))</f>
        <v>0</v>
      </c>
      <c r="D1150" s="21"/>
    </row>
    <row r="1151" spans="1:4" ht="11.25" customHeight="1" x14ac:dyDescent="0.25">
      <c r="A1151" s="22" t="s">
        <v>1188</v>
      </c>
      <c r="B1151" s="20">
        <f ca="1">INDIRECT(ADDRESS(MATCH(A1151,Raw!$A:$A,0),2,1,1,"Raw"))</f>
        <v>0</v>
      </c>
      <c r="C1151" s="20">
        <f>INDEX(Raw!$C:$C,MATCH(A1151,Raw!$A:$A,0))</f>
        <v>0</v>
      </c>
      <c r="D1151" s="21"/>
    </row>
    <row r="1152" spans="1:4" ht="11.25" customHeight="1" x14ac:dyDescent="0.25">
      <c r="A1152" s="22" t="s">
        <v>1189</v>
      </c>
      <c r="B1152" s="20">
        <f ca="1">INDIRECT(ADDRESS(MATCH(A1152,Raw!$A:$A,0),2,1,1,"Raw"))</f>
        <v>0</v>
      </c>
      <c r="C1152" s="20">
        <f>INDEX(Raw!$C:$C,MATCH(A1152,Raw!$A:$A,0))</f>
        <v>0</v>
      </c>
      <c r="D1152" s="21"/>
    </row>
    <row r="1153" spans="1:4" ht="11.25" customHeight="1" x14ac:dyDescent="0.25">
      <c r="A1153" s="22" t="s">
        <v>1190</v>
      </c>
      <c r="B1153" s="20">
        <f ca="1">INDIRECT(ADDRESS(MATCH(A1153,Raw!$A:$A,0),2,1,1,"Raw"))</f>
        <v>0</v>
      </c>
      <c r="C1153" s="20">
        <f>INDEX(Raw!$C:$C,MATCH(A1153,Raw!$A:$A,0))</f>
        <v>0</v>
      </c>
      <c r="D1153" s="21"/>
    </row>
    <row r="1154" spans="1:4" ht="11.25" customHeight="1" x14ac:dyDescent="0.25">
      <c r="A1154" s="22" t="s">
        <v>1191</v>
      </c>
      <c r="B1154" s="20">
        <f ca="1">INDIRECT(ADDRESS(MATCH(A1154,Raw!$A:$A,0),2,1,1,"Raw"))</f>
        <v>0</v>
      </c>
      <c r="C1154" s="20">
        <f>INDEX(Raw!$C:$C,MATCH(A1154,Raw!$A:$A,0))</f>
        <v>0</v>
      </c>
      <c r="D1154" s="21"/>
    </row>
    <row r="1155" spans="1:4" ht="11.25" customHeight="1" x14ac:dyDescent="0.25">
      <c r="A1155" s="22" t="s">
        <v>1192</v>
      </c>
      <c r="B1155" s="20">
        <f ca="1">INDIRECT(ADDRESS(MATCH(A1155,Raw!$A:$A,0),2,1,1,"Raw"))</f>
        <v>0</v>
      </c>
      <c r="C1155" s="20">
        <f>INDEX(Raw!$C:$C,MATCH(A1155,Raw!$A:$A,0))</f>
        <v>0</v>
      </c>
      <c r="D1155" s="21"/>
    </row>
    <row r="1156" spans="1:4" ht="11.25" customHeight="1" x14ac:dyDescent="0.25">
      <c r="A1156" s="22" t="s">
        <v>1193</v>
      </c>
      <c r="B1156" s="20">
        <f ca="1">INDIRECT(ADDRESS(MATCH(A1156,Raw!$A:$A,0),2,1,1,"Raw"))</f>
        <v>0</v>
      </c>
      <c r="C1156" s="20">
        <f>INDEX(Raw!$C:$C,MATCH(A1156,Raw!$A:$A,0))</f>
        <v>0</v>
      </c>
      <c r="D1156" s="21"/>
    </row>
    <row r="1157" spans="1:4" ht="11.25" customHeight="1" x14ac:dyDescent="0.25">
      <c r="A1157" s="22" t="s">
        <v>1194</v>
      </c>
      <c r="B1157" s="20">
        <f ca="1">INDIRECT(ADDRESS(MATCH(A1157,Raw!$A:$A,0),2,1,1,"Raw"))</f>
        <v>0</v>
      </c>
      <c r="C1157" s="20">
        <f>INDEX(Raw!$C:$C,MATCH(A1157,Raw!$A:$A,0))</f>
        <v>0</v>
      </c>
      <c r="D1157" s="21"/>
    </row>
    <row r="1158" spans="1:4" ht="11.25" customHeight="1" x14ac:dyDescent="0.25">
      <c r="A1158" s="22" t="s">
        <v>1195</v>
      </c>
      <c r="B1158" s="20">
        <f ca="1">INDIRECT(ADDRESS(MATCH(A1158,Raw!$A:$A,0),2,1,1,"Raw"))</f>
        <v>0</v>
      </c>
      <c r="C1158" s="20">
        <f>INDEX(Raw!$C:$C,MATCH(A1158,Raw!$A:$A,0))</f>
        <v>0</v>
      </c>
      <c r="D1158" s="21"/>
    </row>
    <row r="1159" spans="1:4" ht="11.25" customHeight="1" x14ac:dyDescent="0.25">
      <c r="A1159" s="22" t="s">
        <v>1196</v>
      </c>
      <c r="B1159" s="20">
        <f ca="1">INDIRECT(ADDRESS(MATCH(A1159,Raw!$A:$A,0),2,1,1,"Raw"))</f>
        <v>0</v>
      </c>
      <c r="C1159" s="20">
        <f>INDEX(Raw!$C:$C,MATCH(A1159,Raw!$A:$A,0))</f>
        <v>0</v>
      </c>
      <c r="D1159" s="21"/>
    </row>
    <row r="1160" spans="1:4" ht="11.25" customHeight="1" x14ac:dyDescent="0.25">
      <c r="A1160" s="22" t="s">
        <v>1197</v>
      </c>
      <c r="B1160" s="20">
        <f ca="1">INDIRECT(ADDRESS(MATCH(A1160,Raw!$A:$A,0),2,1,1,"Raw"))</f>
        <v>0</v>
      </c>
      <c r="C1160" s="20">
        <f>INDEX(Raw!$C:$C,MATCH(A1160,Raw!$A:$A,0))</f>
        <v>0</v>
      </c>
      <c r="D1160" s="21"/>
    </row>
    <row r="1161" spans="1:4" ht="11.25" customHeight="1" x14ac:dyDescent="0.25">
      <c r="A1161" s="22" t="s">
        <v>1198</v>
      </c>
      <c r="B1161" s="20">
        <f ca="1">INDIRECT(ADDRESS(MATCH(A1161,Raw!$A:$A,0),2,1,1,"Raw"))</f>
        <v>0</v>
      </c>
      <c r="C1161" s="20">
        <f>INDEX(Raw!$C:$C,MATCH(A1161,Raw!$A:$A,0))</f>
        <v>0</v>
      </c>
      <c r="D1161" s="21"/>
    </row>
    <row r="1162" spans="1:4" ht="11.25" customHeight="1" x14ac:dyDescent="0.25">
      <c r="A1162" s="22" t="s">
        <v>1199</v>
      </c>
      <c r="B1162" s="20">
        <f ca="1">INDIRECT(ADDRESS(MATCH(A1162,Raw!$A:$A,0),2,1,1,"Raw"))</f>
        <v>0</v>
      </c>
      <c r="C1162" s="20">
        <f>INDEX(Raw!$C:$C,MATCH(A1162,Raw!$A:$A,0))</f>
        <v>0</v>
      </c>
      <c r="D1162" s="21"/>
    </row>
    <row r="1163" spans="1:4" ht="11.25" customHeight="1" x14ac:dyDescent="0.25">
      <c r="A1163" s="22" t="s">
        <v>1200</v>
      </c>
      <c r="B1163" s="20">
        <f ca="1">INDIRECT(ADDRESS(MATCH(A1163,Raw!$A:$A,0),2,1,1,"Raw"))</f>
        <v>0</v>
      </c>
      <c r="C1163" s="20">
        <f>INDEX(Raw!$C:$C,MATCH(A1163,Raw!$A:$A,0))</f>
        <v>0</v>
      </c>
      <c r="D1163" s="21"/>
    </row>
    <row r="1164" spans="1:4" ht="11.25" customHeight="1" x14ac:dyDescent="0.25">
      <c r="A1164" s="22" t="s">
        <v>1201</v>
      </c>
      <c r="B1164" s="20">
        <f ca="1">INDIRECT(ADDRESS(MATCH(A1164,Raw!$A:$A,0),2,1,1,"Raw"))</f>
        <v>0</v>
      </c>
      <c r="C1164" s="20">
        <f>INDEX(Raw!$C:$C,MATCH(A1164,Raw!$A:$A,0))</f>
        <v>0</v>
      </c>
      <c r="D1164" s="21"/>
    </row>
    <row r="1165" spans="1:4" ht="11.25" customHeight="1" x14ac:dyDescent="0.25">
      <c r="A1165" s="22" t="s">
        <v>1202</v>
      </c>
      <c r="B1165" s="20">
        <f ca="1">INDIRECT(ADDRESS(MATCH(A1165,Raw!$A:$A,0),2,1,1,"Raw"))</f>
        <v>0</v>
      </c>
      <c r="C1165" s="20">
        <f>INDEX(Raw!$C:$C,MATCH(A1165,Raw!$A:$A,0))</f>
        <v>0</v>
      </c>
      <c r="D1165" s="21"/>
    </row>
    <row r="1166" spans="1:4" ht="11.25" customHeight="1" x14ac:dyDescent="0.25">
      <c r="A1166" s="22" t="s">
        <v>1203</v>
      </c>
      <c r="B1166" s="20">
        <f ca="1">INDIRECT(ADDRESS(MATCH(A1166,Raw!$A:$A,0),2,1,1,"Raw"))</f>
        <v>0</v>
      </c>
      <c r="C1166" s="20">
        <f>INDEX(Raw!$C:$C,MATCH(A1166,Raw!$A:$A,0))</f>
        <v>0</v>
      </c>
      <c r="D1166" s="21"/>
    </row>
    <row r="1167" spans="1:4" ht="11.25" customHeight="1" x14ac:dyDescent="0.25">
      <c r="A1167" s="22" t="s">
        <v>1204</v>
      </c>
      <c r="B1167" s="20">
        <f ca="1">INDIRECT(ADDRESS(MATCH(A1167,Raw!$A:$A,0),2,1,1,"Raw"))</f>
        <v>0</v>
      </c>
      <c r="C1167" s="20">
        <f>INDEX(Raw!$C:$C,MATCH(A1167,Raw!$A:$A,0))</f>
        <v>0</v>
      </c>
      <c r="D1167" s="21"/>
    </row>
    <row r="1168" spans="1:4" ht="11.25" customHeight="1" x14ac:dyDescent="0.25">
      <c r="A1168" s="22" t="s">
        <v>1205</v>
      </c>
      <c r="B1168" s="20">
        <f ca="1">INDIRECT(ADDRESS(MATCH(A1168,Raw!$A:$A,0),2,1,1,"Raw"))</f>
        <v>0</v>
      </c>
      <c r="C1168" s="20">
        <f>INDEX(Raw!$C:$C,MATCH(A1168,Raw!$A:$A,0))</f>
        <v>0</v>
      </c>
      <c r="D1168" s="21"/>
    </row>
    <row r="1169" spans="1:4" ht="11.25" customHeight="1" x14ac:dyDescent="0.25">
      <c r="A1169" s="22" t="s">
        <v>1206</v>
      </c>
      <c r="B1169" s="20">
        <f ca="1">INDIRECT(ADDRESS(MATCH(A1169,Raw!$A:$A,0),2,1,1,"Raw"))</f>
        <v>0</v>
      </c>
      <c r="C1169" s="20">
        <f>INDEX(Raw!$C:$C,MATCH(A1169,Raw!$A:$A,0))</f>
        <v>0</v>
      </c>
      <c r="D1169" s="21"/>
    </row>
    <row r="1170" spans="1:4" ht="11.25" customHeight="1" x14ac:dyDescent="0.25">
      <c r="A1170" s="22" t="s">
        <v>1207</v>
      </c>
      <c r="B1170" s="20">
        <f ca="1">INDIRECT(ADDRESS(MATCH(A1170,Raw!$A:$A,0),2,1,1,"Raw"))</f>
        <v>0</v>
      </c>
      <c r="C1170" s="20">
        <f>INDEX(Raw!$C:$C,MATCH(A1170,Raw!$A:$A,0))</f>
        <v>0</v>
      </c>
      <c r="D1170" s="21"/>
    </row>
    <row r="1171" spans="1:4" ht="11.25" customHeight="1" x14ac:dyDescent="0.25">
      <c r="A1171" s="22" t="s">
        <v>1208</v>
      </c>
      <c r="B1171" s="20">
        <f ca="1">INDIRECT(ADDRESS(MATCH(A1171,Raw!$A:$A,0),2,1,1,"Raw"))</f>
        <v>0</v>
      </c>
      <c r="C1171" s="20">
        <f>INDEX(Raw!$C:$C,MATCH(A1171,Raw!$A:$A,0))</f>
        <v>0</v>
      </c>
      <c r="D1171" s="21"/>
    </row>
    <row r="1172" spans="1:4" ht="11.25" customHeight="1" x14ac:dyDescent="0.25">
      <c r="A1172" s="22" t="s">
        <v>1209</v>
      </c>
      <c r="B1172" s="20">
        <f ca="1">INDIRECT(ADDRESS(MATCH(A1172,Raw!$A:$A,0),2,1,1,"Raw"))</f>
        <v>0</v>
      </c>
      <c r="C1172" s="20">
        <f>INDEX(Raw!$C:$C,MATCH(A1172,Raw!$A:$A,0))</f>
        <v>0</v>
      </c>
      <c r="D1172" s="21"/>
    </row>
    <row r="1173" spans="1:4" ht="11.25" customHeight="1" x14ac:dyDescent="0.25">
      <c r="A1173" s="22" t="s">
        <v>1210</v>
      </c>
      <c r="B1173" s="20">
        <f ca="1">INDIRECT(ADDRESS(MATCH(A1173,Raw!$A:$A,0),2,1,1,"Raw"))</f>
        <v>0</v>
      </c>
      <c r="C1173" s="20">
        <f>INDEX(Raw!$C:$C,MATCH(A1173,Raw!$A:$A,0))</f>
        <v>0</v>
      </c>
      <c r="D1173" s="21"/>
    </row>
    <row r="1174" spans="1:4" ht="11.25" customHeight="1" x14ac:dyDescent="0.25">
      <c r="A1174" s="22" t="s">
        <v>1211</v>
      </c>
      <c r="B1174" s="20">
        <f ca="1">INDIRECT(ADDRESS(MATCH(A1174,Raw!$A:$A,0),2,1,1,"Raw"))</f>
        <v>0</v>
      </c>
      <c r="C1174" s="20">
        <f>INDEX(Raw!$C:$C,MATCH(A1174,Raw!$A:$A,0))</f>
        <v>0</v>
      </c>
      <c r="D1174" s="21"/>
    </row>
    <row r="1175" spans="1:4" ht="11.25" customHeight="1" x14ac:dyDescent="0.25">
      <c r="A1175" s="22" t="s">
        <v>1212</v>
      </c>
      <c r="B1175" s="20">
        <f ca="1">INDIRECT(ADDRESS(MATCH(A1175,Raw!$A:$A,0),2,1,1,"Raw"))</f>
        <v>0</v>
      </c>
      <c r="C1175" s="20">
        <f>INDEX(Raw!$C:$C,MATCH(A1175,Raw!$A:$A,0))</f>
        <v>0</v>
      </c>
      <c r="D1175" s="21"/>
    </row>
    <row r="1176" spans="1:4" ht="11.25" customHeight="1" x14ac:dyDescent="0.25">
      <c r="A1176" s="22" t="s">
        <v>1213</v>
      </c>
      <c r="B1176" s="20">
        <f ca="1">INDIRECT(ADDRESS(MATCH(A1176,Raw!$A:$A,0),2,1,1,"Raw"))</f>
        <v>0</v>
      </c>
      <c r="C1176" s="20">
        <f>INDEX(Raw!$C:$C,MATCH(A1176,Raw!$A:$A,0))</f>
        <v>0</v>
      </c>
      <c r="D1176" s="21"/>
    </row>
    <row r="1177" spans="1:4" ht="11.25" customHeight="1" x14ac:dyDescent="0.25">
      <c r="A1177" s="22" t="s">
        <v>1214</v>
      </c>
      <c r="B1177" s="20">
        <f ca="1">INDIRECT(ADDRESS(MATCH(A1177,Raw!$A:$A,0),2,1,1,"Raw"))</f>
        <v>0</v>
      </c>
      <c r="C1177" s="20">
        <f>INDEX(Raw!$C:$C,MATCH(A1177,Raw!$A:$A,0))</f>
        <v>0</v>
      </c>
      <c r="D1177" s="21"/>
    </row>
    <row r="1178" spans="1:4" ht="11.25" customHeight="1" x14ac:dyDescent="0.25">
      <c r="A1178" s="22" t="s">
        <v>1215</v>
      </c>
      <c r="B1178" s="20">
        <f ca="1">INDIRECT(ADDRESS(MATCH(A1178,Raw!$A:$A,0),2,1,1,"Raw"))</f>
        <v>0</v>
      </c>
      <c r="C1178" s="20">
        <f>INDEX(Raw!$C:$C,MATCH(A1178,Raw!$A:$A,0))</f>
        <v>0</v>
      </c>
      <c r="D1178" s="21"/>
    </row>
    <row r="1179" spans="1:4" ht="11.25" customHeight="1" x14ac:dyDescent="0.25">
      <c r="A1179" s="22" t="s">
        <v>1216</v>
      </c>
      <c r="B1179" s="20">
        <f ca="1">INDIRECT(ADDRESS(MATCH(A1179,Raw!$A:$A,0),2,1,1,"Raw"))</f>
        <v>0</v>
      </c>
      <c r="C1179" s="20">
        <f>INDEX(Raw!$C:$C,MATCH(A1179,Raw!$A:$A,0))</f>
        <v>0</v>
      </c>
      <c r="D1179" s="21"/>
    </row>
    <row r="1180" spans="1:4" ht="11.25" customHeight="1" x14ac:dyDescent="0.25">
      <c r="A1180" s="22" t="s">
        <v>1217</v>
      </c>
      <c r="B1180" s="20">
        <f ca="1">INDIRECT(ADDRESS(MATCH(A1180,Raw!$A:$A,0),2,1,1,"Raw"))</f>
        <v>0</v>
      </c>
      <c r="C1180" s="20">
        <f>INDEX(Raw!$C:$C,MATCH(A1180,Raw!$A:$A,0))</f>
        <v>0</v>
      </c>
      <c r="D1180" s="21"/>
    </row>
    <row r="1181" spans="1:4" ht="11.25" customHeight="1" x14ac:dyDescent="0.25">
      <c r="A1181" s="22" t="s">
        <v>1218</v>
      </c>
      <c r="B1181" s="20">
        <f ca="1">INDIRECT(ADDRESS(MATCH(A1181,Raw!$A:$A,0),2,1,1,"Raw"))</f>
        <v>0</v>
      </c>
      <c r="C1181" s="20">
        <f>INDEX(Raw!$C:$C,MATCH(A1181,Raw!$A:$A,0))</f>
        <v>0</v>
      </c>
      <c r="D1181" s="21"/>
    </row>
    <row r="1182" spans="1:4" ht="11.25" customHeight="1" x14ac:dyDescent="0.25">
      <c r="A1182" s="22" t="s">
        <v>1219</v>
      </c>
      <c r="B1182" s="20">
        <f ca="1">INDIRECT(ADDRESS(MATCH(A1182,Raw!$A:$A,0),2,1,1,"Raw"))</f>
        <v>0</v>
      </c>
      <c r="C1182" s="20">
        <f>INDEX(Raw!$C:$C,MATCH(A1182,Raw!$A:$A,0))</f>
        <v>0</v>
      </c>
      <c r="D1182" s="21"/>
    </row>
    <row r="1183" spans="1:4" ht="11.25" customHeight="1" x14ac:dyDescent="0.25">
      <c r="A1183" s="22" t="s">
        <v>1220</v>
      </c>
      <c r="B1183" s="20">
        <f ca="1">INDIRECT(ADDRESS(MATCH(A1183,Raw!$A:$A,0),2,1,1,"Raw"))</f>
        <v>0</v>
      </c>
      <c r="C1183" s="20">
        <f>INDEX(Raw!$C:$C,MATCH(A1183,Raw!$A:$A,0))</f>
        <v>0</v>
      </c>
      <c r="D1183" s="21"/>
    </row>
    <row r="1184" spans="1:4" ht="11.25" customHeight="1" x14ac:dyDescent="0.25">
      <c r="A1184" s="22" t="s">
        <v>1221</v>
      </c>
      <c r="B1184" s="20">
        <f ca="1">INDIRECT(ADDRESS(MATCH(A1184,Raw!$A:$A,0),2,1,1,"Raw"))</f>
        <v>0</v>
      </c>
      <c r="C1184" s="20">
        <f>INDEX(Raw!$C:$C,MATCH(A1184,Raw!$A:$A,0))</f>
        <v>0</v>
      </c>
      <c r="D1184" s="21"/>
    </row>
    <row r="1185" spans="1:4" ht="11.25" customHeight="1" x14ac:dyDescent="0.25">
      <c r="A1185" s="22" t="s">
        <v>1222</v>
      </c>
      <c r="B1185" s="20">
        <f ca="1">INDIRECT(ADDRESS(MATCH(A1185,Raw!$A:$A,0),2,1,1,"Raw"))</f>
        <v>0</v>
      </c>
      <c r="C1185" s="20">
        <f>INDEX(Raw!$C:$C,MATCH(A1185,Raw!$A:$A,0))</f>
        <v>0</v>
      </c>
      <c r="D1185" s="21"/>
    </row>
    <row r="1186" spans="1:4" ht="11.25" customHeight="1" x14ac:dyDescent="0.25">
      <c r="A1186" s="22" t="s">
        <v>1223</v>
      </c>
      <c r="B1186" s="20">
        <f ca="1">INDIRECT(ADDRESS(MATCH(A1186,Raw!$A:$A,0),2,1,1,"Raw"))</f>
        <v>0</v>
      </c>
      <c r="C1186" s="20">
        <f>INDEX(Raw!$C:$C,MATCH(A1186,Raw!$A:$A,0))</f>
        <v>0</v>
      </c>
      <c r="D1186" s="21"/>
    </row>
    <row r="1187" spans="1:4" ht="11.25" customHeight="1" x14ac:dyDescent="0.25">
      <c r="A1187" s="22" t="s">
        <v>1224</v>
      </c>
      <c r="B1187" s="20">
        <f ca="1">INDIRECT(ADDRESS(MATCH(A1187,Raw!$A:$A,0),2,1,1,"Raw"))</f>
        <v>0</v>
      </c>
      <c r="C1187" s="20">
        <f>INDEX(Raw!$C:$C,MATCH(A1187,Raw!$A:$A,0))</f>
        <v>0</v>
      </c>
      <c r="D1187" s="21"/>
    </row>
    <row r="1188" spans="1:4" ht="11.25" customHeight="1" x14ac:dyDescent="0.25">
      <c r="A1188" s="22" t="s">
        <v>1225</v>
      </c>
      <c r="B1188" s="20">
        <f ca="1">INDIRECT(ADDRESS(MATCH(A1188,Raw!$A:$A,0),2,1,1,"Raw"))</f>
        <v>0</v>
      </c>
      <c r="C1188" s="20">
        <f>INDEX(Raw!$C:$C,MATCH(A1188,Raw!$A:$A,0))</f>
        <v>0</v>
      </c>
      <c r="D1188" s="21"/>
    </row>
    <row r="1189" spans="1:4" ht="11.25" customHeight="1" x14ac:dyDescent="0.25">
      <c r="A1189" s="22" t="s">
        <v>1226</v>
      </c>
      <c r="B1189" s="20">
        <f ca="1">INDIRECT(ADDRESS(MATCH(A1189,Raw!$A:$A,0),2,1,1,"Raw"))</f>
        <v>0</v>
      </c>
      <c r="C1189" s="20">
        <f>INDEX(Raw!$C:$C,MATCH(A1189,Raw!$A:$A,0))</f>
        <v>0</v>
      </c>
      <c r="D1189" s="21"/>
    </row>
    <row r="1190" spans="1:4" ht="11.25" customHeight="1" x14ac:dyDescent="0.25">
      <c r="A1190" s="22" t="s">
        <v>1227</v>
      </c>
      <c r="B1190" s="20">
        <f ca="1">INDIRECT(ADDRESS(MATCH(A1190,Raw!$A:$A,0),2,1,1,"Raw"))</f>
        <v>0</v>
      </c>
      <c r="C1190" s="20">
        <f>INDEX(Raw!$C:$C,MATCH(A1190,Raw!$A:$A,0))</f>
        <v>0</v>
      </c>
      <c r="D1190" s="21"/>
    </row>
    <row r="1191" spans="1:4" ht="11.25" customHeight="1" x14ac:dyDescent="0.25">
      <c r="A1191" s="22" t="s">
        <v>1228</v>
      </c>
      <c r="B1191" s="20">
        <f ca="1">INDIRECT(ADDRESS(MATCH(A1191,Raw!$A:$A,0),2,1,1,"Raw"))</f>
        <v>0</v>
      </c>
      <c r="C1191" s="20">
        <f>INDEX(Raw!$C:$C,MATCH(A1191,Raw!$A:$A,0))</f>
        <v>0</v>
      </c>
      <c r="D1191" s="21"/>
    </row>
    <row r="1192" spans="1:4" ht="11.25" customHeight="1" x14ac:dyDescent="0.25">
      <c r="A1192" s="22" t="s">
        <v>1229</v>
      </c>
      <c r="B1192" s="20">
        <f ca="1">INDIRECT(ADDRESS(MATCH(A1192,Raw!$A:$A,0),2,1,1,"Raw"))</f>
        <v>0</v>
      </c>
      <c r="C1192" s="20">
        <f>INDEX(Raw!$C:$C,MATCH(A1192,Raw!$A:$A,0))</f>
        <v>0</v>
      </c>
      <c r="D1192" s="21"/>
    </row>
    <row r="1193" spans="1:4" ht="11.25" customHeight="1" x14ac:dyDescent="0.25">
      <c r="A1193" s="22" t="s">
        <v>1230</v>
      </c>
      <c r="B1193" s="20">
        <f ca="1">INDIRECT(ADDRESS(MATCH(A1193,Raw!$A:$A,0),2,1,1,"Raw"))</f>
        <v>0</v>
      </c>
      <c r="C1193" s="20">
        <f>INDEX(Raw!$C:$C,MATCH(A1193,Raw!$A:$A,0))</f>
        <v>0</v>
      </c>
      <c r="D1193" s="21"/>
    </row>
    <row r="1194" spans="1:4" ht="11.25" customHeight="1" x14ac:dyDescent="0.25">
      <c r="A1194" s="22" t="s">
        <v>1231</v>
      </c>
      <c r="B1194" s="20">
        <f ca="1">INDIRECT(ADDRESS(MATCH(A1194,Raw!$A:$A,0),2,1,1,"Raw"))</f>
        <v>0</v>
      </c>
      <c r="C1194" s="20">
        <f>INDEX(Raw!$C:$C,MATCH(A1194,Raw!$A:$A,0))</f>
        <v>0</v>
      </c>
      <c r="D1194" s="21"/>
    </row>
    <row r="1195" spans="1:4" ht="11.25" customHeight="1" x14ac:dyDescent="0.25">
      <c r="A1195" s="22" t="s">
        <v>1232</v>
      </c>
      <c r="B1195" s="20">
        <f ca="1">INDIRECT(ADDRESS(MATCH(A1195,Raw!$A:$A,0),2,1,1,"Raw"))</f>
        <v>0</v>
      </c>
      <c r="C1195" s="20">
        <f>INDEX(Raw!$C:$C,MATCH(A1195,Raw!$A:$A,0))</f>
        <v>0</v>
      </c>
      <c r="D1195" s="21"/>
    </row>
    <row r="1196" spans="1:4" ht="11.25" customHeight="1" x14ac:dyDescent="0.25">
      <c r="A1196" s="22" t="s">
        <v>1233</v>
      </c>
      <c r="B1196" s="20">
        <f ca="1">INDIRECT(ADDRESS(MATCH(A1196,Raw!$A:$A,0),2,1,1,"Raw"))</f>
        <v>0</v>
      </c>
      <c r="C1196" s="20">
        <f>INDEX(Raw!$C:$C,MATCH(A1196,Raw!$A:$A,0))</f>
        <v>0</v>
      </c>
      <c r="D1196" s="21"/>
    </row>
    <row r="1197" spans="1:4" ht="11.25" customHeight="1" x14ac:dyDescent="0.25">
      <c r="A1197" s="22" t="s">
        <v>1234</v>
      </c>
      <c r="B1197" s="20">
        <f ca="1">INDIRECT(ADDRESS(MATCH(A1197,Raw!$A:$A,0),2,1,1,"Raw"))</f>
        <v>0</v>
      </c>
      <c r="C1197" s="20">
        <f>INDEX(Raw!$C:$C,MATCH(A1197,Raw!$A:$A,0))</f>
        <v>0</v>
      </c>
      <c r="D1197" s="21"/>
    </row>
    <row r="1198" spans="1:4" ht="11.25" customHeight="1" x14ac:dyDescent="0.25">
      <c r="A1198" s="22" t="s">
        <v>1235</v>
      </c>
      <c r="B1198" s="20">
        <f ca="1">INDIRECT(ADDRESS(MATCH(A1198,Raw!$A:$A,0),2,1,1,"Raw"))</f>
        <v>0</v>
      </c>
      <c r="C1198" s="20">
        <f>INDEX(Raw!$C:$C,MATCH(A1198,Raw!$A:$A,0))</f>
        <v>0</v>
      </c>
      <c r="D1198" s="21"/>
    </row>
    <row r="1199" spans="1:4" ht="11.25" customHeight="1" x14ac:dyDescent="0.25">
      <c r="A1199" s="22" t="s">
        <v>1236</v>
      </c>
      <c r="B1199" s="20">
        <f ca="1">INDIRECT(ADDRESS(MATCH(A1199,Raw!$A:$A,0),2,1,1,"Raw"))</f>
        <v>0</v>
      </c>
      <c r="C1199" s="20">
        <f>INDEX(Raw!$C:$C,MATCH(A1199,Raw!$A:$A,0))</f>
        <v>0</v>
      </c>
      <c r="D1199" s="21"/>
    </row>
    <row r="1200" spans="1:4" ht="11.25" customHeight="1" x14ac:dyDescent="0.25">
      <c r="A1200" s="22" t="s">
        <v>1237</v>
      </c>
      <c r="B1200" s="20">
        <f ca="1">INDIRECT(ADDRESS(MATCH(A1200,Raw!$A:$A,0),2,1,1,"Raw"))</f>
        <v>0</v>
      </c>
      <c r="C1200" s="20">
        <f>INDEX(Raw!$C:$C,MATCH(A1200,Raw!$A:$A,0))</f>
        <v>0</v>
      </c>
      <c r="D1200" s="21"/>
    </row>
    <row r="1201" spans="1:4" ht="11.25" customHeight="1" x14ac:dyDescent="0.25">
      <c r="A1201" s="22" t="s">
        <v>1238</v>
      </c>
      <c r="B1201" s="20">
        <f ca="1">INDIRECT(ADDRESS(MATCH(A1201,Raw!$A:$A,0),2,1,1,"Raw"))</f>
        <v>0</v>
      </c>
      <c r="C1201" s="20">
        <f>INDEX(Raw!$C:$C,MATCH(A1201,Raw!$A:$A,0))</f>
        <v>0</v>
      </c>
      <c r="D1201" s="21"/>
    </row>
    <row r="1202" spans="1:4" ht="11.25" customHeight="1" x14ac:dyDescent="0.25">
      <c r="A1202" s="22" t="s">
        <v>1239</v>
      </c>
      <c r="B1202" s="20">
        <f ca="1">INDIRECT(ADDRESS(MATCH(A1202,Raw!$A:$A,0),2,1,1,"Raw"))</f>
        <v>0</v>
      </c>
      <c r="C1202" s="20">
        <f>INDEX(Raw!$C:$C,MATCH(A1202,Raw!$A:$A,0))</f>
        <v>0</v>
      </c>
      <c r="D1202" s="21"/>
    </row>
    <row r="1203" spans="1:4" ht="11.25" customHeight="1" x14ac:dyDescent="0.25">
      <c r="A1203" s="22" t="s">
        <v>1240</v>
      </c>
      <c r="B1203" s="20">
        <f ca="1">INDIRECT(ADDRESS(MATCH(A1203,Raw!$A:$A,0),2,1,1,"Raw"))</f>
        <v>0</v>
      </c>
      <c r="C1203" s="20">
        <f>INDEX(Raw!$C:$C,MATCH(A1203,Raw!$A:$A,0))</f>
        <v>0</v>
      </c>
      <c r="D1203" s="21"/>
    </row>
    <row r="1204" spans="1:4" ht="11.25" customHeight="1" x14ac:dyDescent="0.25">
      <c r="A1204" s="22" t="s">
        <v>1241</v>
      </c>
      <c r="B1204" s="20">
        <f ca="1">INDIRECT(ADDRESS(MATCH(A1204,Raw!$A:$A,0),2,1,1,"Raw"))</f>
        <v>0</v>
      </c>
      <c r="C1204" s="20">
        <f>INDEX(Raw!$C:$C,MATCH(A1204,Raw!$A:$A,0))</f>
        <v>0</v>
      </c>
      <c r="D1204" s="21"/>
    </row>
    <row r="1205" spans="1:4" ht="11.25" customHeight="1" x14ac:dyDescent="0.25">
      <c r="A1205" s="22" t="s">
        <v>1242</v>
      </c>
      <c r="B1205" s="20">
        <f ca="1">INDIRECT(ADDRESS(MATCH(A1205,Raw!$A:$A,0),2,1,1,"Raw"))</f>
        <v>0</v>
      </c>
      <c r="C1205" s="20">
        <f>INDEX(Raw!$C:$C,MATCH(A1205,Raw!$A:$A,0))</f>
        <v>0</v>
      </c>
      <c r="D1205" s="21"/>
    </row>
    <row r="1206" spans="1:4" ht="11.25" customHeight="1" x14ac:dyDescent="0.25">
      <c r="A1206" s="22" t="s">
        <v>1243</v>
      </c>
      <c r="B1206" s="20">
        <f ca="1">INDIRECT(ADDRESS(MATCH(A1206,Raw!$A:$A,0),2,1,1,"Raw"))</f>
        <v>0</v>
      </c>
      <c r="C1206" s="20">
        <f>INDEX(Raw!$C:$C,MATCH(A1206,Raw!$A:$A,0))</f>
        <v>0</v>
      </c>
      <c r="D1206" s="21"/>
    </row>
    <row r="1207" spans="1:4" ht="11.25" customHeight="1" x14ac:dyDescent="0.25">
      <c r="A1207" s="22" t="s">
        <v>1244</v>
      </c>
      <c r="B1207" s="20">
        <f ca="1">INDIRECT(ADDRESS(MATCH(A1207,Raw!$A:$A,0),2,1,1,"Raw"))</f>
        <v>0</v>
      </c>
      <c r="C1207" s="20">
        <f>INDEX(Raw!$C:$C,MATCH(A1207,Raw!$A:$A,0))</f>
        <v>0</v>
      </c>
      <c r="D1207" s="21"/>
    </row>
    <row r="1208" spans="1:4" ht="11.25" customHeight="1" x14ac:dyDescent="0.25">
      <c r="A1208" s="22" t="s">
        <v>1245</v>
      </c>
      <c r="B1208" s="20">
        <f ca="1">INDIRECT(ADDRESS(MATCH(A1208,Raw!$A:$A,0),2,1,1,"Raw"))</f>
        <v>0</v>
      </c>
      <c r="C1208" s="20">
        <f>INDEX(Raw!$C:$C,MATCH(A1208,Raw!$A:$A,0))</f>
        <v>0</v>
      </c>
      <c r="D1208" s="21"/>
    </row>
    <row r="1209" spans="1:4" ht="11.25" customHeight="1" x14ac:dyDescent="0.25">
      <c r="A1209" s="22" t="s">
        <v>1246</v>
      </c>
      <c r="B1209" s="20">
        <f ca="1">INDIRECT(ADDRESS(MATCH(A1209,Raw!$A:$A,0),2,1,1,"Raw"))</f>
        <v>0</v>
      </c>
      <c r="C1209" s="20">
        <f>INDEX(Raw!$C:$C,MATCH(A1209,Raw!$A:$A,0))</f>
        <v>0</v>
      </c>
      <c r="D1209" s="21"/>
    </row>
    <row r="1210" spans="1:4" ht="11.25" customHeight="1" x14ac:dyDescent="0.25">
      <c r="A1210" s="22" t="s">
        <v>1247</v>
      </c>
      <c r="B1210" s="20">
        <f ca="1">INDIRECT(ADDRESS(MATCH(A1210,Raw!$A:$A,0),2,1,1,"Raw"))</f>
        <v>0</v>
      </c>
      <c r="C1210" s="20">
        <f>INDEX(Raw!$C:$C,MATCH(A1210,Raw!$A:$A,0))</f>
        <v>0</v>
      </c>
      <c r="D1210" s="21"/>
    </row>
    <row r="1211" spans="1:4" ht="11.25" customHeight="1" x14ac:dyDescent="0.25">
      <c r="A1211" s="22" t="s">
        <v>1248</v>
      </c>
      <c r="B1211" s="20">
        <f ca="1">INDIRECT(ADDRESS(MATCH(A1211,Raw!$A:$A,0),2,1,1,"Raw"))</f>
        <v>0</v>
      </c>
      <c r="C1211" s="20">
        <f>INDEX(Raw!$C:$C,MATCH(A1211,Raw!$A:$A,0))</f>
        <v>0</v>
      </c>
      <c r="D1211" s="21"/>
    </row>
    <row r="1212" spans="1:4" ht="11.25" customHeight="1" x14ac:dyDescent="0.25">
      <c r="A1212" s="22" t="s">
        <v>1249</v>
      </c>
      <c r="B1212" s="20">
        <f ca="1">INDIRECT(ADDRESS(MATCH(A1212,Raw!$A:$A,0),2,1,1,"Raw"))</f>
        <v>0</v>
      </c>
      <c r="C1212" s="20">
        <f>INDEX(Raw!$C:$C,MATCH(A1212,Raw!$A:$A,0))</f>
        <v>0</v>
      </c>
      <c r="D1212" s="21"/>
    </row>
    <row r="1213" spans="1:4" ht="11.25" customHeight="1" x14ac:dyDescent="0.25">
      <c r="A1213" s="22" t="s">
        <v>1250</v>
      </c>
      <c r="B1213" s="20">
        <f ca="1">INDIRECT(ADDRESS(MATCH(A1213,Raw!$A:$A,0),2,1,1,"Raw"))</f>
        <v>0</v>
      </c>
      <c r="C1213" s="20">
        <f>INDEX(Raw!$C:$C,MATCH(A1213,Raw!$A:$A,0))</f>
        <v>0</v>
      </c>
      <c r="D1213" s="21"/>
    </row>
    <row r="1214" spans="1:4" ht="11.25" customHeight="1" x14ac:dyDescent="0.25">
      <c r="A1214" s="22" t="s">
        <v>1251</v>
      </c>
      <c r="B1214" s="20">
        <f ca="1">INDIRECT(ADDRESS(MATCH(A1214,Raw!$A:$A,0),2,1,1,"Raw"))</f>
        <v>0</v>
      </c>
      <c r="C1214" s="20">
        <f>INDEX(Raw!$C:$C,MATCH(A1214,Raw!$A:$A,0))</f>
        <v>0</v>
      </c>
      <c r="D1214" s="21"/>
    </row>
    <row r="1215" spans="1:4" ht="11.25" customHeight="1" x14ac:dyDescent="0.25">
      <c r="A1215" s="22" t="s">
        <v>1252</v>
      </c>
      <c r="B1215" s="20">
        <f ca="1">INDIRECT(ADDRESS(MATCH(A1215,Raw!$A:$A,0),2,1,1,"Raw"))</f>
        <v>0</v>
      </c>
      <c r="C1215" s="20">
        <f>INDEX(Raw!$C:$C,MATCH(A1215,Raw!$A:$A,0))</f>
        <v>0</v>
      </c>
      <c r="D1215" s="21"/>
    </row>
    <row r="1216" spans="1:4" ht="11.25" customHeight="1" x14ac:dyDescent="0.25">
      <c r="A1216" s="22" t="s">
        <v>1253</v>
      </c>
      <c r="B1216" s="20">
        <f ca="1">INDIRECT(ADDRESS(MATCH(A1216,Raw!$A:$A,0),2,1,1,"Raw"))</f>
        <v>0</v>
      </c>
      <c r="C1216" s="20">
        <f>INDEX(Raw!$C:$C,MATCH(A1216,Raw!$A:$A,0))</f>
        <v>0</v>
      </c>
      <c r="D1216" s="21"/>
    </row>
    <row r="1217" spans="1:4" ht="11.25" customHeight="1" x14ac:dyDescent="0.25">
      <c r="A1217" s="22" t="s">
        <v>1254</v>
      </c>
      <c r="B1217" s="20">
        <f ca="1">INDIRECT(ADDRESS(MATCH(A1217,Raw!$A:$A,0),2,1,1,"Raw"))</f>
        <v>0</v>
      </c>
      <c r="C1217" s="20">
        <f>INDEX(Raw!$C:$C,MATCH(A1217,Raw!$A:$A,0))</f>
        <v>0</v>
      </c>
      <c r="D1217" s="21"/>
    </row>
    <row r="1218" spans="1:4" ht="11.25" customHeight="1" x14ac:dyDescent="0.25">
      <c r="A1218" s="22" t="s">
        <v>1255</v>
      </c>
      <c r="B1218" s="20">
        <f ca="1">INDIRECT(ADDRESS(MATCH(A1218,Raw!$A:$A,0),2,1,1,"Raw"))</f>
        <v>0</v>
      </c>
      <c r="C1218" s="20">
        <f>INDEX(Raw!$C:$C,MATCH(A1218,Raw!$A:$A,0))</f>
        <v>0</v>
      </c>
      <c r="D1218" s="21"/>
    </row>
    <row r="1219" spans="1:4" ht="11.25" customHeight="1" x14ac:dyDescent="0.25">
      <c r="A1219" s="22" t="s">
        <v>1256</v>
      </c>
      <c r="B1219" s="20">
        <f ca="1">INDIRECT(ADDRESS(MATCH(A1219,Raw!$A:$A,0),2,1,1,"Raw"))</f>
        <v>0</v>
      </c>
      <c r="C1219" s="20">
        <f>INDEX(Raw!$C:$C,MATCH(A1219,Raw!$A:$A,0))</f>
        <v>0</v>
      </c>
      <c r="D1219" s="21"/>
    </row>
    <row r="1220" spans="1:4" ht="11.25" customHeight="1" x14ac:dyDescent="0.25">
      <c r="A1220" s="22" t="s">
        <v>1257</v>
      </c>
      <c r="B1220" s="20">
        <f ca="1">INDIRECT(ADDRESS(MATCH(A1220,Raw!$A:$A,0),2,1,1,"Raw"))</f>
        <v>0</v>
      </c>
      <c r="C1220" s="20">
        <f>INDEX(Raw!$C:$C,MATCH(A1220,Raw!$A:$A,0))</f>
        <v>0</v>
      </c>
      <c r="D1220" s="21"/>
    </row>
    <row r="1221" spans="1:4" ht="11.25" customHeight="1" x14ac:dyDescent="0.25">
      <c r="A1221" s="22" t="s">
        <v>1258</v>
      </c>
      <c r="B1221" s="20">
        <f ca="1">INDIRECT(ADDRESS(MATCH(A1221,Raw!$A:$A,0),2,1,1,"Raw"))</f>
        <v>0</v>
      </c>
      <c r="C1221" s="20">
        <f>INDEX(Raw!$C:$C,MATCH(A1221,Raw!$A:$A,0))</f>
        <v>0</v>
      </c>
      <c r="D1221" s="21"/>
    </row>
    <row r="1222" spans="1:4" ht="11.25" customHeight="1" x14ac:dyDescent="0.25">
      <c r="A1222" s="22" t="s">
        <v>1259</v>
      </c>
      <c r="B1222" s="20">
        <f ca="1">INDIRECT(ADDRESS(MATCH(A1222,Raw!$A:$A,0),2,1,1,"Raw"))</f>
        <v>0</v>
      </c>
      <c r="C1222" s="20">
        <f>INDEX(Raw!$C:$C,MATCH(A1222,Raw!$A:$A,0))</f>
        <v>0</v>
      </c>
      <c r="D1222" s="21"/>
    </row>
    <row r="1223" spans="1:4" ht="11.25" customHeight="1" x14ac:dyDescent="0.25">
      <c r="A1223" s="22" t="s">
        <v>1260</v>
      </c>
      <c r="B1223" s="20">
        <f ca="1">INDIRECT(ADDRESS(MATCH(A1223,Raw!$A:$A,0),2,1,1,"Raw"))</f>
        <v>0</v>
      </c>
      <c r="C1223" s="20">
        <f>INDEX(Raw!$C:$C,MATCH(A1223,Raw!$A:$A,0))</f>
        <v>0</v>
      </c>
      <c r="D1223" s="21"/>
    </row>
    <row r="1224" spans="1:4" ht="11.25" customHeight="1" x14ac:dyDescent="0.25">
      <c r="A1224" s="22" t="s">
        <v>1261</v>
      </c>
      <c r="B1224" s="20">
        <f ca="1">INDIRECT(ADDRESS(MATCH(A1224,Raw!$A:$A,0),2,1,1,"Raw"))</f>
        <v>0</v>
      </c>
      <c r="C1224" s="20">
        <f>INDEX(Raw!$C:$C,MATCH(A1224,Raw!$A:$A,0))</f>
        <v>0</v>
      </c>
      <c r="D1224" s="21"/>
    </row>
    <row r="1225" spans="1:4" ht="11.25" customHeight="1" x14ac:dyDescent="0.25">
      <c r="A1225" s="22" t="s">
        <v>1262</v>
      </c>
      <c r="B1225" s="20">
        <f ca="1">INDIRECT(ADDRESS(MATCH(A1225,Raw!$A:$A,0),2,1,1,"Raw"))</f>
        <v>0</v>
      </c>
      <c r="C1225" s="20">
        <f>INDEX(Raw!$C:$C,MATCH(A1225,Raw!$A:$A,0))</f>
        <v>0</v>
      </c>
      <c r="D1225" s="21"/>
    </row>
    <row r="1226" spans="1:4" ht="11.25" customHeight="1" x14ac:dyDescent="0.25">
      <c r="A1226" s="22" t="s">
        <v>1263</v>
      </c>
      <c r="B1226" s="20">
        <f ca="1">INDIRECT(ADDRESS(MATCH(A1226,Raw!$A:$A,0),2,1,1,"Raw"))</f>
        <v>0</v>
      </c>
      <c r="C1226" s="20">
        <f>INDEX(Raw!$C:$C,MATCH(A1226,Raw!$A:$A,0))</f>
        <v>0</v>
      </c>
      <c r="D1226" s="21"/>
    </row>
    <row r="1227" spans="1:4" ht="11.25" customHeight="1" x14ac:dyDescent="0.25">
      <c r="A1227" s="22" t="s">
        <v>1264</v>
      </c>
      <c r="B1227" s="20">
        <f ca="1">INDIRECT(ADDRESS(MATCH(A1227,Raw!$A:$A,0),2,1,1,"Raw"))</f>
        <v>0</v>
      </c>
      <c r="C1227" s="20">
        <f>INDEX(Raw!$C:$C,MATCH(A1227,Raw!$A:$A,0))</f>
        <v>0</v>
      </c>
      <c r="D1227" s="21"/>
    </row>
    <row r="1228" spans="1:4" ht="11.25" customHeight="1" x14ac:dyDescent="0.25">
      <c r="A1228" s="22" t="s">
        <v>1265</v>
      </c>
      <c r="B1228" s="20">
        <f ca="1">INDIRECT(ADDRESS(MATCH(A1228,Raw!$A:$A,0),2,1,1,"Raw"))</f>
        <v>0</v>
      </c>
      <c r="C1228" s="20">
        <f>INDEX(Raw!$C:$C,MATCH(A1228,Raw!$A:$A,0))</f>
        <v>0</v>
      </c>
      <c r="D1228" s="21"/>
    </row>
    <row r="1229" spans="1:4" ht="11.25" customHeight="1" x14ac:dyDescent="0.25">
      <c r="A1229" s="22" t="s">
        <v>1266</v>
      </c>
      <c r="B1229" s="20">
        <f ca="1">INDIRECT(ADDRESS(MATCH(A1229,Raw!$A:$A,0),2,1,1,"Raw"))</f>
        <v>0</v>
      </c>
      <c r="C1229" s="20">
        <f>INDEX(Raw!$C:$C,MATCH(A1229,Raw!$A:$A,0))</f>
        <v>0</v>
      </c>
      <c r="D1229" s="21"/>
    </row>
    <row r="1230" spans="1:4" ht="11.25" customHeight="1" x14ac:dyDescent="0.25">
      <c r="A1230" s="22" t="s">
        <v>1267</v>
      </c>
      <c r="B1230" s="20">
        <f ca="1">INDIRECT(ADDRESS(MATCH(A1230,Raw!$A:$A,0),2,1,1,"Raw"))</f>
        <v>0</v>
      </c>
      <c r="C1230" s="20">
        <f>INDEX(Raw!$C:$C,MATCH(A1230,Raw!$A:$A,0))</f>
        <v>0</v>
      </c>
      <c r="D1230" s="21"/>
    </row>
    <row r="1231" spans="1:4" ht="11.25" customHeight="1" x14ac:dyDescent="0.25">
      <c r="A1231" s="22" t="s">
        <v>1268</v>
      </c>
      <c r="B1231" s="20">
        <f ca="1">INDIRECT(ADDRESS(MATCH(A1231,Raw!$A:$A,0),2,1,1,"Raw"))</f>
        <v>0</v>
      </c>
      <c r="C1231" s="20">
        <f>INDEX(Raw!$C:$C,MATCH(A1231,Raw!$A:$A,0))</f>
        <v>0</v>
      </c>
      <c r="D1231" s="21"/>
    </row>
    <row r="1232" spans="1:4" ht="11.25" customHeight="1" x14ac:dyDescent="0.25">
      <c r="A1232" s="22" t="s">
        <v>1269</v>
      </c>
      <c r="B1232" s="20">
        <f ca="1">INDIRECT(ADDRESS(MATCH(A1232,Raw!$A:$A,0),2,1,1,"Raw"))</f>
        <v>0</v>
      </c>
      <c r="C1232" s="20">
        <f>INDEX(Raw!$C:$C,MATCH(A1232,Raw!$A:$A,0))</f>
        <v>0</v>
      </c>
      <c r="D1232" s="21"/>
    </row>
    <row r="1233" spans="1:4" ht="11.25" customHeight="1" x14ac:dyDescent="0.25">
      <c r="A1233" s="22" t="s">
        <v>1270</v>
      </c>
      <c r="B1233" s="20">
        <f ca="1">INDIRECT(ADDRESS(MATCH(A1233,Raw!$A:$A,0),2,1,1,"Raw"))</f>
        <v>0</v>
      </c>
      <c r="C1233" s="20">
        <f>INDEX(Raw!$C:$C,MATCH(A1233,Raw!$A:$A,0))</f>
        <v>0</v>
      </c>
      <c r="D1233" s="21"/>
    </row>
    <row r="1234" spans="1:4" ht="11.25" customHeight="1" x14ac:dyDescent="0.25">
      <c r="A1234" s="22" t="s">
        <v>1271</v>
      </c>
      <c r="B1234" s="20">
        <f ca="1">INDIRECT(ADDRESS(MATCH(A1234,Raw!$A:$A,0),2,1,1,"Raw"))</f>
        <v>0</v>
      </c>
      <c r="C1234" s="20">
        <f>INDEX(Raw!$C:$C,MATCH(A1234,Raw!$A:$A,0))</f>
        <v>0</v>
      </c>
      <c r="D1234" s="21"/>
    </row>
    <row r="1235" spans="1:4" ht="11.25" customHeight="1" x14ac:dyDescent="0.25">
      <c r="A1235" s="22" t="s">
        <v>1272</v>
      </c>
      <c r="B1235" s="20">
        <f ca="1">INDIRECT(ADDRESS(MATCH(A1235,Raw!$A:$A,0),2,1,1,"Raw"))</f>
        <v>0</v>
      </c>
      <c r="C1235" s="20">
        <f>INDEX(Raw!$C:$C,MATCH(A1235,Raw!$A:$A,0))</f>
        <v>0</v>
      </c>
      <c r="D1235" s="21"/>
    </row>
    <row r="1236" spans="1:4" ht="11.25" customHeight="1" x14ac:dyDescent="0.25">
      <c r="A1236" s="22" t="s">
        <v>1273</v>
      </c>
      <c r="B1236" s="20">
        <f ca="1">INDIRECT(ADDRESS(MATCH(A1236,Raw!$A:$A,0),2,1,1,"Raw"))</f>
        <v>0</v>
      </c>
      <c r="C1236" s="20">
        <f>INDEX(Raw!$C:$C,MATCH(A1236,Raw!$A:$A,0))</f>
        <v>0</v>
      </c>
      <c r="D1236" s="21"/>
    </row>
    <row r="1237" spans="1:4" ht="11.25" customHeight="1" x14ac:dyDescent="0.25">
      <c r="A1237" s="22" t="s">
        <v>1274</v>
      </c>
      <c r="B1237" s="20">
        <f ca="1">INDIRECT(ADDRESS(MATCH(A1237,Raw!$A:$A,0),2,1,1,"Raw"))</f>
        <v>0</v>
      </c>
      <c r="C1237" s="20">
        <f>INDEX(Raw!$C:$C,MATCH(A1237,Raw!$A:$A,0))</f>
        <v>0</v>
      </c>
      <c r="D1237" s="21"/>
    </row>
    <row r="1238" spans="1:4" ht="11.25" customHeight="1" x14ac:dyDescent="0.25">
      <c r="A1238" s="22" t="s">
        <v>1275</v>
      </c>
      <c r="B1238" s="20">
        <f ca="1">INDIRECT(ADDRESS(MATCH(A1238,Raw!$A:$A,0),2,1,1,"Raw"))</f>
        <v>0</v>
      </c>
      <c r="C1238" s="20">
        <f>INDEX(Raw!$C:$C,MATCH(A1238,Raw!$A:$A,0))</f>
        <v>0</v>
      </c>
      <c r="D1238" s="21"/>
    </row>
    <row r="1239" spans="1:4" ht="11.25" customHeight="1" x14ac:dyDescent="0.25">
      <c r="A1239" s="22" t="s">
        <v>1276</v>
      </c>
      <c r="B1239" s="20">
        <f ca="1">INDIRECT(ADDRESS(MATCH(A1239,Raw!$A:$A,0),2,1,1,"Raw"))</f>
        <v>0</v>
      </c>
      <c r="C1239" s="20">
        <f>INDEX(Raw!$C:$C,MATCH(A1239,Raw!$A:$A,0))</f>
        <v>0</v>
      </c>
      <c r="D1239" s="21"/>
    </row>
    <row r="1240" spans="1:4" ht="11.25" customHeight="1" x14ac:dyDescent="0.25">
      <c r="A1240" s="22" t="s">
        <v>1277</v>
      </c>
      <c r="B1240" s="20">
        <f ca="1">INDIRECT(ADDRESS(MATCH(A1240,Raw!$A:$A,0),2,1,1,"Raw"))</f>
        <v>0</v>
      </c>
      <c r="C1240" s="20">
        <f>INDEX(Raw!$C:$C,MATCH(A1240,Raw!$A:$A,0))</f>
        <v>0</v>
      </c>
      <c r="D1240" s="21"/>
    </row>
    <row r="1241" spans="1:4" ht="11.25" customHeight="1" x14ac:dyDescent="0.25">
      <c r="A1241" s="22" t="s">
        <v>1278</v>
      </c>
      <c r="B1241" s="20">
        <f ca="1">INDIRECT(ADDRESS(MATCH(A1241,Raw!$A:$A,0),2,1,1,"Raw"))</f>
        <v>0</v>
      </c>
      <c r="C1241" s="20">
        <f>INDEX(Raw!$C:$C,MATCH(A1241,Raw!$A:$A,0))</f>
        <v>0</v>
      </c>
      <c r="D1241" s="21"/>
    </row>
    <row r="1242" spans="1:4" ht="11.25" customHeight="1" x14ac:dyDescent="0.25">
      <c r="A1242" s="22" t="s">
        <v>1279</v>
      </c>
      <c r="B1242" s="20">
        <f ca="1">INDIRECT(ADDRESS(MATCH(A1242,Raw!$A:$A,0),2,1,1,"Raw"))</f>
        <v>0</v>
      </c>
      <c r="C1242" s="20">
        <f>INDEX(Raw!$C:$C,MATCH(A1242,Raw!$A:$A,0))</f>
        <v>0</v>
      </c>
      <c r="D1242" s="21"/>
    </row>
    <row r="1243" spans="1:4" ht="11.25" customHeight="1" x14ac:dyDescent="0.25">
      <c r="A1243" s="22" t="s">
        <v>1280</v>
      </c>
      <c r="B1243" s="20">
        <f ca="1">INDIRECT(ADDRESS(MATCH(A1243,Raw!$A:$A,0),2,1,1,"Raw"))</f>
        <v>0</v>
      </c>
      <c r="C1243" s="20">
        <f>INDEX(Raw!$C:$C,MATCH(A1243,Raw!$A:$A,0))</f>
        <v>0</v>
      </c>
      <c r="D1243" s="21"/>
    </row>
    <row r="1244" spans="1:4" ht="11.25" customHeight="1" x14ac:dyDescent="0.25">
      <c r="A1244" s="22" t="s">
        <v>1281</v>
      </c>
      <c r="B1244" s="20">
        <f ca="1">INDIRECT(ADDRESS(MATCH(A1244,Raw!$A:$A,0),2,1,1,"Raw"))</f>
        <v>0</v>
      </c>
      <c r="C1244" s="20">
        <f>INDEX(Raw!$C:$C,MATCH(A1244,Raw!$A:$A,0))</f>
        <v>0</v>
      </c>
      <c r="D1244" s="21"/>
    </row>
    <row r="1245" spans="1:4" ht="11.25" customHeight="1" x14ac:dyDescent="0.25">
      <c r="A1245" s="22" t="s">
        <v>1282</v>
      </c>
      <c r="B1245" s="20">
        <f ca="1">INDIRECT(ADDRESS(MATCH(A1245,Raw!$A:$A,0),2,1,1,"Raw"))</f>
        <v>0</v>
      </c>
      <c r="C1245" s="20">
        <f>INDEX(Raw!$C:$C,MATCH(A1245,Raw!$A:$A,0))</f>
        <v>0</v>
      </c>
      <c r="D1245" s="21"/>
    </row>
    <row r="1246" spans="1:4" ht="11.25" customHeight="1" x14ac:dyDescent="0.25">
      <c r="A1246" s="22" t="s">
        <v>1283</v>
      </c>
      <c r="B1246" s="20">
        <f ca="1">INDIRECT(ADDRESS(MATCH(A1246,Raw!$A:$A,0),2,1,1,"Raw"))</f>
        <v>0</v>
      </c>
      <c r="C1246" s="20">
        <f>INDEX(Raw!$C:$C,MATCH(A1246,Raw!$A:$A,0))</f>
        <v>0</v>
      </c>
      <c r="D1246" s="21"/>
    </row>
    <row r="1247" spans="1:4" ht="11.25" customHeight="1" x14ac:dyDescent="0.25">
      <c r="A1247" s="22" t="s">
        <v>1284</v>
      </c>
      <c r="B1247" s="20">
        <f ca="1">INDIRECT(ADDRESS(MATCH(A1247,Raw!$A:$A,0),2,1,1,"Raw"))</f>
        <v>0</v>
      </c>
      <c r="C1247" s="20">
        <f>INDEX(Raw!$C:$C,MATCH(A1247,Raw!$A:$A,0))</f>
        <v>0</v>
      </c>
      <c r="D1247" s="21"/>
    </row>
    <row r="1248" spans="1:4" ht="11.25" customHeight="1" x14ac:dyDescent="0.25">
      <c r="A1248" s="22" t="s">
        <v>1285</v>
      </c>
      <c r="B1248" s="20">
        <f ca="1">INDIRECT(ADDRESS(MATCH(A1248,Raw!$A:$A,0),2,1,1,"Raw"))</f>
        <v>0</v>
      </c>
      <c r="C1248" s="20">
        <f>INDEX(Raw!$C:$C,MATCH(A1248,Raw!$A:$A,0))</f>
        <v>0</v>
      </c>
      <c r="D1248" s="21"/>
    </row>
    <row r="1249" spans="1:4" ht="11.25" customHeight="1" x14ac:dyDescent="0.25">
      <c r="A1249" s="22" t="s">
        <v>1286</v>
      </c>
      <c r="B1249" s="20">
        <f ca="1">INDIRECT(ADDRESS(MATCH(A1249,Raw!$A:$A,0),2,1,1,"Raw"))</f>
        <v>0</v>
      </c>
      <c r="C1249" s="20">
        <f>INDEX(Raw!$C:$C,MATCH(A1249,Raw!$A:$A,0))</f>
        <v>0</v>
      </c>
      <c r="D1249" s="21"/>
    </row>
    <row r="1250" spans="1:4" ht="11.25" customHeight="1" x14ac:dyDescent="0.25">
      <c r="A1250" s="22" t="s">
        <v>1287</v>
      </c>
      <c r="B1250" s="20">
        <f ca="1">INDIRECT(ADDRESS(MATCH(A1250,Raw!$A:$A,0),2,1,1,"Raw"))</f>
        <v>0</v>
      </c>
      <c r="C1250" s="20">
        <f>INDEX(Raw!$C:$C,MATCH(A1250,Raw!$A:$A,0))</f>
        <v>0</v>
      </c>
      <c r="D1250" s="21"/>
    </row>
    <row r="1251" spans="1:4" ht="11.25" customHeight="1" x14ac:dyDescent="0.25">
      <c r="A1251" s="22" t="s">
        <v>1288</v>
      </c>
      <c r="B1251" s="20">
        <f ca="1">INDIRECT(ADDRESS(MATCH(A1251,Raw!$A:$A,0),2,1,1,"Raw"))</f>
        <v>0</v>
      </c>
      <c r="C1251" s="20">
        <f>INDEX(Raw!$C:$C,MATCH(A1251,Raw!$A:$A,0))</f>
        <v>0</v>
      </c>
      <c r="D1251" s="21"/>
    </row>
    <row r="1252" spans="1:4" ht="11.25" customHeight="1" x14ac:dyDescent="0.25">
      <c r="A1252" s="22" t="s">
        <v>1289</v>
      </c>
      <c r="B1252" s="20">
        <f ca="1">INDIRECT(ADDRESS(MATCH(A1252,Raw!$A:$A,0),2,1,1,"Raw"))</f>
        <v>0</v>
      </c>
      <c r="C1252" s="20">
        <f>INDEX(Raw!$C:$C,MATCH(A1252,Raw!$A:$A,0))</f>
        <v>0</v>
      </c>
      <c r="D1252" s="21"/>
    </row>
    <row r="1253" spans="1:4" ht="11.25" customHeight="1" x14ac:dyDescent="0.25">
      <c r="A1253" s="22" t="s">
        <v>1290</v>
      </c>
      <c r="B1253" s="20">
        <f ca="1">INDIRECT(ADDRESS(MATCH(A1253,Raw!$A:$A,0),2,1,1,"Raw"))</f>
        <v>0</v>
      </c>
      <c r="C1253" s="20">
        <f>INDEX(Raw!$C:$C,MATCH(A1253,Raw!$A:$A,0))</f>
        <v>0</v>
      </c>
      <c r="D1253" s="21"/>
    </row>
    <row r="1254" spans="1:4" ht="11.25" customHeight="1" x14ac:dyDescent="0.25">
      <c r="A1254" s="22" t="s">
        <v>1291</v>
      </c>
      <c r="B1254" s="20">
        <f ca="1">INDIRECT(ADDRESS(MATCH(A1254,Raw!$A:$A,0),2,1,1,"Raw"))</f>
        <v>0</v>
      </c>
      <c r="C1254" s="20">
        <f>INDEX(Raw!$C:$C,MATCH(A1254,Raw!$A:$A,0))</f>
        <v>0</v>
      </c>
      <c r="D1254" s="21"/>
    </row>
    <row r="1255" spans="1:4" ht="11.25" customHeight="1" x14ac:dyDescent="0.25">
      <c r="A1255" s="22" t="s">
        <v>1292</v>
      </c>
      <c r="B1255" s="20">
        <f ca="1">INDIRECT(ADDRESS(MATCH(A1255,Raw!$A:$A,0),2,1,1,"Raw"))</f>
        <v>0</v>
      </c>
      <c r="C1255" s="20">
        <f>INDEX(Raw!$C:$C,MATCH(A1255,Raw!$A:$A,0))</f>
        <v>0</v>
      </c>
      <c r="D1255" s="21"/>
    </row>
    <row r="1256" spans="1:4" ht="11.25" customHeight="1" x14ac:dyDescent="0.25">
      <c r="A1256" s="22" t="s">
        <v>1293</v>
      </c>
      <c r="B1256" s="20">
        <f ca="1">INDIRECT(ADDRESS(MATCH(A1256,Raw!$A:$A,0),2,1,1,"Raw"))</f>
        <v>0</v>
      </c>
      <c r="C1256" s="20">
        <f>INDEX(Raw!$C:$C,MATCH(A1256,Raw!$A:$A,0))</f>
        <v>0</v>
      </c>
      <c r="D1256" s="21"/>
    </row>
    <row r="1257" spans="1:4" ht="11.25" customHeight="1" x14ac:dyDescent="0.25">
      <c r="A1257" s="22" t="s">
        <v>1294</v>
      </c>
      <c r="B1257" s="20">
        <f ca="1">INDIRECT(ADDRESS(MATCH(A1257,Raw!$A:$A,0),2,1,1,"Raw"))</f>
        <v>0</v>
      </c>
      <c r="C1257" s="20">
        <f>INDEX(Raw!$C:$C,MATCH(A1257,Raw!$A:$A,0))</f>
        <v>0</v>
      </c>
      <c r="D1257" s="21"/>
    </row>
    <row r="1258" spans="1:4" ht="11.25" customHeight="1" x14ac:dyDescent="0.25">
      <c r="A1258" s="22" t="s">
        <v>1295</v>
      </c>
      <c r="B1258" s="20">
        <f ca="1">INDIRECT(ADDRESS(MATCH(A1258,Raw!$A:$A,0),2,1,1,"Raw"))</f>
        <v>0</v>
      </c>
      <c r="C1258" s="20">
        <f>INDEX(Raw!$C:$C,MATCH(A1258,Raw!$A:$A,0))</f>
        <v>0</v>
      </c>
      <c r="D1258" s="21"/>
    </row>
    <row r="1259" spans="1:4" ht="11.25" customHeight="1" x14ac:dyDescent="0.25">
      <c r="A1259" s="22" t="s">
        <v>1296</v>
      </c>
      <c r="B1259" s="20">
        <f ca="1">INDIRECT(ADDRESS(MATCH(A1259,Raw!$A:$A,0),2,1,1,"Raw"))</f>
        <v>0</v>
      </c>
      <c r="C1259" s="20">
        <f>INDEX(Raw!$C:$C,MATCH(A1259,Raw!$A:$A,0))</f>
        <v>0</v>
      </c>
      <c r="D1259" s="21"/>
    </row>
    <row r="1260" spans="1:4" ht="11.25" customHeight="1" x14ac:dyDescent="0.25">
      <c r="A1260" s="22" t="s">
        <v>1297</v>
      </c>
      <c r="B1260" s="20">
        <f ca="1">INDIRECT(ADDRESS(MATCH(A1260,Raw!$A:$A,0),2,1,1,"Raw"))</f>
        <v>0</v>
      </c>
      <c r="C1260" s="20">
        <f>INDEX(Raw!$C:$C,MATCH(A1260,Raw!$A:$A,0))</f>
        <v>0</v>
      </c>
      <c r="D1260" s="21"/>
    </row>
    <row r="1261" spans="1:4" ht="11.25" customHeight="1" x14ac:dyDescent="0.25">
      <c r="A1261" s="22" t="s">
        <v>1298</v>
      </c>
      <c r="B1261" s="20">
        <f ca="1">INDIRECT(ADDRESS(MATCH(A1261,Raw!$A:$A,0),2,1,1,"Raw"))</f>
        <v>0</v>
      </c>
      <c r="C1261" s="20">
        <f>INDEX(Raw!$C:$C,MATCH(A1261,Raw!$A:$A,0))</f>
        <v>0</v>
      </c>
      <c r="D1261" s="21"/>
    </row>
    <row r="1262" spans="1:4" ht="11.25" customHeight="1" x14ac:dyDescent="0.25">
      <c r="A1262" s="22" t="s">
        <v>1299</v>
      </c>
      <c r="B1262" s="20">
        <f ca="1">INDIRECT(ADDRESS(MATCH(A1262,Raw!$A:$A,0),2,1,1,"Raw"))</f>
        <v>0</v>
      </c>
      <c r="C1262" s="20">
        <f>INDEX(Raw!$C:$C,MATCH(A1262,Raw!$A:$A,0))</f>
        <v>0</v>
      </c>
      <c r="D1262" s="21"/>
    </row>
    <row r="1263" spans="1:4" ht="11.25" customHeight="1" x14ac:dyDescent="0.25">
      <c r="A1263" s="22" t="s">
        <v>1300</v>
      </c>
      <c r="B1263" s="20">
        <f ca="1">INDIRECT(ADDRESS(MATCH(A1263,Raw!$A:$A,0),2,1,1,"Raw"))</f>
        <v>0</v>
      </c>
      <c r="C1263" s="20">
        <f>INDEX(Raw!$C:$C,MATCH(A1263,Raw!$A:$A,0))</f>
        <v>0</v>
      </c>
      <c r="D1263" s="21"/>
    </row>
    <row r="1264" spans="1:4" ht="11.25" customHeight="1" x14ac:dyDescent="0.25">
      <c r="A1264" s="22" t="s">
        <v>1301</v>
      </c>
      <c r="B1264" s="20">
        <f ca="1">INDIRECT(ADDRESS(MATCH(A1264,Raw!$A:$A,0),2,1,1,"Raw"))</f>
        <v>0</v>
      </c>
      <c r="C1264" s="20">
        <f>INDEX(Raw!$C:$C,MATCH(A1264,Raw!$A:$A,0))</f>
        <v>0</v>
      </c>
      <c r="D1264" s="21"/>
    </row>
    <row r="1265" spans="1:4" ht="11.25" customHeight="1" x14ac:dyDescent="0.25">
      <c r="A1265" s="22" t="s">
        <v>1302</v>
      </c>
      <c r="B1265" s="20">
        <f ca="1">INDIRECT(ADDRESS(MATCH(A1265,Raw!$A:$A,0),2,1,1,"Raw"))</f>
        <v>0</v>
      </c>
      <c r="C1265" s="20">
        <f>INDEX(Raw!$C:$C,MATCH(A1265,Raw!$A:$A,0))</f>
        <v>0</v>
      </c>
      <c r="D1265" s="21"/>
    </row>
    <row r="1266" spans="1:4" ht="11.25" customHeight="1" x14ac:dyDescent="0.25">
      <c r="A1266" s="22" t="s">
        <v>1303</v>
      </c>
      <c r="B1266" s="20">
        <f ca="1">INDIRECT(ADDRESS(MATCH(A1266,Raw!$A:$A,0),2,1,1,"Raw"))</f>
        <v>0</v>
      </c>
      <c r="C1266" s="20">
        <f>INDEX(Raw!$C:$C,MATCH(A1266,Raw!$A:$A,0))</f>
        <v>0</v>
      </c>
      <c r="D1266" s="21"/>
    </row>
    <row r="1267" spans="1:4" ht="11.25" customHeight="1" x14ac:dyDescent="0.25">
      <c r="A1267" s="22" t="s">
        <v>1304</v>
      </c>
      <c r="B1267" s="20">
        <f ca="1">INDIRECT(ADDRESS(MATCH(A1267,Raw!$A:$A,0),2,1,1,"Raw"))</f>
        <v>0</v>
      </c>
      <c r="C1267" s="20">
        <f>INDEX(Raw!$C:$C,MATCH(A1267,Raw!$A:$A,0))</f>
        <v>0</v>
      </c>
      <c r="D1267" s="21"/>
    </row>
    <row r="1268" spans="1:4" ht="11.25" customHeight="1" x14ac:dyDescent="0.25">
      <c r="A1268" s="22" t="s">
        <v>1305</v>
      </c>
      <c r="B1268" s="20">
        <f ca="1">INDIRECT(ADDRESS(MATCH(A1268,Raw!$A:$A,0),2,1,1,"Raw"))</f>
        <v>0</v>
      </c>
      <c r="C1268" s="20">
        <f>INDEX(Raw!$C:$C,MATCH(A1268,Raw!$A:$A,0))</f>
        <v>0</v>
      </c>
      <c r="D1268" s="21"/>
    </row>
    <row r="1269" spans="1:4" ht="11.25" customHeight="1" x14ac:dyDescent="0.25">
      <c r="A1269" s="22" t="s">
        <v>1306</v>
      </c>
      <c r="B1269" s="20">
        <f ca="1">INDIRECT(ADDRESS(MATCH(A1269,Raw!$A:$A,0),2,1,1,"Raw"))</f>
        <v>0</v>
      </c>
      <c r="C1269" s="20">
        <f>INDEX(Raw!$C:$C,MATCH(A1269,Raw!$A:$A,0))</f>
        <v>0</v>
      </c>
      <c r="D1269" s="21"/>
    </row>
    <row r="1270" spans="1:4" ht="11.25" customHeight="1" x14ac:dyDescent="0.25">
      <c r="A1270" s="22" t="s">
        <v>1307</v>
      </c>
      <c r="B1270" s="20">
        <f ca="1">INDIRECT(ADDRESS(MATCH(A1270,Raw!$A:$A,0),2,1,1,"Raw"))</f>
        <v>0</v>
      </c>
      <c r="C1270" s="20">
        <f>INDEX(Raw!$C:$C,MATCH(A1270,Raw!$A:$A,0))</f>
        <v>0</v>
      </c>
      <c r="D1270" s="21"/>
    </row>
    <row r="1271" spans="1:4" ht="11.25" customHeight="1" x14ac:dyDescent="0.25">
      <c r="A1271" s="22" t="s">
        <v>1308</v>
      </c>
      <c r="B1271" s="20">
        <f ca="1">INDIRECT(ADDRESS(MATCH(A1271,Raw!$A:$A,0),2,1,1,"Raw"))</f>
        <v>0</v>
      </c>
      <c r="C1271" s="20">
        <f>INDEX(Raw!$C:$C,MATCH(A1271,Raw!$A:$A,0))</f>
        <v>0</v>
      </c>
      <c r="D1271" s="21"/>
    </row>
    <row r="1272" spans="1:4" ht="11.25" customHeight="1" x14ac:dyDescent="0.25">
      <c r="A1272" s="22" t="s">
        <v>1309</v>
      </c>
      <c r="B1272" s="20">
        <f ca="1">INDIRECT(ADDRESS(MATCH(A1272,Raw!$A:$A,0),2,1,1,"Raw"))</f>
        <v>0</v>
      </c>
      <c r="C1272" s="20">
        <f>INDEX(Raw!$C:$C,MATCH(A1272,Raw!$A:$A,0))</f>
        <v>0</v>
      </c>
      <c r="D1272" s="21"/>
    </row>
    <row r="1273" spans="1:4" ht="11.25" customHeight="1" x14ac:dyDescent="0.25">
      <c r="A1273" s="22" t="s">
        <v>1310</v>
      </c>
      <c r="B1273" s="20">
        <f ca="1">INDIRECT(ADDRESS(MATCH(A1273,Raw!$A:$A,0),2,1,1,"Raw"))</f>
        <v>0</v>
      </c>
      <c r="C1273" s="20">
        <f>INDEX(Raw!$C:$C,MATCH(A1273,Raw!$A:$A,0))</f>
        <v>0</v>
      </c>
      <c r="D1273" s="21"/>
    </row>
    <row r="1274" spans="1:4" ht="11.25" customHeight="1" x14ac:dyDescent="0.25">
      <c r="A1274" s="22" t="s">
        <v>1311</v>
      </c>
      <c r="B1274" s="20">
        <f ca="1">INDIRECT(ADDRESS(MATCH(A1274,Raw!$A:$A,0),2,1,1,"Raw"))</f>
        <v>0</v>
      </c>
      <c r="C1274" s="20">
        <f>INDEX(Raw!$C:$C,MATCH(A1274,Raw!$A:$A,0))</f>
        <v>0</v>
      </c>
      <c r="D1274" s="21"/>
    </row>
    <row r="1275" spans="1:4" ht="11.25" customHeight="1" x14ac:dyDescent="0.25">
      <c r="A1275" s="22" t="s">
        <v>1312</v>
      </c>
      <c r="B1275" s="20">
        <f ca="1">INDIRECT(ADDRESS(MATCH(A1275,Raw!$A:$A,0),2,1,1,"Raw"))</f>
        <v>0</v>
      </c>
      <c r="C1275" s="20">
        <f>INDEX(Raw!$C:$C,MATCH(A1275,Raw!$A:$A,0))</f>
        <v>0</v>
      </c>
      <c r="D1275" s="21"/>
    </row>
    <row r="1276" spans="1:4" ht="11.25" customHeight="1" x14ac:dyDescent="0.25">
      <c r="A1276" s="22" t="s">
        <v>1313</v>
      </c>
      <c r="B1276" s="20">
        <f ca="1">INDIRECT(ADDRESS(MATCH(A1276,Raw!$A:$A,0),2,1,1,"Raw"))</f>
        <v>0</v>
      </c>
      <c r="C1276" s="20">
        <f>INDEX(Raw!$C:$C,MATCH(A1276,Raw!$A:$A,0))</f>
        <v>0</v>
      </c>
      <c r="D1276" s="21"/>
    </row>
    <row r="1277" spans="1:4" ht="11.25" customHeight="1" x14ac:dyDescent="0.25">
      <c r="A1277" s="22" t="s">
        <v>1314</v>
      </c>
      <c r="B1277" s="20">
        <f ca="1">INDIRECT(ADDRESS(MATCH(A1277,Raw!$A:$A,0),2,1,1,"Raw"))</f>
        <v>0</v>
      </c>
      <c r="C1277" s="20">
        <f>INDEX(Raw!$C:$C,MATCH(A1277,Raw!$A:$A,0))</f>
        <v>0</v>
      </c>
      <c r="D1277" s="21"/>
    </row>
    <row r="1278" spans="1:4" ht="11.25" customHeight="1" x14ac:dyDescent="0.25">
      <c r="A1278" s="22" t="s">
        <v>1315</v>
      </c>
      <c r="B1278" s="20">
        <f ca="1">INDIRECT(ADDRESS(MATCH(A1278,Raw!$A:$A,0),2,1,1,"Raw"))</f>
        <v>0</v>
      </c>
      <c r="C1278" s="20">
        <f>INDEX(Raw!$C:$C,MATCH(A1278,Raw!$A:$A,0))</f>
        <v>0</v>
      </c>
      <c r="D1278" s="21"/>
    </row>
    <row r="1279" spans="1:4" ht="11.25" customHeight="1" x14ac:dyDescent="0.25">
      <c r="A1279" s="22" t="s">
        <v>1316</v>
      </c>
      <c r="B1279" s="20">
        <f ca="1">INDIRECT(ADDRESS(MATCH(A1279,Raw!$A:$A,0),2,1,1,"Raw"))</f>
        <v>0</v>
      </c>
      <c r="C1279" s="20">
        <f>INDEX(Raw!$C:$C,MATCH(A1279,Raw!$A:$A,0))</f>
        <v>0</v>
      </c>
      <c r="D1279" s="21"/>
    </row>
    <row r="1280" spans="1:4" ht="11.25" customHeight="1" x14ac:dyDescent="0.25">
      <c r="A1280" s="22" t="s">
        <v>1317</v>
      </c>
      <c r="B1280" s="20">
        <f ca="1">INDIRECT(ADDRESS(MATCH(A1280,Raw!$A:$A,0),2,1,1,"Raw"))</f>
        <v>0</v>
      </c>
      <c r="C1280" s="20">
        <f>INDEX(Raw!$C:$C,MATCH(A1280,Raw!$A:$A,0))</f>
        <v>0</v>
      </c>
      <c r="D1280" s="21"/>
    </row>
    <row r="1281" spans="1:4" ht="11.25" customHeight="1" x14ac:dyDescent="0.25">
      <c r="A1281" s="22" t="s">
        <v>1318</v>
      </c>
      <c r="B1281" s="20">
        <f ca="1">INDIRECT(ADDRESS(MATCH(A1281,Raw!$A:$A,0),2,1,1,"Raw"))</f>
        <v>0</v>
      </c>
      <c r="C1281" s="20">
        <f>INDEX(Raw!$C:$C,MATCH(A1281,Raw!$A:$A,0))</f>
        <v>0</v>
      </c>
      <c r="D1281" s="21"/>
    </row>
    <row r="1282" spans="1:4" ht="11.25" customHeight="1" x14ac:dyDescent="0.25">
      <c r="A1282" s="22" t="s">
        <v>1319</v>
      </c>
      <c r="B1282" s="20">
        <f ca="1">INDIRECT(ADDRESS(MATCH(A1282,Raw!$A:$A,0),2,1,1,"Raw"))</f>
        <v>0</v>
      </c>
      <c r="C1282" s="20">
        <f>INDEX(Raw!$C:$C,MATCH(A1282,Raw!$A:$A,0))</f>
        <v>0</v>
      </c>
      <c r="D1282" s="21"/>
    </row>
    <row r="1283" spans="1:4" ht="11.25" customHeight="1" x14ac:dyDescent="0.25">
      <c r="A1283" s="22" t="s">
        <v>1320</v>
      </c>
      <c r="B1283" s="20">
        <f ca="1">INDIRECT(ADDRESS(MATCH(A1283,Raw!$A:$A,0),2,1,1,"Raw"))</f>
        <v>0</v>
      </c>
      <c r="C1283" s="20">
        <f>INDEX(Raw!$C:$C,MATCH(A1283,Raw!$A:$A,0))</f>
        <v>0</v>
      </c>
      <c r="D1283" s="21"/>
    </row>
    <row r="1284" spans="1:4" ht="11.25" customHeight="1" x14ac:dyDescent="0.25">
      <c r="A1284" s="22" t="s">
        <v>1321</v>
      </c>
      <c r="B1284" s="20">
        <f ca="1">INDIRECT(ADDRESS(MATCH(A1284,Raw!$A:$A,0),2,1,1,"Raw"))</f>
        <v>0</v>
      </c>
      <c r="C1284" s="20">
        <f>INDEX(Raw!$C:$C,MATCH(A1284,Raw!$A:$A,0))</f>
        <v>0</v>
      </c>
      <c r="D1284" s="21"/>
    </row>
    <row r="1285" spans="1:4" ht="11.25" customHeight="1" x14ac:dyDescent="0.25">
      <c r="A1285" s="22" t="s">
        <v>1322</v>
      </c>
      <c r="B1285" s="20">
        <f ca="1">INDIRECT(ADDRESS(MATCH(A1285,Raw!$A:$A,0),2,1,1,"Raw"))</f>
        <v>0</v>
      </c>
      <c r="C1285" s="20">
        <f>INDEX(Raw!$C:$C,MATCH(A1285,Raw!$A:$A,0))</f>
        <v>0</v>
      </c>
      <c r="D1285" s="21"/>
    </row>
    <row r="1286" spans="1:4" ht="11.25" customHeight="1" x14ac:dyDescent="0.25">
      <c r="A1286" s="22" t="s">
        <v>1323</v>
      </c>
      <c r="B1286" s="20">
        <f ca="1">INDIRECT(ADDRESS(MATCH(A1286,Raw!$A:$A,0),2,1,1,"Raw"))</f>
        <v>0</v>
      </c>
      <c r="C1286" s="20">
        <f>INDEX(Raw!$C:$C,MATCH(A1286,Raw!$A:$A,0))</f>
        <v>0</v>
      </c>
      <c r="D1286" s="21"/>
    </row>
    <row r="1287" spans="1:4" ht="11.25" customHeight="1" x14ac:dyDescent="0.25">
      <c r="A1287" s="22" t="s">
        <v>1324</v>
      </c>
      <c r="B1287" s="20">
        <f ca="1">INDIRECT(ADDRESS(MATCH(A1287,Raw!$A:$A,0),2,1,1,"Raw"))</f>
        <v>0</v>
      </c>
      <c r="C1287" s="20">
        <f>INDEX(Raw!$C:$C,MATCH(A1287,Raw!$A:$A,0))</f>
        <v>0</v>
      </c>
      <c r="D1287" s="21"/>
    </row>
    <row r="1288" spans="1:4" ht="11.25" customHeight="1" x14ac:dyDescent="0.25">
      <c r="A1288" s="22" t="s">
        <v>1325</v>
      </c>
      <c r="B1288" s="20">
        <f ca="1">INDIRECT(ADDRESS(MATCH(A1288,Raw!$A:$A,0),2,1,1,"Raw"))</f>
        <v>0</v>
      </c>
      <c r="C1288" s="20">
        <f>INDEX(Raw!$C:$C,MATCH(A1288,Raw!$A:$A,0))</f>
        <v>0</v>
      </c>
      <c r="D1288" s="21"/>
    </row>
    <row r="1289" spans="1:4" ht="11.25" customHeight="1" x14ac:dyDescent="0.25">
      <c r="A1289" s="22" t="s">
        <v>1326</v>
      </c>
      <c r="B1289" s="20">
        <f ca="1">INDIRECT(ADDRESS(MATCH(A1289,Raw!$A:$A,0),2,1,1,"Raw"))</f>
        <v>0</v>
      </c>
      <c r="C1289" s="20">
        <f>INDEX(Raw!$C:$C,MATCH(A1289,Raw!$A:$A,0))</f>
        <v>0</v>
      </c>
      <c r="D1289" s="21"/>
    </row>
    <row r="1290" spans="1:4" ht="11.25" customHeight="1" x14ac:dyDescent="0.25">
      <c r="A1290" s="22" t="s">
        <v>1327</v>
      </c>
      <c r="B1290" s="20">
        <f ca="1">INDIRECT(ADDRESS(MATCH(A1290,Raw!$A:$A,0),2,1,1,"Raw"))</f>
        <v>0</v>
      </c>
      <c r="C1290" s="20">
        <f>INDEX(Raw!$C:$C,MATCH(A1290,Raw!$A:$A,0))</f>
        <v>0</v>
      </c>
      <c r="D1290" s="21"/>
    </row>
    <row r="1291" spans="1:4" ht="11.25" customHeight="1" x14ac:dyDescent="0.25">
      <c r="A1291" s="22" t="s">
        <v>1328</v>
      </c>
      <c r="B1291" s="20">
        <f ca="1">INDIRECT(ADDRESS(MATCH(A1291,Raw!$A:$A,0),2,1,1,"Raw"))</f>
        <v>0</v>
      </c>
      <c r="C1291" s="20">
        <f>INDEX(Raw!$C:$C,MATCH(A1291,Raw!$A:$A,0))</f>
        <v>0</v>
      </c>
      <c r="D1291" s="21"/>
    </row>
    <row r="1292" spans="1:4" ht="11.25" customHeight="1" x14ac:dyDescent="0.25">
      <c r="A1292" s="22" t="s">
        <v>1329</v>
      </c>
      <c r="B1292" s="20">
        <f ca="1">INDIRECT(ADDRESS(MATCH(A1292,Raw!$A:$A,0),2,1,1,"Raw"))</f>
        <v>0</v>
      </c>
      <c r="C1292" s="20">
        <f>INDEX(Raw!$C:$C,MATCH(A1292,Raw!$A:$A,0))</f>
        <v>0</v>
      </c>
      <c r="D1292" s="21"/>
    </row>
    <row r="1293" spans="1:4" ht="11.25" customHeight="1" x14ac:dyDescent="0.25">
      <c r="A1293" s="22" t="s">
        <v>1330</v>
      </c>
      <c r="B1293" s="20">
        <f ca="1">INDIRECT(ADDRESS(MATCH(A1293,Raw!$A:$A,0),2,1,1,"Raw"))</f>
        <v>0</v>
      </c>
      <c r="C1293" s="20">
        <f>INDEX(Raw!$C:$C,MATCH(A1293,Raw!$A:$A,0))</f>
        <v>0</v>
      </c>
      <c r="D1293" s="21"/>
    </row>
    <row r="1294" spans="1:4" ht="11.25" customHeight="1" x14ac:dyDescent="0.25">
      <c r="A1294" s="22" t="s">
        <v>1331</v>
      </c>
      <c r="B1294" s="20">
        <f ca="1">INDIRECT(ADDRESS(MATCH(A1294,Raw!$A:$A,0),2,1,1,"Raw"))</f>
        <v>0</v>
      </c>
      <c r="C1294" s="20">
        <f>INDEX(Raw!$C:$C,MATCH(A1294,Raw!$A:$A,0))</f>
        <v>0</v>
      </c>
      <c r="D1294" s="21"/>
    </row>
    <row r="1295" spans="1:4" ht="11.25" customHeight="1" x14ac:dyDescent="0.25">
      <c r="A1295" s="22" t="s">
        <v>1332</v>
      </c>
      <c r="B1295" s="20">
        <f ca="1">INDIRECT(ADDRESS(MATCH(A1295,Raw!$A:$A,0),2,1,1,"Raw"))</f>
        <v>0</v>
      </c>
      <c r="C1295" s="20">
        <f>INDEX(Raw!$C:$C,MATCH(A1295,Raw!$A:$A,0))</f>
        <v>0</v>
      </c>
      <c r="D1295" s="21"/>
    </row>
    <row r="1296" spans="1:4" ht="11.25" customHeight="1" x14ac:dyDescent="0.25">
      <c r="A1296" s="22" t="s">
        <v>1333</v>
      </c>
      <c r="B1296" s="20">
        <f ca="1">INDIRECT(ADDRESS(MATCH(A1296,Raw!$A:$A,0),2,1,1,"Raw"))</f>
        <v>0</v>
      </c>
      <c r="C1296" s="20">
        <f>INDEX(Raw!$C:$C,MATCH(A1296,Raw!$A:$A,0))</f>
        <v>0</v>
      </c>
      <c r="D1296" s="21"/>
    </row>
    <row r="1297" spans="1:4" ht="11.25" customHeight="1" x14ac:dyDescent="0.25">
      <c r="A1297" s="22" t="s">
        <v>1334</v>
      </c>
      <c r="B1297" s="20">
        <f ca="1">INDIRECT(ADDRESS(MATCH(A1297,Raw!$A:$A,0),2,1,1,"Raw"))</f>
        <v>0</v>
      </c>
      <c r="C1297" s="20">
        <f>INDEX(Raw!$C:$C,MATCH(A1297,Raw!$A:$A,0))</f>
        <v>0</v>
      </c>
      <c r="D1297" s="21"/>
    </row>
    <row r="1298" spans="1:4" ht="11.25" customHeight="1" x14ac:dyDescent="0.25">
      <c r="A1298" s="22" t="s">
        <v>1335</v>
      </c>
      <c r="B1298" s="20">
        <f ca="1">INDIRECT(ADDRESS(MATCH(A1298,Raw!$A:$A,0),2,1,1,"Raw"))</f>
        <v>0</v>
      </c>
      <c r="C1298" s="20">
        <f>INDEX(Raw!$C:$C,MATCH(A1298,Raw!$A:$A,0))</f>
        <v>0</v>
      </c>
      <c r="D1298" s="21"/>
    </row>
    <row r="1299" spans="1:4" ht="11.25" customHeight="1" x14ac:dyDescent="0.25">
      <c r="A1299" s="22" t="s">
        <v>1336</v>
      </c>
      <c r="B1299" s="20">
        <f ca="1">INDIRECT(ADDRESS(MATCH(A1299,Raw!$A:$A,0),2,1,1,"Raw"))</f>
        <v>0</v>
      </c>
      <c r="C1299" s="20">
        <f>INDEX(Raw!$C:$C,MATCH(A1299,Raw!$A:$A,0))</f>
        <v>0</v>
      </c>
      <c r="D1299" s="21"/>
    </row>
    <row r="1300" spans="1:4" ht="11.25" customHeight="1" x14ac:dyDescent="0.25">
      <c r="A1300" s="22" t="s">
        <v>1337</v>
      </c>
      <c r="B1300" s="20">
        <f ca="1">INDIRECT(ADDRESS(MATCH(A1300,Raw!$A:$A,0),2,1,1,"Raw"))</f>
        <v>0</v>
      </c>
      <c r="C1300" s="20">
        <f>INDEX(Raw!$C:$C,MATCH(A1300,Raw!$A:$A,0))</f>
        <v>0</v>
      </c>
      <c r="D1300" s="21"/>
    </row>
    <row r="1301" spans="1:4" ht="11.25" customHeight="1" x14ac:dyDescent="0.25">
      <c r="A1301" s="22" t="s">
        <v>1338</v>
      </c>
      <c r="B1301" s="20">
        <f ca="1">INDIRECT(ADDRESS(MATCH(A1301,Raw!$A:$A,0),2,1,1,"Raw"))</f>
        <v>0</v>
      </c>
      <c r="C1301" s="20">
        <f>INDEX(Raw!$C:$C,MATCH(A1301,Raw!$A:$A,0))</f>
        <v>0</v>
      </c>
      <c r="D1301" s="21"/>
    </row>
    <row r="1302" spans="1:4" ht="11.25" customHeight="1" x14ac:dyDescent="0.25">
      <c r="A1302" s="22" t="s">
        <v>1339</v>
      </c>
      <c r="B1302" s="20">
        <f ca="1">INDIRECT(ADDRESS(MATCH(A1302,Raw!$A:$A,0),2,1,1,"Raw"))</f>
        <v>0</v>
      </c>
      <c r="C1302" s="20">
        <f>INDEX(Raw!$C:$C,MATCH(A1302,Raw!$A:$A,0))</f>
        <v>0</v>
      </c>
      <c r="D1302" s="21"/>
    </row>
    <row r="1303" spans="1:4" ht="11.25" customHeight="1" x14ac:dyDescent="0.25">
      <c r="A1303" s="22" t="s">
        <v>1340</v>
      </c>
      <c r="B1303" s="20">
        <f ca="1">INDIRECT(ADDRESS(MATCH(A1303,Raw!$A:$A,0),2,1,1,"Raw"))</f>
        <v>0</v>
      </c>
      <c r="C1303" s="20">
        <f>INDEX(Raw!$C:$C,MATCH(A1303,Raw!$A:$A,0))</f>
        <v>0</v>
      </c>
      <c r="D1303" s="21"/>
    </row>
    <row r="1304" spans="1:4" ht="11.25" customHeight="1" x14ac:dyDescent="0.25">
      <c r="A1304" s="22" t="s">
        <v>1341</v>
      </c>
      <c r="B1304" s="20">
        <f ca="1">INDIRECT(ADDRESS(MATCH(A1304,Raw!$A:$A,0),2,1,1,"Raw"))</f>
        <v>0</v>
      </c>
      <c r="C1304" s="20">
        <f>INDEX(Raw!$C:$C,MATCH(A1304,Raw!$A:$A,0))</f>
        <v>0</v>
      </c>
      <c r="D1304" s="21"/>
    </row>
    <row r="1305" spans="1:4" ht="11.25" customHeight="1" x14ac:dyDescent="0.25">
      <c r="A1305" s="22" t="s">
        <v>1342</v>
      </c>
      <c r="B1305" s="20">
        <f ca="1">INDIRECT(ADDRESS(MATCH(A1305,Raw!$A:$A,0),2,1,1,"Raw"))</f>
        <v>0</v>
      </c>
      <c r="C1305" s="20">
        <f>INDEX(Raw!$C:$C,MATCH(A1305,Raw!$A:$A,0))</f>
        <v>0</v>
      </c>
      <c r="D1305" s="21"/>
    </row>
    <row r="1306" spans="1:4" ht="11.25" customHeight="1" x14ac:dyDescent="0.25">
      <c r="A1306" s="22" t="s">
        <v>1343</v>
      </c>
      <c r="B1306" s="20">
        <f ca="1">INDIRECT(ADDRESS(MATCH(A1306,Raw!$A:$A,0),2,1,1,"Raw"))</f>
        <v>0</v>
      </c>
      <c r="C1306" s="20">
        <f>INDEX(Raw!$C:$C,MATCH(A1306,Raw!$A:$A,0))</f>
        <v>0</v>
      </c>
      <c r="D1306" s="21"/>
    </row>
    <row r="1307" spans="1:4" ht="11.25" customHeight="1" x14ac:dyDescent="0.25">
      <c r="A1307" s="22" t="s">
        <v>1344</v>
      </c>
      <c r="B1307" s="20">
        <f ca="1">INDIRECT(ADDRESS(MATCH(A1307,Raw!$A:$A,0),2,1,1,"Raw"))</f>
        <v>0</v>
      </c>
      <c r="C1307" s="20">
        <f>INDEX(Raw!$C:$C,MATCH(A1307,Raw!$A:$A,0))</f>
        <v>0</v>
      </c>
      <c r="D1307" s="21"/>
    </row>
    <row r="1308" spans="1:4" ht="11.25" customHeight="1" x14ac:dyDescent="0.25">
      <c r="A1308" s="22" t="s">
        <v>1345</v>
      </c>
      <c r="B1308" s="20">
        <f ca="1">INDIRECT(ADDRESS(MATCH(A1308,Raw!$A:$A,0),2,1,1,"Raw"))</f>
        <v>0</v>
      </c>
      <c r="C1308" s="20">
        <f>INDEX(Raw!$C:$C,MATCH(A1308,Raw!$A:$A,0))</f>
        <v>0</v>
      </c>
      <c r="D1308" s="21"/>
    </row>
    <row r="1309" spans="1:4" ht="11.25" customHeight="1" x14ac:dyDescent="0.25">
      <c r="A1309" s="22" t="s">
        <v>1346</v>
      </c>
      <c r="B1309" s="20">
        <f ca="1">INDIRECT(ADDRESS(MATCH(A1309,Raw!$A:$A,0),2,1,1,"Raw"))</f>
        <v>0</v>
      </c>
      <c r="C1309" s="20">
        <f>INDEX(Raw!$C:$C,MATCH(A1309,Raw!$A:$A,0))</f>
        <v>0</v>
      </c>
      <c r="D1309" s="21"/>
    </row>
    <row r="1310" spans="1:4" ht="11.25" customHeight="1" x14ac:dyDescent="0.25">
      <c r="A1310" s="22" t="s">
        <v>1347</v>
      </c>
      <c r="B1310" s="20">
        <f ca="1">INDIRECT(ADDRESS(MATCH(A1310,Raw!$A:$A,0),2,1,1,"Raw"))</f>
        <v>0</v>
      </c>
      <c r="C1310" s="20">
        <f>INDEX(Raw!$C:$C,MATCH(A1310,Raw!$A:$A,0))</f>
        <v>0</v>
      </c>
      <c r="D1310" s="21"/>
    </row>
    <row r="1311" spans="1:4" ht="11.25" customHeight="1" x14ac:dyDescent="0.25">
      <c r="A1311" s="22" t="s">
        <v>1348</v>
      </c>
      <c r="B1311" s="20">
        <f ca="1">INDIRECT(ADDRESS(MATCH(A1311,Raw!$A:$A,0),2,1,1,"Raw"))</f>
        <v>0</v>
      </c>
      <c r="C1311" s="20">
        <f>INDEX(Raw!$C:$C,MATCH(A1311,Raw!$A:$A,0))</f>
        <v>0</v>
      </c>
      <c r="D1311" s="21"/>
    </row>
    <row r="1312" spans="1:4" ht="11.25" customHeight="1" x14ac:dyDescent="0.25">
      <c r="A1312" s="22" t="s">
        <v>1349</v>
      </c>
      <c r="B1312" s="20">
        <f ca="1">INDIRECT(ADDRESS(MATCH(A1312,Raw!$A:$A,0),2,1,1,"Raw"))</f>
        <v>0</v>
      </c>
      <c r="C1312" s="20">
        <f>INDEX(Raw!$C:$C,MATCH(A1312,Raw!$A:$A,0))</f>
        <v>0</v>
      </c>
      <c r="D1312" s="21"/>
    </row>
    <row r="1313" spans="1:4" ht="11.25" customHeight="1" x14ac:dyDescent="0.25">
      <c r="A1313" s="22" t="s">
        <v>1350</v>
      </c>
      <c r="B1313" s="20">
        <f ca="1">INDIRECT(ADDRESS(MATCH(A1313,Raw!$A:$A,0),2,1,1,"Raw"))</f>
        <v>0</v>
      </c>
      <c r="C1313" s="20">
        <f>INDEX(Raw!$C:$C,MATCH(A1313,Raw!$A:$A,0))</f>
        <v>0</v>
      </c>
      <c r="D1313" s="21"/>
    </row>
    <row r="1314" spans="1:4" ht="11.25" customHeight="1" x14ac:dyDescent="0.25">
      <c r="A1314" s="22" t="s">
        <v>1351</v>
      </c>
      <c r="B1314" s="20">
        <f ca="1">INDIRECT(ADDRESS(MATCH(A1314,Raw!$A:$A,0),2,1,1,"Raw"))</f>
        <v>0</v>
      </c>
      <c r="C1314" s="20">
        <f>INDEX(Raw!$C:$C,MATCH(A1314,Raw!$A:$A,0))</f>
        <v>0</v>
      </c>
      <c r="D1314" s="21"/>
    </row>
    <row r="1315" spans="1:4" ht="11.25" customHeight="1" x14ac:dyDescent="0.25">
      <c r="A1315" s="22" t="s">
        <v>1352</v>
      </c>
      <c r="B1315" s="20">
        <f ca="1">INDIRECT(ADDRESS(MATCH(A1315,Raw!$A:$A,0),2,1,1,"Raw"))</f>
        <v>0</v>
      </c>
      <c r="C1315" s="20">
        <f>INDEX(Raw!$C:$C,MATCH(A1315,Raw!$A:$A,0))</f>
        <v>0</v>
      </c>
      <c r="D1315" s="21"/>
    </row>
    <row r="1316" spans="1:4" ht="11.25" customHeight="1" x14ac:dyDescent="0.25">
      <c r="A1316" s="22" t="s">
        <v>1353</v>
      </c>
      <c r="B1316" s="20">
        <f ca="1">INDIRECT(ADDRESS(MATCH(A1316,Raw!$A:$A,0),2,1,1,"Raw"))</f>
        <v>0</v>
      </c>
      <c r="C1316" s="20">
        <f>INDEX(Raw!$C:$C,MATCH(A1316,Raw!$A:$A,0))</f>
        <v>0</v>
      </c>
      <c r="D1316" s="21"/>
    </row>
    <row r="1317" spans="1:4" ht="11.25" customHeight="1" x14ac:dyDescent="0.25">
      <c r="A1317" s="22" t="s">
        <v>1354</v>
      </c>
      <c r="B1317" s="20">
        <f ca="1">INDIRECT(ADDRESS(MATCH(A1317,Raw!$A:$A,0),2,1,1,"Raw"))</f>
        <v>0</v>
      </c>
      <c r="C1317" s="20">
        <f>INDEX(Raw!$C:$C,MATCH(A1317,Raw!$A:$A,0))</f>
        <v>0</v>
      </c>
      <c r="D1317" s="21"/>
    </row>
    <row r="1318" spans="1:4" ht="11.25" customHeight="1" x14ac:dyDescent="0.25">
      <c r="A1318" s="22" t="s">
        <v>1355</v>
      </c>
      <c r="B1318" s="20">
        <f ca="1">INDIRECT(ADDRESS(MATCH(A1318,Raw!$A:$A,0),2,1,1,"Raw"))</f>
        <v>0</v>
      </c>
      <c r="C1318" s="20">
        <f>INDEX(Raw!$C:$C,MATCH(A1318,Raw!$A:$A,0))</f>
        <v>0</v>
      </c>
      <c r="D1318" s="21"/>
    </row>
    <row r="1319" spans="1:4" ht="11.25" customHeight="1" x14ac:dyDescent="0.25">
      <c r="A1319" s="22" t="s">
        <v>1356</v>
      </c>
      <c r="B1319" s="20">
        <f ca="1">INDIRECT(ADDRESS(MATCH(A1319,Raw!$A:$A,0),2,1,1,"Raw"))</f>
        <v>0</v>
      </c>
      <c r="C1319" s="20">
        <f>INDEX(Raw!$C:$C,MATCH(A1319,Raw!$A:$A,0))</f>
        <v>0</v>
      </c>
      <c r="D1319" s="21"/>
    </row>
    <row r="1320" spans="1:4" ht="11.25" customHeight="1" x14ac:dyDescent="0.25">
      <c r="A1320" s="22" t="s">
        <v>1357</v>
      </c>
      <c r="B1320" s="20">
        <f ca="1">INDIRECT(ADDRESS(MATCH(A1320,Raw!$A:$A,0),2,1,1,"Raw"))</f>
        <v>0</v>
      </c>
      <c r="C1320" s="20">
        <f>INDEX(Raw!$C:$C,MATCH(A1320,Raw!$A:$A,0))</f>
        <v>0</v>
      </c>
      <c r="D1320" s="21"/>
    </row>
    <row r="1321" spans="1:4" ht="11.25" customHeight="1" x14ac:dyDescent="0.25">
      <c r="A1321" s="22" t="s">
        <v>1358</v>
      </c>
      <c r="B1321" s="20">
        <f ca="1">INDIRECT(ADDRESS(MATCH(A1321,Raw!$A:$A,0),2,1,1,"Raw"))</f>
        <v>0</v>
      </c>
      <c r="C1321" s="20">
        <f>INDEX(Raw!$C:$C,MATCH(A1321,Raw!$A:$A,0))</f>
        <v>0</v>
      </c>
      <c r="D1321" s="21"/>
    </row>
    <row r="1322" spans="1:4" ht="11.25" customHeight="1" x14ac:dyDescent="0.25">
      <c r="A1322" s="22" t="s">
        <v>1359</v>
      </c>
      <c r="B1322" s="20">
        <f ca="1">INDIRECT(ADDRESS(MATCH(A1322,Raw!$A:$A,0),2,1,1,"Raw"))</f>
        <v>0</v>
      </c>
      <c r="C1322" s="20">
        <f>INDEX(Raw!$C:$C,MATCH(A1322,Raw!$A:$A,0))</f>
        <v>0</v>
      </c>
      <c r="D1322" s="21"/>
    </row>
    <row r="1323" spans="1:4" ht="11.25" customHeight="1" x14ac:dyDescent="0.25">
      <c r="A1323" s="22" t="s">
        <v>1360</v>
      </c>
      <c r="B1323" s="20">
        <f ca="1">INDIRECT(ADDRESS(MATCH(A1323,Raw!$A:$A,0),2,1,1,"Raw"))</f>
        <v>0</v>
      </c>
      <c r="C1323" s="20">
        <f>INDEX(Raw!$C:$C,MATCH(A1323,Raw!$A:$A,0))</f>
        <v>0</v>
      </c>
      <c r="D1323" s="21"/>
    </row>
    <row r="1324" spans="1:4" ht="11.25" customHeight="1" x14ac:dyDescent="0.25">
      <c r="A1324" s="22" t="s">
        <v>1361</v>
      </c>
      <c r="B1324" s="20">
        <f ca="1">INDIRECT(ADDRESS(MATCH(A1324,Raw!$A:$A,0),2,1,1,"Raw"))</f>
        <v>0</v>
      </c>
      <c r="C1324" s="20">
        <f>INDEX(Raw!$C:$C,MATCH(A1324,Raw!$A:$A,0))</f>
        <v>0</v>
      </c>
      <c r="D1324" s="21"/>
    </row>
    <row r="1325" spans="1:4" ht="11.25" customHeight="1" x14ac:dyDescent="0.25">
      <c r="A1325" s="22" t="s">
        <v>1362</v>
      </c>
      <c r="B1325" s="20">
        <f ca="1">INDIRECT(ADDRESS(MATCH(A1325,Raw!$A:$A,0),2,1,1,"Raw"))</f>
        <v>0</v>
      </c>
      <c r="C1325" s="20">
        <f>INDEX(Raw!$C:$C,MATCH(A1325,Raw!$A:$A,0))</f>
        <v>0</v>
      </c>
      <c r="D1325" s="21"/>
    </row>
    <row r="1326" spans="1:4" ht="11.25" customHeight="1" x14ac:dyDescent="0.25">
      <c r="A1326" s="22" t="s">
        <v>1363</v>
      </c>
      <c r="B1326" s="20">
        <f ca="1">INDIRECT(ADDRESS(MATCH(A1326,Raw!$A:$A,0),2,1,1,"Raw"))</f>
        <v>0</v>
      </c>
      <c r="C1326" s="20">
        <f>INDEX(Raw!$C:$C,MATCH(A1326,Raw!$A:$A,0))</f>
        <v>0</v>
      </c>
      <c r="D1326" s="21"/>
    </row>
    <row r="1327" spans="1:4" ht="11.25" customHeight="1" x14ac:dyDescent="0.25">
      <c r="A1327" s="22" t="s">
        <v>1364</v>
      </c>
      <c r="B1327" s="20">
        <f ca="1">INDIRECT(ADDRESS(MATCH(A1327,Raw!$A:$A,0),2,1,1,"Raw"))</f>
        <v>0</v>
      </c>
      <c r="C1327" s="20">
        <f>INDEX(Raw!$C:$C,MATCH(A1327,Raw!$A:$A,0))</f>
        <v>0</v>
      </c>
      <c r="D1327" s="21"/>
    </row>
    <row r="1328" spans="1:4" ht="11.25" customHeight="1" x14ac:dyDescent="0.25">
      <c r="A1328" s="22" t="s">
        <v>1365</v>
      </c>
      <c r="B1328" s="20">
        <f ca="1">INDIRECT(ADDRESS(MATCH(A1328,Raw!$A:$A,0),2,1,1,"Raw"))</f>
        <v>0</v>
      </c>
      <c r="C1328" s="20">
        <f>INDEX(Raw!$C:$C,MATCH(A1328,Raw!$A:$A,0))</f>
        <v>0</v>
      </c>
      <c r="D1328" s="21"/>
    </row>
    <row r="1329" spans="1:4" ht="11.25" customHeight="1" x14ac:dyDescent="0.25">
      <c r="A1329" s="22" t="s">
        <v>1366</v>
      </c>
      <c r="B1329" s="20">
        <f ca="1">INDIRECT(ADDRESS(MATCH(A1329,Raw!$A:$A,0),2,1,1,"Raw"))</f>
        <v>0</v>
      </c>
      <c r="C1329" s="20">
        <f>INDEX(Raw!$C:$C,MATCH(A1329,Raw!$A:$A,0))</f>
        <v>0</v>
      </c>
      <c r="D1329" s="21"/>
    </row>
    <row r="1330" spans="1:4" ht="11.25" customHeight="1" x14ac:dyDescent="0.25">
      <c r="A1330" s="22" t="s">
        <v>1367</v>
      </c>
      <c r="B1330" s="20">
        <f ca="1">INDIRECT(ADDRESS(MATCH(A1330,Raw!$A:$A,0),2,1,1,"Raw"))</f>
        <v>0</v>
      </c>
      <c r="C1330" s="20">
        <f>INDEX(Raw!$C:$C,MATCH(A1330,Raw!$A:$A,0))</f>
        <v>0</v>
      </c>
      <c r="D1330" s="21"/>
    </row>
    <row r="1331" spans="1:4" ht="11.25" customHeight="1" x14ac:dyDescent="0.25">
      <c r="A1331" s="22" t="s">
        <v>1368</v>
      </c>
      <c r="B1331" s="20">
        <f ca="1">INDIRECT(ADDRESS(MATCH(A1331,Raw!$A:$A,0),2,1,1,"Raw"))</f>
        <v>0</v>
      </c>
      <c r="C1331" s="20">
        <f>INDEX(Raw!$C:$C,MATCH(A1331,Raw!$A:$A,0))</f>
        <v>0</v>
      </c>
      <c r="D1331" s="21"/>
    </row>
    <row r="1332" spans="1:4" ht="11.25" customHeight="1" x14ac:dyDescent="0.25">
      <c r="A1332" s="22" t="s">
        <v>1369</v>
      </c>
      <c r="B1332" s="20">
        <f ca="1">INDIRECT(ADDRESS(MATCH(A1332,Raw!$A:$A,0),2,1,1,"Raw"))</f>
        <v>0</v>
      </c>
      <c r="C1332" s="20">
        <f>INDEX(Raw!$C:$C,MATCH(A1332,Raw!$A:$A,0))</f>
        <v>0</v>
      </c>
      <c r="D1332" s="21"/>
    </row>
    <row r="1333" spans="1:4" ht="11.25" customHeight="1" x14ac:dyDescent="0.25">
      <c r="A1333" s="22" t="s">
        <v>1370</v>
      </c>
      <c r="B1333" s="20">
        <f ca="1">INDIRECT(ADDRESS(MATCH(A1333,Raw!$A:$A,0),2,1,1,"Raw"))</f>
        <v>0</v>
      </c>
      <c r="C1333" s="20">
        <f>INDEX(Raw!$C:$C,MATCH(A1333,Raw!$A:$A,0))</f>
        <v>0</v>
      </c>
      <c r="D1333" s="21"/>
    </row>
    <row r="1334" spans="1:4" ht="11.25" customHeight="1" x14ac:dyDescent="0.25">
      <c r="A1334" s="22" t="s">
        <v>1371</v>
      </c>
      <c r="B1334" s="20">
        <f ca="1">INDIRECT(ADDRESS(MATCH(A1334,Raw!$A:$A,0),2,1,1,"Raw"))</f>
        <v>0</v>
      </c>
      <c r="C1334" s="20">
        <f>INDEX(Raw!$C:$C,MATCH(A1334,Raw!$A:$A,0))</f>
        <v>0</v>
      </c>
      <c r="D1334" s="21"/>
    </row>
    <row r="1335" spans="1:4" ht="11.25" customHeight="1" x14ac:dyDescent="0.25">
      <c r="A1335" s="22" t="s">
        <v>1372</v>
      </c>
      <c r="B1335" s="20">
        <f ca="1">INDIRECT(ADDRESS(MATCH(A1335,Raw!$A:$A,0),2,1,1,"Raw"))</f>
        <v>0</v>
      </c>
      <c r="C1335" s="20">
        <f>INDEX(Raw!$C:$C,MATCH(A1335,Raw!$A:$A,0))</f>
        <v>0</v>
      </c>
      <c r="D1335" s="21"/>
    </row>
    <row r="1336" spans="1:4" ht="11.25" customHeight="1" x14ac:dyDescent="0.25">
      <c r="A1336" s="22" t="s">
        <v>1373</v>
      </c>
      <c r="B1336" s="20">
        <f ca="1">INDIRECT(ADDRESS(MATCH(A1336,Raw!$A:$A,0),2,1,1,"Raw"))</f>
        <v>0</v>
      </c>
      <c r="C1336" s="20">
        <f>INDEX(Raw!$C:$C,MATCH(A1336,Raw!$A:$A,0))</f>
        <v>0</v>
      </c>
      <c r="D1336" s="21"/>
    </row>
    <row r="1337" spans="1:4" ht="11.25" customHeight="1" x14ac:dyDescent="0.25">
      <c r="A1337" s="22" t="s">
        <v>1374</v>
      </c>
      <c r="B1337" s="20">
        <f ca="1">INDIRECT(ADDRESS(MATCH(A1337,Raw!$A:$A,0),2,1,1,"Raw"))</f>
        <v>0</v>
      </c>
      <c r="C1337" s="20">
        <f>INDEX(Raw!$C:$C,MATCH(A1337,Raw!$A:$A,0))</f>
        <v>0</v>
      </c>
      <c r="D1337" s="21"/>
    </row>
    <row r="1338" spans="1:4" ht="11.25" customHeight="1" x14ac:dyDescent="0.25">
      <c r="A1338" s="22" t="s">
        <v>1375</v>
      </c>
      <c r="B1338" s="20">
        <f ca="1">INDIRECT(ADDRESS(MATCH(A1338,Raw!$A:$A,0),2,1,1,"Raw"))</f>
        <v>0</v>
      </c>
      <c r="C1338" s="20">
        <f>INDEX(Raw!$C:$C,MATCH(A1338,Raw!$A:$A,0))</f>
        <v>0</v>
      </c>
      <c r="D1338" s="21"/>
    </row>
    <row r="1339" spans="1:4" ht="11.25" customHeight="1" x14ac:dyDescent="0.25">
      <c r="A1339" s="22" t="s">
        <v>1376</v>
      </c>
      <c r="B1339" s="20">
        <f ca="1">INDIRECT(ADDRESS(MATCH(A1339,Raw!$A:$A,0),2,1,1,"Raw"))</f>
        <v>0</v>
      </c>
      <c r="C1339" s="20">
        <f>INDEX(Raw!$C:$C,MATCH(A1339,Raw!$A:$A,0))</f>
        <v>0</v>
      </c>
      <c r="D1339" s="21"/>
    </row>
    <row r="1340" spans="1:4" ht="11.25" customHeight="1" x14ac:dyDescent="0.25">
      <c r="A1340" s="22" t="s">
        <v>1377</v>
      </c>
      <c r="B1340" s="20">
        <f ca="1">INDIRECT(ADDRESS(MATCH(A1340,Raw!$A:$A,0),2,1,1,"Raw"))</f>
        <v>0</v>
      </c>
      <c r="C1340" s="20">
        <f>INDEX(Raw!$C:$C,MATCH(A1340,Raw!$A:$A,0))</f>
        <v>0</v>
      </c>
      <c r="D1340" s="21"/>
    </row>
    <row r="1341" spans="1:4" ht="11.25" customHeight="1" x14ac:dyDescent="0.25">
      <c r="A1341" s="22" t="s">
        <v>1378</v>
      </c>
      <c r="B1341" s="20">
        <f ca="1">INDIRECT(ADDRESS(MATCH(A1341,Raw!$A:$A,0),2,1,1,"Raw"))</f>
        <v>0</v>
      </c>
      <c r="C1341" s="20">
        <f>INDEX(Raw!$C:$C,MATCH(A1341,Raw!$A:$A,0))</f>
        <v>0</v>
      </c>
      <c r="D1341" s="21"/>
    </row>
    <row r="1342" spans="1:4" ht="11.25" customHeight="1" x14ac:dyDescent="0.25">
      <c r="A1342" s="22" t="s">
        <v>1379</v>
      </c>
      <c r="B1342" s="20">
        <f ca="1">INDIRECT(ADDRESS(MATCH(A1342,Raw!$A:$A,0),2,1,1,"Raw"))</f>
        <v>0</v>
      </c>
      <c r="C1342" s="20">
        <f>INDEX(Raw!$C:$C,MATCH(A1342,Raw!$A:$A,0))</f>
        <v>0</v>
      </c>
      <c r="D1342" s="21"/>
    </row>
    <row r="1343" spans="1:4" ht="11.25" customHeight="1" x14ac:dyDescent="0.25">
      <c r="A1343" s="22" t="s">
        <v>1380</v>
      </c>
      <c r="B1343" s="20">
        <f ca="1">INDIRECT(ADDRESS(MATCH(A1343,Raw!$A:$A,0),2,1,1,"Raw"))</f>
        <v>0</v>
      </c>
      <c r="C1343" s="20">
        <f>INDEX(Raw!$C:$C,MATCH(A1343,Raw!$A:$A,0))</f>
        <v>0</v>
      </c>
      <c r="D1343" s="21"/>
    </row>
    <row r="1344" spans="1:4" ht="11.25" customHeight="1" x14ac:dyDescent="0.25">
      <c r="A1344" s="22" t="s">
        <v>1381</v>
      </c>
      <c r="B1344" s="20">
        <f ca="1">INDIRECT(ADDRESS(MATCH(A1344,Raw!$A:$A,0),2,1,1,"Raw"))</f>
        <v>0</v>
      </c>
      <c r="C1344" s="20">
        <f>INDEX(Raw!$C:$C,MATCH(A1344,Raw!$A:$A,0))</f>
        <v>0</v>
      </c>
      <c r="D1344" s="21"/>
    </row>
    <row r="1345" spans="1:4" ht="11.25" customHeight="1" x14ac:dyDescent="0.25">
      <c r="A1345" s="22" t="s">
        <v>1382</v>
      </c>
      <c r="B1345" s="20">
        <f ca="1">INDIRECT(ADDRESS(MATCH(A1345,Raw!$A:$A,0),2,1,1,"Raw"))</f>
        <v>0</v>
      </c>
      <c r="C1345" s="20">
        <f>INDEX(Raw!$C:$C,MATCH(A1345,Raw!$A:$A,0))</f>
        <v>0</v>
      </c>
      <c r="D1345" s="21"/>
    </row>
    <row r="1346" spans="1:4" ht="11.25" customHeight="1" x14ac:dyDescent="0.25">
      <c r="A1346" s="22" t="s">
        <v>1383</v>
      </c>
      <c r="B1346" s="20">
        <f ca="1">INDIRECT(ADDRESS(MATCH(A1346,Raw!$A:$A,0),2,1,1,"Raw"))</f>
        <v>0</v>
      </c>
      <c r="C1346" s="20">
        <f>INDEX(Raw!$C:$C,MATCH(A1346,Raw!$A:$A,0))</f>
        <v>0</v>
      </c>
      <c r="D1346" s="21"/>
    </row>
    <row r="1347" spans="1:4" ht="11.25" customHeight="1" x14ac:dyDescent="0.25">
      <c r="A1347" s="22" t="s">
        <v>1384</v>
      </c>
      <c r="B1347" s="20">
        <f ca="1">INDIRECT(ADDRESS(MATCH(A1347,Raw!$A:$A,0),2,1,1,"Raw"))</f>
        <v>0</v>
      </c>
      <c r="C1347" s="20">
        <f>INDEX(Raw!$C:$C,MATCH(A1347,Raw!$A:$A,0))</f>
        <v>0</v>
      </c>
      <c r="D1347" s="21"/>
    </row>
    <row r="1348" spans="1:4" ht="11.25" customHeight="1" x14ac:dyDescent="0.25">
      <c r="A1348" s="22" t="s">
        <v>1385</v>
      </c>
      <c r="B1348" s="20">
        <f ca="1">INDIRECT(ADDRESS(MATCH(A1348,Raw!$A:$A,0),2,1,1,"Raw"))</f>
        <v>0</v>
      </c>
      <c r="C1348" s="20">
        <f>INDEX(Raw!$C:$C,MATCH(A1348,Raw!$A:$A,0))</f>
        <v>0</v>
      </c>
      <c r="D1348" s="21"/>
    </row>
    <row r="1349" spans="1:4" ht="11.25" customHeight="1" x14ac:dyDescent="0.25">
      <c r="A1349" s="22" t="s">
        <v>1386</v>
      </c>
      <c r="B1349" s="20">
        <f ca="1">INDIRECT(ADDRESS(MATCH(A1349,Raw!$A:$A,0),2,1,1,"Raw"))</f>
        <v>0</v>
      </c>
      <c r="C1349" s="20">
        <f>INDEX(Raw!$C:$C,MATCH(A1349,Raw!$A:$A,0))</f>
        <v>0</v>
      </c>
      <c r="D1349" s="21"/>
    </row>
    <row r="1350" spans="1:4" ht="11.25" customHeight="1" x14ac:dyDescent="0.25">
      <c r="A1350" s="22" t="s">
        <v>1387</v>
      </c>
      <c r="B1350" s="20">
        <f ca="1">INDIRECT(ADDRESS(MATCH(A1350,Raw!$A:$A,0),2,1,1,"Raw"))</f>
        <v>0</v>
      </c>
      <c r="C1350" s="20">
        <f>INDEX(Raw!$C:$C,MATCH(A1350,Raw!$A:$A,0))</f>
        <v>0</v>
      </c>
      <c r="D1350" s="21"/>
    </row>
    <row r="1351" spans="1:4" ht="11.25" customHeight="1" x14ac:dyDescent="0.25">
      <c r="A1351" s="22" t="s">
        <v>1388</v>
      </c>
      <c r="B1351" s="20">
        <f ca="1">INDIRECT(ADDRESS(MATCH(A1351,Raw!$A:$A,0),2,1,1,"Raw"))</f>
        <v>0</v>
      </c>
      <c r="C1351" s="20">
        <f>INDEX(Raw!$C:$C,MATCH(A1351,Raw!$A:$A,0))</f>
        <v>0</v>
      </c>
      <c r="D1351" s="21"/>
    </row>
    <row r="1352" spans="1:4" ht="11.25" customHeight="1" x14ac:dyDescent="0.25">
      <c r="A1352" s="22" t="s">
        <v>1389</v>
      </c>
      <c r="B1352" s="20">
        <f ca="1">INDIRECT(ADDRESS(MATCH(A1352,Raw!$A:$A,0),2,1,1,"Raw"))</f>
        <v>0</v>
      </c>
      <c r="C1352" s="20">
        <f>INDEX(Raw!$C:$C,MATCH(A1352,Raw!$A:$A,0))</f>
        <v>0</v>
      </c>
      <c r="D1352" s="21"/>
    </row>
    <row r="1353" spans="1:4" ht="11.25" customHeight="1" x14ac:dyDescent="0.25">
      <c r="A1353" s="22" t="s">
        <v>1390</v>
      </c>
      <c r="B1353" s="20">
        <f ca="1">INDIRECT(ADDRESS(MATCH(A1353,Raw!$A:$A,0),2,1,1,"Raw"))</f>
        <v>0</v>
      </c>
      <c r="C1353" s="20">
        <f>INDEX(Raw!$C:$C,MATCH(A1353,Raw!$A:$A,0))</f>
        <v>0</v>
      </c>
      <c r="D1353" s="21"/>
    </row>
    <row r="1354" spans="1:4" ht="11.25" customHeight="1" x14ac:dyDescent="0.25">
      <c r="A1354" s="22" t="s">
        <v>1391</v>
      </c>
      <c r="B1354" s="20">
        <f ca="1">INDIRECT(ADDRESS(MATCH(A1354,Raw!$A:$A,0),2,1,1,"Raw"))</f>
        <v>0</v>
      </c>
      <c r="C1354" s="20">
        <f>INDEX(Raw!$C:$C,MATCH(A1354,Raw!$A:$A,0))</f>
        <v>0</v>
      </c>
      <c r="D1354" s="21"/>
    </row>
    <row r="1355" spans="1:4" ht="11.25" customHeight="1" x14ac:dyDescent="0.25">
      <c r="A1355" s="22" t="s">
        <v>1392</v>
      </c>
      <c r="B1355" s="20">
        <f ca="1">INDIRECT(ADDRESS(MATCH(A1355,Raw!$A:$A,0),2,1,1,"Raw"))</f>
        <v>0</v>
      </c>
      <c r="C1355" s="20">
        <f>INDEX(Raw!$C:$C,MATCH(A1355,Raw!$A:$A,0))</f>
        <v>0</v>
      </c>
      <c r="D1355" s="21"/>
    </row>
    <row r="1356" spans="1:4" ht="11.25" customHeight="1" x14ac:dyDescent="0.25">
      <c r="A1356" s="22" t="s">
        <v>1393</v>
      </c>
      <c r="B1356" s="20">
        <f ca="1">INDIRECT(ADDRESS(MATCH(A1356,Raw!$A:$A,0),2,1,1,"Raw"))</f>
        <v>0</v>
      </c>
      <c r="C1356" s="20">
        <f>INDEX(Raw!$C:$C,MATCH(A1356,Raw!$A:$A,0))</f>
        <v>0</v>
      </c>
      <c r="D1356" s="21"/>
    </row>
    <row r="1357" spans="1:4" ht="11.25" customHeight="1" x14ac:dyDescent="0.25">
      <c r="A1357" s="22" t="s">
        <v>1394</v>
      </c>
      <c r="B1357" s="20">
        <f ca="1">INDIRECT(ADDRESS(MATCH(A1357,Raw!$A:$A,0),2,1,1,"Raw"))</f>
        <v>0</v>
      </c>
      <c r="C1357" s="20">
        <f>INDEX(Raw!$C:$C,MATCH(A1357,Raw!$A:$A,0))</f>
        <v>0</v>
      </c>
      <c r="D1357" s="21"/>
    </row>
    <row r="1358" spans="1:4" ht="11.25" customHeight="1" x14ac:dyDescent="0.25">
      <c r="A1358" s="22" t="s">
        <v>1395</v>
      </c>
      <c r="B1358" s="20">
        <f ca="1">INDIRECT(ADDRESS(MATCH(A1358,Raw!$A:$A,0),2,1,1,"Raw"))</f>
        <v>0</v>
      </c>
      <c r="C1358" s="20">
        <f>INDEX(Raw!$C:$C,MATCH(A1358,Raw!$A:$A,0))</f>
        <v>0</v>
      </c>
      <c r="D1358" s="21"/>
    </row>
    <row r="1359" spans="1:4" ht="11.25" customHeight="1" x14ac:dyDescent="0.25">
      <c r="A1359" s="22" t="s">
        <v>1396</v>
      </c>
      <c r="B1359" s="20">
        <f ca="1">INDIRECT(ADDRESS(MATCH(A1359,Raw!$A:$A,0),2,1,1,"Raw"))</f>
        <v>0</v>
      </c>
      <c r="C1359" s="20">
        <f>INDEX(Raw!$C:$C,MATCH(A1359,Raw!$A:$A,0))</f>
        <v>0</v>
      </c>
      <c r="D1359" s="21"/>
    </row>
    <row r="1360" spans="1:4" ht="11.25" customHeight="1" x14ac:dyDescent="0.25">
      <c r="A1360" s="22" t="s">
        <v>1397</v>
      </c>
      <c r="B1360" s="20">
        <f ca="1">INDIRECT(ADDRESS(MATCH(A1360,Raw!$A:$A,0),2,1,1,"Raw"))</f>
        <v>0</v>
      </c>
      <c r="C1360" s="20">
        <f>INDEX(Raw!$C:$C,MATCH(A1360,Raw!$A:$A,0))</f>
        <v>0</v>
      </c>
      <c r="D1360" s="21"/>
    </row>
    <row r="1361" spans="1:4" ht="11.25" customHeight="1" x14ac:dyDescent="0.25">
      <c r="A1361" s="22" t="s">
        <v>1398</v>
      </c>
      <c r="B1361" s="20">
        <f ca="1">INDIRECT(ADDRESS(MATCH(A1361,Raw!$A:$A,0),2,1,1,"Raw"))</f>
        <v>0</v>
      </c>
      <c r="C1361" s="20">
        <f>INDEX(Raw!$C:$C,MATCH(A1361,Raw!$A:$A,0))</f>
        <v>0</v>
      </c>
      <c r="D1361" s="21"/>
    </row>
    <row r="1362" spans="1:4" ht="11.25" customHeight="1" x14ac:dyDescent="0.25">
      <c r="A1362" s="22" t="s">
        <v>1399</v>
      </c>
      <c r="B1362" s="20">
        <f ca="1">INDIRECT(ADDRESS(MATCH(A1362,Raw!$A:$A,0),2,1,1,"Raw"))</f>
        <v>0</v>
      </c>
      <c r="C1362" s="20">
        <f>INDEX(Raw!$C:$C,MATCH(A1362,Raw!$A:$A,0))</f>
        <v>0</v>
      </c>
      <c r="D1362" s="21"/>
    </row>
    <row r="1363" spans="1:4" ht="11.25" customHeight="1" x14ac:dyDescent="0.25">
      <c r="A1363" s="22" t="s">
        <v>1400</v>
      </c>
      <c r="B1363" s="20">
        <f ca="1">INDIRECT(ADDRESS(MATCH(A1363,Raw!$A:$A,0),2,1,1,"Raw"))</f>
        <v>0</v>
      </c>
      <c r="C1363" s="20">
        <f>INDEX(Raw!$C:$C,MATCH(A1363,Raw!$A:$A,0))</f>
        <v>0</v>
      </c>
      <c r="D1363" s="21"/>
    </row>
    <row r="1364" spans="1:4" ht="11.25" customHeight="1" x14ac:dyDescent="0.25">
      <c r="A1364" s="22" t="s">
        <v>1401</v>
      </c>
      <c r="B1364" s="20">
        <f ca="1">INDIRECT(ADDRESS(MATCH(A1364,Raw!$A:$A,0),2,1,1,"Raw"))</f>
        <v>0</v>
      </c>
      <c r="C1364" s="20">
        <f>INDEX(Raw!$C:$C,MATCH(A1364,Raw!$A:$A,0))</f>
        <v>0</v>
      </c>
      <c r="D1364" s="21"/>
    </row>
    <row r="1365" spans="1:4" ht="11.25" customHeight="1" x14ac:dyDescent="0.25">
      <c r="A1365" s="22" t="s">
        <v>1402</v>
      </c>
      <c r="B1365" s="20">
        <f ca="1">INDIRECT(ADDRESS(MATCH(A1365,Raw!$A:$A,0),2,1,1,"Raw"))</f>
        <v>0</v>
      </c>
      <c r="C1365" s="20">
        <f>INDEX(Raw!$C:$C,MATCH(A1365,Raw!$A:$A,0))</f>
        <v>0</v>
      </c>
      <c r="D1365" s="21"/>
    </row>
    <row r="1366" spans="1:4" ht="11.25" customHeight="1" x14ac:dyDescent="0.25">
      <c r="A1366" s="22" t="s">
        <v>1403</v>
      </c>
      <c r="B1366" s="20">
        <f ca="1">INDIRECT(ADDRESS(MATCH(A1366,Raw!$A:$A,0),2,1,1,"Raw"))</f>
        <v>0</v>
      </c>
      <c r="C1366" s="20">
        <f>INDEX(Raw!$C:$C,MATCH(A1366,Raw!$A:$A,0))</f>
        <v>0</v>
      </c>
      <c r="D1366" s="21"/>
    </row>
    <row r="1367" spans="1:4" ht="11.25" customHeight="1" x14ac:dyDescent="0.25">
      <c r="A1367" s="22" t="s">
        <v>1404</v>
      </c>
      <c r="B1367" s="20">
        <f ca="1">INDIRECT(ADDRESS(MATCH(A1367,Raw!$A:$A,0),2,1,1,"Raw"))</f>
        <v>0</v>
      </c>
      <c r="C1367" s="20">
        <f>INDEX(Raw!$C:$C,MATCH(A1367,Raw!$A:$A,0))</f>
        <v>0</v>
      </c>
      <c r="D1367" s="21"/>
    </row>
    <row r="1368" spans="1:4" ht="11.25" customHeight="1" x14ac:dyDescent="0.25">
      <c r="A1368" s="22" t="s">
        <v>1405</v>
      </c>
      <c r="B1368" s="20">
        <f ca="1">INDIRECT(ADDRESS(MATCH(A1368,Raw!$A:$A,0),2,1,1,"Raw"))</f>
        <v>0</v>
      </c>
      <c r="C1368" s="20">
        <f>INDEX(Raw!$C:$C,MATCH(A1368,Raw!$A:$A,0))</f>
        <v>0</v>
      </c>
      <c r="D1368" s="21"/>
    </row>
    <row r="1369" spans="1:4" ht="11.25" customHeight="1" x14ac:dyDescent="0.25">
      <c r="A1369" s="22" t="s">
        <v>1406</v>
      </c>
      <c r="B1369" s="20">
        <f ca="1">INDIRECT(ADDRESS(MATCH(A1369,Raw!$A:$A,0),2,1,1,"Raw"))</f>
        <v>0</v>
      </c>
      <c r="C1369" s="20">
        <f>INDEX(Raw!$C:$C,MATCH(A1369,Raw!$A:$A,0))</f>
        <v>0</v>
      </c>
      <c r="D1369" s="21"/>
    </row>
    <row r="1370" spans="1:4" ht="11.25" customHeight="1" x14ac:dyDescent="0.25">
      <c r="A1370" s="22" t="s">
        <v>1407</v>
      </c>
      <c r="B1370" s="20">
        <f ca="1">INDIRECT(ADDRESS(MATCH(A1370,Raw!$A:$A,0),2,1,1,"Raw"))</f>
        <v>0</v>
      </c>
      <c r="C1370" s="20">
        <f>INDEX(Raw!$C:$C,MATCH(A1370,Raw!$A:$A,0))</f>
        <v>0</v>
      </c>
      <c r="D1370" s="21"/>
    </row>
    <row r="1371" spans="1:4" ht="11.25" customHeight="1" x14ac:dyDescent="0.25">
      <c r="A1371" s="22" t="s">
        <v>1408</v>
      </c>
      <c r="B1371" s="20">
        <f ca="1">INDIRECT(ADDRESS(MATCH(A1371,Raw!$A:$A,0),2,1,1,"Raw"))</f>
        <v>0</v>
      </c>
      <c r="C1371" s="20">
        <f>INDEX(Raw!$C:$C,MATCH(A1371,Raw!$A:$A,0))</f>
        <v>0</v>
      </c>
      <c r="D1371" s="21"/>
    </row>
    <row r="1372" spans="1:4" ht="11.25" customHeight="1" x14ac:dyDescent="0.25">
      <c r="A1372" s="22" t="s">
        <v>1409</v>
      </c>
      <c r="B1372" s="20">
        <f ca="1">INDIRECT(ADDRESS(MATCH(A1372,Raw!$A:$A,0),2,1,1,"Raw"))</f>
        <v>0</v>
      </c>
      <c r="C1372" s="20">
        <f>INDEX(Raw!$C:$C,MATCH(A1372,Raw!$A:$A,0))</f>
        <v>0</v>
      </c>
      <c r="D1372" s="21"/>
    </row>
    <row r="1373" spans="1:4" ht="11.25" customHeight="1" x14ac:dyDescent="0.25">
      <c r="A1373" s="22" t="s">
        <v>1410</v>
      </c>
      <c r="B1373" s="20">
        <f ca="1">INDIRECT(ADDRESS(MATCH(A1373,Raw!$A:$A,0),2,1,1,"Raw"))</f>
        <v>0</v>
      </c>
      <c r="C1373" s="20">
        <f>INDEX(Raw!$C:$C,MATCH(A1373,Raw!$A:$A,0))</f>
        <v>0</v>
      </c>
      <c r="D1373" s="21"/>
    </row>
    <row r="1374" spans="1:4" ht="11.25" customHeight="1" x14ac:dyDescent="0.25">
      <c r="A1374" s="22" t="s">
        <v>1411</v>
      </c>
      <c r="B1374" s="20">
        <f ca="1">INDIRECT(ADDRESS(MATCH(A1374,Raw!$A:$A,0),2,1,1,"Raw"))</f>
        <v>0</v>
      </c>
      <c r="C1374" s="20">
        <f>INDEX(Raw!$C:$C,MATCH(A1374,Raw!$A:$A,0))</f>
        <v>0</v>
      </c>
      <c r="D1374" s="21"/>
    </row>
    <row r="1375" spans="1:4" ht="11.25" customHeight="1" x14ac:dyDescent="0.25">
      <c r="A1375" s="22" t="s">
        <v>1412</v>
      </c>
      <c r="B1375" s="20">
        <f ca="1">INDIRECT(ADDRESS(MATCH(A1375,Raw!$A:$A,0),2,1,1,"Raw"))</f>
        <v>0</v>
      </c>
      <c r="C1375" s="20">
        <f>INDEX(Raw!$C:$C,MATCH(A1375,Raw!$A:$A,0))</f>
        <v>0</v>
      </c>
      <c r="D1375" s="21"/>
    </row>
    <row r="1376" spans="1:4" ht="11.25" customHeight="1" x14ac:dyDescent="0.25">
      <c r="A1376" s="22" t="s">
        <v>1413</v>
      </c>
      <c r="B1376" s="20">
        <f ca="1">INDIRECT(ADDRESS(MATCH(A1376,Raw!$A:$A,0),2,1,1,"Raw"))</f>
        <v>0</v>
      </c>
      <c r="C1376" s="20">
        <f>INDEX(Raw!$C:$C,MATCH(A1376,Raw!$A:$A,0))</f>
        <v>0</v>
      </c>
      <c r="D1376" s="21"/>
    </row>
    <row r="1377" spans="1:4" ht="11.25" customHeight="1" x14ac:dyDescent="0.25">
      <c r="A1377" s="22" t="s">
        <v>1414</v>
      </c>
      <c r="B1377" s="20">
        <f ca="1">INDIRECT(ADDRESS(MATCH(A1377,Raw!$A:$A,0),2,1,1,"Raw"))</f>
        <v>0</v>
      </c>
      <c r="C1377" s="20">
        <f>INDEX(Raw!$C:$C,MATCH(A1377,Raw!$A:$A,0))</f>
        <v>0</v>
      </c>
      <c r="D1377" s="21"/>
    </row>
    <row r="1378" spans="1:4" ht="11.25" customHeight="1" x14ac:dyDescent="0.25">
      <c r="A1378" s="22" t="s">
        <v>1415</v>
      </c>
      <c r="B1378" s="20">
        <f ca="1">INDIRECT(ADDRESS(MATCH(A1378,Raw!$A:$A,0),2,1,1,"Raw"))</f>
        <v>0</v>
      </c>
      <c r="C1378" s="20">
        <f>INDEX(Raw!$C:$C,MATCH(A1378,Raw!$A:$A,0))</f>
        <v>0</v>
      </c>
      <c r="D1378" s="21"/>
    </row>
    <row r="1379" spans="1:4" ht="11.25" customHeight="1" x14ac:dyDescent="0.25">
      <c r="A1379" s="22" t="s">
        <v>1416</v>
      </c>
      <c r="B1379" s="20">
        <f ca="1">INDIRECT(ADDRESS(MATCH(A1379,Raw!$A:$A,0),2,1,1,"Raw"))</f>
        <v>0</v>
      </c>
      <c r="C1379" s="20">
        <f>INDEX(Raw!$C:$C,MATCH(A1379,Raw!$A:$A,0))</f>
        <v>0</v>
      </c>
      <c r="D1379" s="21"/>
    </row>
    <row r="1380" spans="1:4" ht="11.25" customHeight="1" x14ac:dyDescent="0.25">
      <c r="A1380" s="22" t="s">
        <v>1417</v>
      </c>
      <c r="B1380" s="20">
        <f ca="1">INDIRECT(ADDRESS(MATCH(A1380,Raw!$A:$A,0),2,1,1,"Raw"))</f>
        <v>0</v>
      </c>
      <c r="C1380" s="20">
        <f>INDEX(Raw!$C:$C,MATCH(A1380,Raw!$A:$A,0))</f>
        <v>0</v>
      </c>
      <c r="D1380" s="21"/>
    </row>
    <row r="1381" spans="1:4" ht="11.25" customHeight="1" x14ac:dyDescent="0.25">
      <c r="A1381" s="22" t="s">
        <v>1418</v>
      </c>
      <c r="B1381" s="20">
        <f ca="1">INDIRECT(ADDRESS(MATCH(A1381,Raw!$A:$A,0),2,1,1,"Raw"))</f>
        <v>0</v>
      </c>
      <c r="C1381" s="20">
        <f>INDEX(Raw!$C:$C,MATCH(A1381,Raw!$A:$A,0))</f>
        <v>0</v>
      </c>
      <c r="D1381" s="21"/>
    </row>
    <row r="1382" spans="1:4" ht="11.25" customHeight="1" x14ac:dyDescent="0.25">
      <c r="A1382" s="22" t="s">
        <v>1419</v>
      </c>
      <c r="B1382" s="20">
        <f ca="1">INDIRECT(ADDRESS(MATCH(A1382,Raw!$A:$A,0),2,1,1,"Raw"))</f>
        <v>0</v>
      </c>
      <c r="C1382" s="20">
        <f>INDEX(Raw!$C:$C,MATCH(A1382,Raw!$A:$A,0))</f>
        <v>0</v>
      </c>
      <c r="D1382" s="21"/>
    </row>
    <row r="1383" spans="1:4" ht="11.25" customHeight="1" x14ac:dyDescent="0.25">
      <c r="A1383" s="22" t="s">
        <v>1420</v>
      </c>
      <c r="B1383" s="20">
        <f ca="1">INDIRECT(ADDRESS(MATCH(A1383,Raw!$A:$A,0),2,1,1,"Raw"))</f>
        <v>0</v>
      </c>
      <c r="C1383" s="20">
        <f>INDEX(Raw!$C:$C,MATCH(A1383,Raw!$A:$A,0))</f>
        <v>0</v>
      </c>
      <c r="D1383" s="21"/>
    </row>
    <row r="1384" spans="1:4" ht="11.25" customHeight="1" x14ac:dyDescent="0.25">
      <c r="A1384" s="22" t="s">
        <v>1421</v>
      </c>
      <c r="B1384" s="20">
        <f ca="1">INDIRECT(ADDRESS(MATCH(A1384,Raw!$A:$A,0),2,1,1,"Raw"))</f>
        <v>0</v>
      </c>
      <c r="C1384" s="20">
        <f>INDEX(Raw!$C:$C,MATCH(A1384,Raw!$A:$A,0))</f>
        <v>0</v>
      </c>
      <c r="D1384" s="21"/>
    </row>
    <row r="1385" spans="1:4" ht="11.25" customHeight="1" x14ac:dyDescent="0.25">
      <c r="A1385" s="22" t="s">
        <v>1422</v>
      </c>
      <c r="B1385" s="20">
        <f ca="1">INDIRECT(ADDRESS(MATCH(A1385,Raw!$A:$A,0),2,1,1,"Raw"))</f>
        <v>0</v>
      </c>
      <c r="C1385" s="20">
        <f>INDEX(Raw!$C:$C,MATCH(A1385,Raw!$A:$A,0))</f>
        <v>0</v>
      </c>
      <c r="D1385" s="21"/>
    </row>
    <row r="1386" spans="1:4" ht="11.25" customHeight="1" x14ac:dyDescent="0.25">
      <c r="A1386" s="22" t="s">
        <v>1423</v>
      </c>
      <c r="B1386" s="20">
        <f ca="1">INDIRECT(ADDRESS(MATCH(A1386,Raw!$A:$A,0),2,1,1,"Raw"))</f>
        <v>0</v>
      </c>
      <c r="C1386" s="20">
        <f>INDEX(Raw!$C:$C,MATCH(A1386,Raw!$A:$A,0))</f>
        <v>0</v>
      </c>
      <c r="D1386" s="21"/>
    </row>
    <row r="1387" spans="1:4" ht="11.25" customHeight="1" x14ac:dyDescent="0.25">
      <c r="A1387" s="22" t="s">
        <v>1424</v>
      </c>
      <c r="B1387" s="20">
        <f ca="1">INDIRECT(ADDRESS(MATCH(A1387,Raw!$A:$A,0),2,1,1,"Raw"))</f>
        <v>0</v>
      </c>
      <c r="C1387" s="20">
        <f>INDEX(Raw!$C:$C,MATCH(A1387,Raw!$A:$A,0))</f>
        <v>0</v>
      </c>
      <c r="D1387" s="21"/>
    </row>
    <row r="1388" spans="1:4" ht="11.25" customHeight="1" x14ac:dyDescent="0.25">
      <c r="A1388" s="22" t="s">
        <v>1425</v>
      </c>
      <c r="B1388" s="20">
        <f ca="1">INDIRECT(ADDRESS(MATCH(A1388,Raw!$A:$A,0),2,1,1,"Raw"))</f>
        <v>0</v>
      </c>
      <c r="C1388" s="20">
        <f>INDEX(Raw!$C:$C,MATCH(A1388,Raw!$A:$A,0))</f>
        <v>0</v>
      </c>
      <c r="D1388" s="21"/>
    </row>
    <row r="1389" spans="1:4" ht="11.25" customHeight="1" x14ac:dyDescent="0.25">
      <c r="A1389" s="22" t="s">
        <v>1426</v>
      </c>
      <c r="B1389" s="20">
        <f ca="1">INDIRECT(ADDRESS(MATCH(A1389,Raw!$A:$A,0),2,1,1,"Raw"))</f>
        <v>0</v>
      </c>
      <c r="C1389" s="20">
        <f>INDEX(Raw!$C:$C,MATCH(A1389,Raw!$A:$A,0))</f>
        <v>0</v>
      </c>
      <c r="D1389" s="21"/>
    </row>
    <row r="1390" spans="1:4" ht="11.25" customHeight="1" x14ac:dyDescent="0.25">
      <c r="A1390" s="22" t="s">
        <v>1427</v>
      </c>
      <c r="B1390" s="20">
        <f ca="1">INDIRECT(ADDRESS(MATCH(A1390,Raw!$A:$A,0),2,1,1,"Raw"))</f>
        <v>0</v>
      </c>
      <c r="C1390" s="20">
        <f>INDEX(Raw!$C:$C,MATCH(A1390,Raw!$A:$A,0))</f>
        <v>0</v>
      </c>
      <c r="D1390" s="21"/>
    </row>
    <row r="1391" spans="1:4" ht="11.25" customHeight="1" x14ac:dyDescent="0.25">
      <c r="A1391" s="22" t="s">
        <v>1428</v>
      </c>
      <c r="B1391" s="20">
        <f ca="1">INDIRECT(ADDRESS(MATCH(A1391,Raw!$A:$A,0),2,1,1,"Raw"))</f>
        <v>0</v>
      </c>
      <c r="C1391" s="20">
        <f>INDEX(Raw!$C:$C,MATCH(A1391,Raw!$A:$A,0))</f>
        <v>0</v>
      </c>
      <c r="D1391" s="21"/>
    </row>
    <row r="1392" spans="1:4" ht="11.25" customHeight="1" x14ac:dyDescent="0.25">
      <c r="A1392" s="22" t="s">
        <v>1429</v>
      </c>
      <c r="B1392" s="20">
        <f ca="1">INDIRECT(ADDRESS(MATCH(A1392,Raw!$A:$A,0),2,1,1,"Raw"))</f>
        <v>0</v>
      </c>
      <c r="C1392" s="20">
        <f>INDEX(Raw!$C:$C,MATCH(A1392,Raw!$A:$A,0))</f>
        <v>0</v>
      </c>
      <c r="D1392" s="21"/>
    </row>
    <row r="1393" spans="1:4" ht="11.25" customHeight="1" x14ac:dyDescent="0.25">
      <c r="A1393" s="22" t="s">
        <v>1430</v>
      </c>
      <c r="B1393" s="20">
        <f ca="1">INDIRECT(ADDRESS(MATCH(A1393,Raw!$A:$A,0),2,1,1,"Raw"))</f>
        <v>0</v>
      </c>
      <c r="C1393" s="20">
        <f>INDEX(Raw!$C:$C,MATCH(A1393,Raw!$A:$A,0))</f>
        <v>0</v>
      </c>
      <c r="D1393" s="21"/>
    </row>
    <row r="1394" spans="1:4" ht="11.25" customHeight="1" x14ac:dyDescent="0.25">
      <c r="A1394" s="22" t="s">
        <v>1431</v>
      </c>
      <c r="B1394" s="20">
        <f ca="1">INDIRECT(ADDRESS(MATCH(A1394,Raw!$A:$A,0),2,1,1,"Raw"))</f>
        <v>0</v>
      </c>
      <c r="C1394" s="20">
        <f>INDEX(Raw!$C:$C,MATCH(A1394,Raw!$A:$A,0))</f>
        <v>0</v>
      </c>
      <c r="D1394" s="21"/>
    </row>
    <row r="1395" spans="1:4" ht="11.25" customHeight="1" x14ac:dyDescent="0.25">
      <c r="A1395" s="22" t="s">
        <v>1432</v>
      </c>
      <c r="B1395" s="20">
        <f ca="1">INDIRECT(ADDRESS(MATCH(A1395,Raw!$A:$A,0),2,1,1,"Raw"))</f>
        <v>0</v>
      </c>
      <c r="C1395" s="20">
        <f>INDEX(Raw!$C:$C,MATCH(A1395,Raw!$A:$A,0))</f>
        <v>0</v>
      </c>
      <c r="D1395" s="21"/>
    </row>
    <row r="1396" spans="1:4" ht="11.25" customHeight="1" x14ac:dyDescent="0.25">
      <c r="A1396" s="22" t="s">
        <v>1433</v>
      </c>
      <c r="B1396" s="20">
        <f ca="1">INDIRECT(ADDRESS(MATCH(A1396,Raw!$A:$A,0),2,1,1,"Raw"))</f>
        <v>0</v>
      </c>
      <c r="C1396" s="20">
        <f>INDEX(Raw!$C:$C,MATCH(A1396,Raw!$A:$A,0))</f>
        <v>0</v>
      </c>
      <c r="D1396" s="21"/>
    </row>
    <row r="1397" spans="1:4" ht="11.25" customHeight="1" x14ac:dyDescent="0.25">
      <c r="A1397" s="22" t="s">
        <v>1434</v>
      </c>
      <c r="B1397" s="20">
        <f ca="1">INDIRECT(ADDRESS(MATCH(A1397,Raw!$A:$A,0),2,1,1,"Raw"))</f>
        <v>0</v>
      </c>
      <c r="C1397" s="20">
        <f>INDEX(Raw!$C:$C,MATCH(A1397,Raw!$A:$A,0))</f>
        <v>0</v>
      </c>
      <c r="D1397" s="21"/>
    </row>
    <row r="1398" spans="1:4" ht="11.25" customHeight="1" x14ac:dyDescent="0.25">
      <c r="A1398" s="22" t="s">
        <v>1435</v>
      </c>
      <c r="B1398" s="20">
        <f ca="1">INDIRECT(ADDRESS(MATCH(A1398,Raw!$A:$A,0),2,1,1,"Raw"))</f>
        <v>0</v>
      </c>
      <c r="C1398" s="20">
        <f>INDEX(Raw!$C:$C,MATCH(A1398,Raw!$A:$A,0))</f>
        <v>0</v>
      </c>
      <c r="D1398" s="21"/>
    </row>
    <row r="1399" spans="1:4" ht="11.25" customHeight="1" x14ac:dyDescent="0.25">
      <c r="A1399" s="22" t="s">
        <v>1436</v>
      </c>
      <c r="B1399" s="20">
        <f ca="1">INDIRECT(ADDRESS(MATCH(A1399,Raw!$A:$A,0),2,1,1,"Raw"))</f>
        <v>0</v>
      </c>
      <c r="C1399" s="20">
        <f>INDEX(Raw!$C:$C,MATCH(A1399,Raw!$A:$A,0))</f>
        <v>0</v>
      </c>
      <c r="D1399" s="21"/>
    </row>
    <row r="1400" spans="1:4" ht="11.25" customHeight="1" x14ac:dyDescent="0.25">
      <c r="A1400" s="22" t="s">
        <v>1437</v>
      </c>
      <c r="B1400" s="20">
        <f ca="1">INDIRECT(ADDRESS(MATCH(A1400,Raw!$A:$A,0),2,1,1,"Raw"))</f>
        <v>0</v>
      </c>
      <c r="C1400" s="20">
        <f>INDEX(Raw!$C:$C,MATCH(A1400,Raw!$A:$A,0))</f>
        <v>0</v>
      </c>
      <c r="D1400" s="21"/>
    </row>
    <row r="1401" spans="1:4" ht="11.25" customHeight="1" x14ac:dyDescent="0.25">
      <c r="A1401" s="22" t="s">
        <v>1438</v>
      </c>
      <c r="B1401" s="20">
        <f ca="1">INDIRECT(ADDRESS(MATCH(A1401,Raw!$A:$A,0),2,1,1,"Raw"))</f>
        <v>0</v>
      </c>
      <c r="C1401" s="20">
        <f>INDEX(Raw!$C:$C,MATCH(A1401,Raw!$A:$A,0))</f>
        <v>0</v>
      </c>
      <c r="D1401" s="21"/>
    </row>
    <row r="1402" spans="1:4" ht="11.25" customHeight="1" x14ac:dyDescent="0.25">
      <c r="A1402" s="22" t="s">
        <v>1439</v>
      </c>
      <c r="B1402" s="20">
        <f ca="1">INDIRECT(ADDRESS(MATCH(A1402,Raw!$A:$A,0),2,1,1,"Raw"))</f>
        <v>0</v>
      </c>
      <c r="C1402" s="20">
        <f>INDEX(Raw!$C:$C,MATCH(A1402,Raw!$A:$A,0))</f>
        <v>0</v>
      </c>
      <c r="D1402" s="21"/>
    </row>
    <row r="1403" spans="1:4" ht="11.25" customHeight="1" x14ac:dyDescent="0.25">
      <c r="A1403" s="22" t="s">
        <v>1440</v>
      </c>
      <c r="B1403" s="20">
        <f ca="1">INDIRECT(ADDRESS(MATCH(A1403,Raw!$A:$A,0),2,1,1,"Raw"))</f>
        <v>0</v>
      </c>
      <c r="C1403" s="20">
        <f>INDEX(Raw!$C:$C,MATCH(A1403,Raw!$A:$A,0))</f>
        <v>0</v>
      </c>
      <c r="D1403" s="21"/>
    </row>
    <row r="1404" spans="1:4" ht="11.25" customHeight="1" x14ac:dyDescent="0.25">
      <c r="A1404" s="22" t="s">
        <v>1441</v>
      </c>
      <c r="B1404" s="20">
        <f ca="1">INDIRECT(ADDRESS(MATCH(A1404,Raw!$A:$A,0),2,1,1,"Raw"))</f>
        <v>0</v>
      </c>
      <c r="C1404" s="20">
        <f>INDEX(Raw!$C:$C,MATCH(A1404,Raw!$A:$A,0))</f>
        <v>0</v>
      </c>
      <c r="D1404" s="21"/>
    </row>
    <row r="1405" spans="1:4" ht="11.25" customHeight="1" x14ac:dyDescent="0.25">
      <c r="A1405" s="22" t="s">
        <v>1442</v>
      </c>
      <c r="B1405" s="20">
        <f ca="1">INDIRECT(ADDRESS(MATCH(A1405,Raw!$A:$A,0),2,1,1,"Raw"))</f>
        <v>0</v>
      </c>
      <c r="C1405" s="20">
        <f>INDEX(Raw!$C:$C,MATCH(A1405,Raw!$A:$A,0))</f>
        <v>0</v>
      </c>
      <c r="D1405" s="21"/>
    </row>
    <row r="1406" spans="1:4" ht="11.25" customHeight="1" x14ac:dyDescent="0.25">
      <c r="A1406" s="22" t="s">
        <v>1443</v>
      </c>
      <c r="B1406" s="20">
        <f ca="1">INDIRECT(ADDRESS(MATCH(A1406,Raw!$A:$A,0),2,1,1,"Raw"))</f>
        <v>0</v>
      </c>
      <c r="C1406" s="20">
        <f>INDEX(Raw!$C:$C,MATCH(A1406,Raw!$A:$A,0))</f>
        <v>0</v>
      </c>
      <c r="D1406" s="21"/>
    </row>
    <row r="1407" spans="1:4" ht="11.25" customHeight="1" x14ac:dyDescent="0.25">
      <c r="A1407" s="22" t="s">
        <v>1444</v>
      </c>
      <c r="B1407" s="20">
        <f ca="1">INDIRECT(ADDRESS(MATCH(A1407,Raw!$A:$A,0),2,1,1,"Raw"))</f>
        <v>0</v>
      </c>
      <c r="C1407" s="20">
        <f>INDEX(Raw!$C:$C,MATCH(A1407,Raw!$A:$A,0))</f>
        <v>0</v>
      </c>
      <c r="D1407" s="21"/>
    </row>
    <row r="1408" spans="1:4" ht="11.25" customHeight="1" x14ac:dyDescent="0.25">
      <c r="A1408" s="22" t="s">
        <v>1445</v>
      </c>
      <c r="B1408" s="20">
        <f ca="1">INDIRECT(ADDRESS(MATCH(A1408,Raw!$A:$A,0),2,1,1,"Raw"))</f>
        <v>0</v>
      </c>
      <c r="C1408" s="20">
        <f>INDEX(Raw!$C:$C,MATCH(A1408,Raw!$A:$A,0))</f>
        <v>0</v>
      </c>
      <c r="D1408" s="21"/>
    </row>
    <row r="1409" spans="1:4" ht="11.25" customHeight="1" x14ac:dyDescent="0.25">
      <c r="A1409" s="22" t="s">
        <v>1446</v>
      </c>
      <c r="B1409" s="20">
        <f ca="1">INDIRECT(ADDRESS(MATCH(A1409,Raw!$A:$A,0),2,1,1,"Raw"))</f>
        <v>0</v>
      </c>
      <c r="C1409" s="20">
        <f>INDEX(Raw!$C:$C,MATCH(A1409,Raw!$A:$A,0))</f>
        <v>0</v>
      </c>
      <c r="D1409" s="21"/>
    </row>
    <row r="1410" spans="1:4" ht="11.25" customHeight="1" x14ac:dyDescent="0.25">
      <c r="A1410" s="22" t="s">
        <v>1447</v>
      </c>
      <c r="B1410" s="20">
        <f ca="1">INDIRECT(ADDRESS(MATCH(A1410,Raw!$A:$A,0),2,1,1,"Raw"))</f>
        <v>0</v>
      </c>
      <c r="C1410" s="20">
        <f>INDEX(Raw!$C:$C,MATCH(A1410,Raw!$A:$A,0))</f>
        <v>0</v>
      </c>
      <c r="D1410" s="21"/>
    </row>
    <row r="1411" spans="1:4" ht="11.25" customHeight="1" x14ac:dyDescent="0.25">
      <c r="A1411" s="22" t="s">
        <v>1448</v>
      </c>
      <c r="B1411" s="20">
        <f ca="1">INDIRECT(ADDRESS(MATCH(A1411,Raw!$A:$A,0),2,1,1,"Raw"))</f>
        <v>0</v>
      </c>
      <c r="C1411" s="20">
        <f>INDEX(Raw!$C:$C,MATCH(A1411,Raw!$A:$A,0))</f>
        <v>0</v>
      </c>
      <c r="D1411" s="21"/>
    </row>
    <row r="1412" spans="1:4" ht="11.25" customHeight="1" x14ac:dyDescent="0.25">
      <c r="A1412" s="22" t="s">
        <v>1449</v>
      </c>
      <c r="B1412" s="20">
        <f ca="1">INDIRECT(ADDRESS(MATCH(A1412,Raw!$A:$A,0),2,1,1,"Raw"))</f>
        <v>0</v>
      </c>
      <c r="C1412" s="20">
        <f>INDEX(Raw!$C:$C,MATCH(A1412,Raw!$A:$A,0))</f>
        <v>0</v>
      </c>
      <c r="D1412" s="21"/>
    </row>
    <row r="1413" spans="1:4" ht="11.25" customHeight="1" x14ac:dyDescent="0.25">
      <c r="A1413" s="22" t="s">
        <v>1450</v>
      </c>
      <c r="B1413" s="20">
        <f ca="1">INDIRECT(ADDRESS(MATCH(A1413,Raw!$A:$A,0),2,1,1,"Raw"))</f>
        <v>0</v>
      </c>
      <c r="C1413" s="20">
        <f>INDEX(Raw!$C:$C,MATCH(A1413,Raw!$A:$A,0))</f>
        <v>0</v>
      </c>
      <c r="D1413" s="21"/>
    </row>
    <row r="1414" spans="1:4" ht="11.25" customHeight="1" x14ac:dyDescent="0.25">
      <c r="A1414" s="22" t="s">
        <v>1451</v>
      </c>
      <c r="B1414" s="20">
        <f ca="1">INDIRECT(ADDRESS(MATCH(A1414,Raw!$A:$A,0),2,1,1,"Raw"))</f>
        <v>0</v>
      </c>
      <c r="C1414" s="20">
        <f>INDEX(Raw!$C:$C,MATCH(A1414,Raw!$A:$A,0))</f>
        <v>0</v>
      </c>
      <c r="D1414" s="21"/>
    </row>
    <row r="1415" spans="1:4" ht="11.25" customHeight="1" x14ac:dyDescent="0.25">
      <c r="A1415" s="22" t="s">
        <v>1452</v>
      </c>
      <c r="B1415" s="20">
        <f ca="1">INDIRECT(ADDRESS(MATCH(A1415,Raw!$A:$A,0),2,1,1,"Raw"))</f>
        <v>0</v>
      </c>
      <c r="C1415" s="20">
        <f>INDEX(Raw!$C:$C,MATCH(A1415,Raw!$A:$A,0))</f>
        <v>0</v>
      </c>
      <c r="D1415" s="21"/>
    </row>
    <row r="1416" spans="1:4" ht="11.25" customHeight="1" x14ac:dyDescent="0.25">
      <c r="A1416" s="22" t="s">
        <v>1453</v>
      </c>
      <c r="B1416" s="20">
        <f ca="1">INDIRECT(ADDRESS(MATCH(A1416,Raw!$A:$A,0),2,1,1,"Raw"))</f>
        <v>0</v>
      </c>
      <c r="C1416" s="20">
        <f>INDEX(Raw!$C:$C,MATCH(A1416,Raw!$A:$A,0))</f>
        <v>0</v>
      </c>
      <c r="D1416" s="21"/>
    </row>
    <row r="1417" spans="1:4" ht="11.25" customHeight="1" x14ac:dyDescent="0.25">
      <c r="A1417" s="22" t="s">
        <v>1454</v>
      </c>
      <c r="B1417" s="20">
        <f ca="1">INDIRECT(ADDRESS(MATCH(A1417,Raw!$A:$A,0),2,1,1,"Raw"))</f>
        <v>0</v>
      </c>
      <c r="C1417" s="20">
        <f>INDEX(Raw!$C:$C,MATCH(A1417,Raw!$A:$A,0))</f>
        <v>0</v>
      </c>
      <c r="D1417" s="21"/>
    </row>
    <row r="1418" spans="1:4" ht="11.25" customHeight="1" x14ac:dyDescent="0.25">
      <c r="A1418" s="22" t="s">
        <v>1455</v>
      </c>
      <c r="B1418" s="20">
        <f ca="1">INDIRECT(ADDRESS(MATCH(A1418,Raw!$A:$A,0),2,1,1,"Raw"))</f>
        <v>0</v>
      </c>
      <c r="C1418" s="20">
        <f>INDEX(Raw!$C:$C,MATCH(A1418,Raw!$A:$A,0))</f>
        <v>0</v>
      </c>
      <c r="D1418" s="21"/>
    </row>
    <row r="1419" spans="1:4" ht="11.25" customHeight="1" x14ac:dyDescent="0.25">
      <c r="A1419" s="22" t="s">
        <v>1456</v>
      </c>
      <c r="B1419" s="20">
        <f ca="1">INDIRECT(ADDRESS(MATCH(A1419,Raw!$A:$A,0),2,1,1,"Raw"))</f>
        <v>0</v>
      </c>
      <c r="C1419" s="20">
        <f>INDEX(Raw!$C:$C,MATCH(A1419,Raw!$A:$A,0))</f>
        <v>0</v>
      </c>
      <c r="D1419" s="21"/>
    </row>
    <row r="1420" spans="1:4" ht="11.25" customHeight="1" x14ac:dyDescent="0.25">
      <c r="A1420" s="22" t="s">
        <v>1457</v>
      </c>
      <c r="B1420" s="20">
        <f ca="1">INDIRECT(ADDRESS(MATCH(A1420,Raw!$A:$A,0),2,1,1,"Raw"))</f>
        <v>0</v>
      </c>
      <c r="C1420" s="20">
        <f>INDEX(Raw!$C:$C,MATCH(A1420,Raw!$A:$A,0))</f>
        <v>0</v>
      </c>
      <c r="D1420" s="21"/>
    </row>
    <row r="1421" spans="1:4" ht="11.25" customHeight="1" x14ac:dyDescent="0.25">
      <c r="A1421" s="22" t="s">
        <v>1458</v>
      </c>
      <c r="B1421" s="20">
        <f ca="1">INDIRECT(ADDRESS(MATCH(A1421,Raw!$A:$A,0),2,1,1,"Raw"))</f>
        <v>0</v>
      </c>
      <c r="C1421" s="20">
        <f>INDEX(Raw!$C:$C,MATCH(A1421,Raw!$A:$A,0))</f>
        <v>0</v>
      </c>
      <c r="D1421" s="21"/>
    </row>
    <row r="1422" spans="1:4" ht="11.25" customHeight="1" x14ac:dyDescent="0.25">
      <c r="A1422" s="22" t="s">
        <v>1459</v>
      </c>
      <c r="B1422" s="20">
        <f ca="1">INDIRECT(ADDRESS(MATCH(A1422,Raw!$A:$A,0),2,1,1,"Raw"))</f>
        <v>0</v>
      </c>
      <c r="C1422" s="20">
        <f>INDEX(Raw!$C:$C,MATCH(A1422,Raw!$A:$A,0))</f>
        <v>0</v>
      </c>
      <c r="D1422" s="21"/>
    </row>
    <row r="1423" spans="1:4" ht="11.25" customHeight="1" x14ac:dyDescent="0.25">
      <c r="A1423" s="22" t="s">
        <v>1460</v>
      </c>
      <c r="B1423" s="20">
        <f ca="1">INDIRECT(ADDRESS(MATCH(A1423,Raw!$A:$A,0),2,1,1,"Raw"))</f>
        <v>0</v>
      </c>
      <c r="C1423" s="20">
        <f>INDEX(Raw!$C:$C,MATCH(A1423,Raw!$A:$A,0))</f>
        <v>0</v>
      </c>
      <c r="D1423" s="21"/>
    </row>
    <row r="1424" spans="1:4" ht="11.25" customHeight="1" x14ac:dyDescent="0.25">
      <c r="A1424" s="22" t="s">
        <v>1461</v>
      </c>
      <c r="B1424" s="20">
        <f ca="1">INDIRECT(ADDRESS(MATCH(A1424,Raw!$A:$A,0),2,1,1,"Raw"))</f>
        <v>0</v>
      </c>
      <c r="C1424" s="20">
        <f>INDEX(Raw!$C:$C,MATCH(A1424,Raw!$A:$A,0))</f>
        <v>0</v>
      </c>
      <c r="D1424" s="21"/>
    </row>
    <row r="1425" spans="1:4" ht="11.25" customHeight="1" x14ac:dyDescent="0.25">
      <c r="A1425" s="22" t="s">
        <v>1462</v>
      </c>
      <c r="B1425" s="20">
        <f ca="1">INDIRECT(ADDRESS(MATCH(A1425,Raw!$A:$A,0),2,1,1,"Raw"))</f>
        <v>0</v>
      </c>
      <c r="C1425" s="20">
        <f>INDEX(Raw!$C:$C,MATCH(A1425,Raw!$A:$A,0))</f>
        <v>0</v>
      </c>
      <c r="D1425" s="21"/>
    </row>
    <row r="1426" spans="1:4" ht="11.25" customHeight="1" x14ac:dyDescent="0.25">
      <c r="A1426" s="22" t="s">
        <v>1463</v>
      </c>
      <c r="B1426" s="20">
        <f ca="1">INDIRECT(ADDRESS(MATCH(A1426,Raw!$A:$A,0),2,1,1,"Raw"))</f>
        <v>0</v>
      </c>
      <c r="C1426" s="20">
        <f>INDEX(Raw!$C:$C,MATCH(A1426,Raw!$A:$A,0))</f>
        <v>0</v>
      </c>
      <c r="D1426" s="21"/>
    </row>
    <row r="1427" spans="1:4" ht="11.25" customHeight="1" x14ac:dyDescent="0.25">
      <c r="A1427" s="22" t="s">
        <v>1464</v>
      </c>
      <c r="B1427" s="20">
        <f ca="1">INDIRECT(ADDRESS(MATCH(A1427,Raw!$A:$A,0),2,1,1,"Raw"))</f>
        <v>0</v>
      </c>
      <c r="C1427" s="20">
        <f>INDEX(Raw!$C:$C,MATCH(A1427,Raw!$A:$A,0))</f>
        <v>0</v>
      </c>
      <c r="D1427" s="21"/>
    </row>
    <row r="1428" spans="1:4" ht="11.25" customHeight="1" x14ac:dyDescent="0.25">
      <c r="A1428" s="22" t="s">
        <v>1465</v>
      </c>
      <c r="B1428" s="20">
        <f ca="1">INDIRECT(ADDRESS(MATCH(A1428,Raw!$A:$A,0),2,1,1,"Raw"))</f>
        <v>0</v>
      </c>
      <c r="C1428" s="20">
        <f>INDEX(Raw!$C:$C,MATCH(A1428,Raw!$A:$A,0))</f>
        <v>0</v>
      </c>
      <c r="D1428" s="21"/>
    </row>
    <row r="1429" spans="1:4" ht="11.25" customHeight="1" x14ac:dyDescent="0.25">
      <c r="A1429" s="22" t="s">
        <v>1466</v>
      </c>
      <c r="B1429" s="20">
        <f ca="1">INDIRECT(ADDRESS(MATCH(A1429,Raw!$A:$A,0),2,1,1,"Raw"))</f>
        <v>0</v>
      </c>
      <c r="C1429" s="20">
        <f>INDEX(Raw!$C:$C,MATCH(A1429,Raw!$A:$A,0))</f>
        <v>0</v>
      </c>
      <c r="D1429" s="21"/>
    </row>
    <row r="1430" spans="1:4" ht="11.25" customHeight="1" x14ac:dyDescent="0.25">
      <c r="A1430" s="22" t="s">
        <v>1467</v>
      </c>
      <c r="B1430" s="20">
        <f ca="1">INDIRECT(ADDRESS(MATCH(A1430,Raw!$A:$A,0),2,1,1,"Raw"))</f>
        <v>0</v>
      </c>
      <c r="C1430" s="20">
        <f>INDEX(Raw!$C:$C,MATCH(A1430,Raw!$A:$A,0))</f>
        <v>0</v>
      </c>
      <c r="D1430" s="21"/>
    </row>
    <row r="1431" spans="1:4" ht="11.25" customHeight="1" x14ac:dyDescent="0.25">
      <c r="A1431" s="22" t="s">
        <v>1468</v>
      </c>
      <c r="B1431" s="20">
        <f ca="1">INDIRECT(ADDRESS(MATCH(A1431,Raw!$A:$A,0),2,1,1,"Raw"))</f>
        <v>0</v>
      </c>
      <c r="C1431" s="20">
        <f>INDEX(Raw!$C:$C,MATCH(A1431,Raw!$A:$A,0))</f>
        <v>0</v>
      </c>
      <c r="D1431" s="21"/>
    </row>
    <row r="1432" spans="1:4" ht="11.25" customHeight="1" x14ac:dyDescent="0.25">
      <c r="A1432" s="22" t="s">
        <v>1469</v>
      </c>
      <c r="B1432" s="20">
        <f ca="1">INDIRECT(ADDRESS(MATCH(A1432,Raw!$A:$A,0),2,1,1,"Raw"))</f>
        <v>0</v>
      </c>
      <c r="C1432" s="20">
        <f>INDEX(Raw!$C:$C,MATCH(A1432,Raw!$A:$A,0))</f>
        <v>0</v>
      </c>
      <c r="D1432" s="21"/>
    </row>
    <row r="1433" spans="1:4" ht="11.25" customHeight="1" x14ac:dyDescent="0.25">
      <c r="A1433" s="22" t="s">
        <v>1470</v>
      </c>
      <c r="B1433" s="20">
        <f ca="1">INDIRECT(ADDRESS(MATCH(A1433,Raw!$A:$A,0),2,1,1,"Raw"))</f>
        <v>0</v>
      </c>
      <c r="C1433" s="20">
        <f>INDEX(Raw!$C:$C,MATCH(A1433,Raw!$A:$A,0))</f>
        <v>0</v>
      </c>
      <c r="D1433" s="21"/>
    </row>
    <row r="1434" spans="1:4" ht="11.25" customHeight="1" x14ac:dyDescent="0.25">
      <c r="A1434" s="22" t="s">
        <v>1471</v>
      </c>
      <c r="B1434" s="20">
        <f ca="1">INDIRECT(ADDRESS(MATCH(A1434,Raw!$A:$A,0),2,1,1,"Raw"))</f>
        <v>0</v>
      </c>
      <c r="C1434" s="20">
        <f>INDEX(Raw!$C:$C,MATCH(A1434,Raw!$A:$A,0))</f>
        <v>0</v>
      </c>
      <c r="D1434" s="21"/>
    </row>
    <row r="1435" spans="1:4" ht="11.25" customHeight="1" x14ac:dyDescent="0.25">
      <c r="A1435" s="22" t="s">
        <v>1472</v>
      </c>
      <c r="B1435" s="20">
        <f ca="1">INDIRECT(ADDRESS(MATCH(A1435,Raw!$A:$A,0),2,1,1,"Raw"))</f>
        <v>0</v>
      </c>
      <c r="C1435" s="20">
        <f>INDEX(Raw!$C:$C,MATCH(A1435,Raw!$A:$A,0))</f>
        <v>0</v>
      </c>
      <c r="D1435" s="21"/>
    </row>
    <row r="1436" spans="1:4" ht="11.25" customHeight="1" x14ac:dyDescent="0.25">
      <c r="A1436" s="22" t="s">
        <v>1473</v>
      </c>
      <c r="B1436" s="20">
        <f ca="1">INDIRECT(ADDRESS(MATCH(A1436,Raw!$A:$A,0),2,1,1,"Raw"))</f>
        <v>0</v>
      </c>
      <c r="C1436" s="20">
        <f>INDEX(Raw!$C:$C,MATCH(A1436,Raw!$A:$A,0))</f>
        <v>0</v>
      </c>
      <c r="D1436" s="21"/>
    </row>
    <row r="1437" spans="1:4" ht="11.25" customHeight="1" x14ac:dyDescent="0.25">
      <c r="A1437" s="22" t="s">
        <v>1474</v>
      </c>
      <c r="B1437" s="20">
        <f ca="1">INDIRECT(ADDRESS(MATCH(A1437,Raw!$A:$A,0),2,1,1,"Raw"))</f>
        <v>0</v>
      </c>
      <c r="C1437" s="20">
        <f>INDEX(Raw!$C:$C,MATCH(A1437,Raw!$A:$A,0))</f>
        <v>0</v>
      </c>
      <c r="D1437" s="21"/>
    </row>
    <row r="1438" spans="1:4" ht="11.25" customHeight="1" x14ac:dyDescent="0.25">
      <c r="A1438" s="22" t="s">
        <v>1475</v>
      </c>
      <c r="B1438" s="20">
        <f ca="1">INDIRECT(ADDRESS(MATCH(A1438,Raw!$A:$A,0),2,1,1,"Raw"))</f>
        <v>0</v>
      </c>
      <c r="C1438" s="20">
        <f>INDEX(Raw!$C:$C,MATCH(A1438,Raw!$A:$A,0))</f>
        <v>0</v>
      </c>
      <c r="D1438" s="21"/>
    </row>
    <row r="1439" spans="1:4" ht="11.25" customHeight="1" x14ac:dyDescent="0.25">
      <c r="A1439" s="22" t="s">
        <v>1476</v>
      </c>
      <c r="B1439" s="20">
        <f ca="1">INDIRECT(ADDRESS(MATCH(A1439,Raw!$A:$A,0),2,1,1,"Raw"))</f>
        <v>0</v>
      </c>
      <c r="C1439" s="20">
        <f>INDEX(Raw!$C:$C,MATCH(A1439,Raw!$A:$A,0))</f>
        <v>0</v>
      </c>
      <c r="D1439" s="21"/>
    </row>
    <row r="1440" spans="1:4" ht="11.25" customHeight="1" x14ac:dyDescent="0.25">
      <c r="A1440" s="22" t="s">
        <v>1477</v>
      </c>
      <c r="B1440" s="20">
        <f ca="1">INDIRECT(ADDRESS(MATCH(A1440,Raw!$A:$A,0),2,1,1,"Raw"))</f>
        <v>0</v>
      </c>
      <c r="C1440" s="20">
        <f>INDEX(Raw!$C:$C,MATCH(A1440,Raw!$A:$A,0))</f>
        <v>0</v>
      </c>
      <c r="D1440" s="21"/>
    </row>
    <row r="1441" spans="1:4" ht="11.25" customHeight="1" x14ac:dyDescent="0.25">
      <c r="A1441" s="22" t="s">
        <v>1478</v>
      </c>
      <c r="B1441" s="20">
        <f ca="1">INDIRECT(ADDRESS(MATCH(A1441,Raw!$A:$A,0),2,1,1,"Raw"))</f>
        <v>0</v>
      </c>
      <c r="C1441" s="20">
        <f>INDEX(Raw!$C:$C,MATCH(A1441,Raw!$A:$A,0))</f>
        <v>0</v>
      </c>
      <c r="D1441" s="21"/>
    </row>
    <row r="1442" spans="1:4" ht="11.25" customHeight="1" x14ac:dyDescent="0.25">
      <c r="A1442" s="22" t="s">
        <v>1479</v>
      </c>
      <c r="B1442" s="20">
        <f ca="1">INDIRECT(ADDRESS(MATCH(A1442,Raw!$A:$A,0),2,1,1,"Raw"))</f>
        <v>0</v>
      </c>
      <c r="C1442" s="20">
        <f>INDEX(Raw!$C:$C,MATCH(A1442,Raw!$A:$A,0))</f>
        <v>0</v>
      </c>
      <c r="D1442" s="21"/>
    </row>
    <row r="1443" spans="1:4" ht="11.25" customHeight="1" x14ac:dyDescent="0.25">
      <c r="A1443" s="22" t="s">
        <v>1480</v>
      </c>
      <c r="B1443" s="20">
        <f ca="1">INDIRECT(ADDRESS(MATCH(A1443,Raw!$A:$A,0),2,1,1,"Raw"))</f>
        <v>0</v>
      </c>
      <c r="C1443" s="20">
        <f>INDEX(Raw!$C:$C,MATCH(A1443,Raw!$A:$A,0))</f>
        <v>0</v>
      </c>
      <c r="D1443" s="21"/>
    </row>
    <row r="1444" spans="1:4" ht="11.25" customHeight="1" x14ac:dyDescent="0.25">
      <c r="A1444" s="22" t="s">
        <v>1481</v>
      </c>
      <c r="B1444" s="20">
        <f ca="1">INDIRECT(ADDRESS(MATCH(A1444,Raw!$A:$A,0),2,1,1,"Raw"))</f>
        <v>0</v>
      </c>
      <c r="C1444" s="20">
        <f>INDEX(Raw!$C:$C,MATCH(A1444,Raw!$A:$A,0))</f>
        <v>0</v>
      </c>
      <c r="D1444" s="21"/>
    </row>
    <row r="1445" spans="1:4" ht="11.25" customHeight="1" x14ac:dyDescent="0.25">
      <c r="A1445" s="22" t="s">
        <v>1482</v>
      </c>
      <c r="B1445" s="20">
        <f ca="1">INDIRECT(ADDRESS(MATCH(A1445,Raw!$A:$A,0),2,1,1,"Raw"))</f>
        <v>0</v>
      </c>
      <c r="C1445" s="20">
        <f>INDEX(Raw!$C:$C,MATCH(A1445,Raw!$A:$A,0))</f>
        <v>0</v>
      </c>
      <c r="D1445" s="21"/>
    </row>
    <row r="1446" spans="1:4" ht="11.25" customHeight="1" x14ac:dyDescent="0.25">
      <c r="A1446" s="22" t="s">
        <v>1483</v>
      </c>
      <c r="B1446" s="20">
        <f ca="1">INDIRECT(ADDRESS(MATCH(A1446,Raw!$A:$A,0),2,1,1,"Raw"))</f>
        <v>0</v>
      </c>
      <c r="C1446" s="20">
        <f>INDEX(Raw!$C:$C,MATCH(A1446,Raw!$A:$A,0))</f>
        <v>0</v>
      </c>
      <c r="D1446" s="21"/>
    </row>
    <row r="1447" spans="1:4" ht="11.25" customHeight="1" x14ac:dyDescent="0.25">
      <c r="A1447" s="22" t="s">
        <v>1484</v>
      </c>
      <c r="B1447" s="20">
        <f ca="1">INDIRECT(ADDRESS(MATCH(A1447,Raw!$A:$A,0),2,1,1,"Raw"))</f>
        <v>0</v>
      </c>
      <c r="C1447" s="20">
        <f>INDEX(Raw!$C:$C,MATCH(A1447,Raw!$A:$A,0))</f>
        <v>0</v>
      </c>
      <c r="D1447" s="21"/>
    </row>
    <row r="1448" spans="1:4" ht="11.25" customHeight="1" x14ac:dyDescent="0.25">
      <c r="A1448" s="22" t="s">
        <v>1485</v>
      </c>
      <c r="B1448" s="20">
        <f ca="1">INDIRECT(ADDRESS(MATCH(A1448,Raw!$A:$A,0),2,1,1,"Raw"))</f>
        <v>0</v>
      </c>
      <c r="C1448" s="20">
        <f>INDEX(Raw!$C:$C,MATCH(A1448,Raw!$A:$A,0))</f>
        <v>0</v>
      </c>
      <c r="D1448" s="21"/>
    </row>
    <row r="1449" spans="1:4" ht="11.25" customHeight="1" x14ac:dyDescent="0.25">
      <c r="A1449" s="22" t="s">
        <v>1486</v>
      </c>
      <c r="B1449" s="20">
        <f ca="1">INDIRECT(ADDRESS(MATCH(A1449,Raw!$A:$A,0),2,1,1,"Raw"))</f>
        <v>0</v>
      </c>
      <c r="C1449" s="20">
        <f>INDEX(Raw!$C:$C,MATCH(A1449,Raw!$A:$A,0))</f>
        <v>0</v>
      </c>
      <c r="D1449" s="21"/>
    </row>
    <row r="1450" spans="1:4" ht="11.25" customHeight="1" x14ac:dyDescent="0.25">
      <c r="A1450" s="22" t="s">
        <v>1487</v>
      </c>
      <c r="B1450" s="20">
        <f ca="1">INDIRECT(ADDRESS(MATCH(A1450,Raw!$A:$A,0),2,1,1,"Raw"))</f>
        <v>0</v>
      </c>
      <c r="C1450" s="20">
        <f>INDEX(Raw!$C:$C,MATCH(A1450,Raw!$A:$A,0))</f>
        <v>0</v>
      </c>
      <c r="D1450" s="21"/>
    </row>
    <row r="1451" spans="1:4" ht="11.25" customHeight="1" x14ac:dyDescent="0.25">
      <c r="A1451" s="22" t="s">
        <v>1488</v>
      </c>
      <c r="B1451" s="20">
        <f ca="1">INDIRECT(ADDRESS(MATCH(A1451,Raw!$A:$A,0),2,1,1,"Raw"))</f>
        <v>0</v>
      </c>
      <c r="C1451" s="20">
        <f>INDEX(Raw!$C:$C,MATCH(A1451,Raw!$A:$A,0))</f>
        <v>0</v>
      </c>
      <c r="D1451" s="21"/>
    </row>
    <row r="1452" spans="1:4" ht="11.25" customHeight="1" x14ac:dyDescent="0.25">
      <c r="A1452" s="22" t="s">
        <v>1489</v>
      </c>
      <c r="B1452" s="20">
        <f ca="1">INDIRECT(ADDRESS(MATCH(A1452,Raw!$A:$A,0),2,1,1,"Raw"))</f>
        <v>0</v>
      </c>
      <c r="C1452" s="20">
        <f>INDEX(Raw!$C:$C,MATCH(A1452,Raw!$A:$A,0))</f>
        <v>0</v>
      </c>
      <c r="D1452" s="21"/>
    </row>
    <row r="1453" spans="1:4" ht="11.25" customHeight="1" x14ac:dyDescent="0.25">
      <c r="A1453" s="22" t="s">
        <v>1490</v>
      </c>
      <c r="B1453" s="20">
        <f ca="1">INDIRECT(ADDRESS(MATCH(A1453,Raw!$A:$A,0),2,1,1,"Raw"))</f>
        <v>0</v>
      </c>
      <c r="C1453" s="20">
        <f>INDEX(Raw!$C:$C,MATCH(A1453,Raw!$A:$A,0))</f>
        <v>0</v>
      </c>
      <c r="D1453" s="21"/>
    </row>
    <row r="1454" spans="1:4" ht="11.25" customHeight="1" x14ac:dyDescent="0.25">
      <c r="A1454" s="22" t="s">
        <v>1491</v>
      </c>
      <c r="B1454" s="20">
        <f ca="1">INDIRECT(ADDRESS(MATCH(A1454,Raw!$A:$A,0),2,1,1,"Raw"))</f>
        <v>0</v>
      </c>
      <c r="C1454" s="20">
        <f>INDEX(Raw!$C:$C,MATCH(A1454,Raw!$A:$A,0))</f>
        <v>0</v>
      </c>
      <c r="D1454" s="21"/>
    </row>
    <row r="1455" spans="1:4" ht="11.25" customHeight="1" x14ac:dyDescent="0.25">
      <c r="A1455" s="22" t="s">
        <v>1492</v>
      </c>
      <c r="B1455" s="20">
        <f ca="1">INDIRECT(ADDRESS(MATCH(A1455,Raw!$A:$A,0),2,1,1,"Raw"))</f>
        <v>0</v>
      </c>
      <c r="C1455" s="20">
        <f>INDEX(Raw!$C:$C,MATCH(A1455,Raw!$A:$A,0))</f>
        <v>0</v>
      </c>
      <c r="D1455" s="21"/>
    </row>
    <row r="1456" spans="1:4" ht="11.25" customHeight="1" x14ac:dyDescent="0.25">
      <c r="A1456" s="22" t="s">
        <v>1493</v>
      </c>
      <c r="B1456" s="20">
        <f ca="1">INDIRECT(ADDRESS(MATCH(A1456,Raw!$A:$A,0),2,1,1,"Raw"))</f>
        <v>0</v>
      </c>
      <c r="C1456" s="20">
        <f>INDEX(Raw!$C:$C,MATCH(A1456,Raw!$A:$A,0))</f>
        <v>0</v>
      </c>
      <c r="D1456" s="21"/>
    </row>
    <row r="1457" spans="1:4" ht="11.25" customHeight="1" x14ac:dyDescent="0.25">
      <c r="A1457" s="22" t="s">
        <v>1494</v>
      </c>
      <c r="B1457" s="20">
        <f ca="1">INDIRECT(ADDRESS(MATCH(A1457,Raw!$A:$A,0),2,1,1,"Raw"))</f>
        <v>0</v>
      </c>
      <c r="C1457" s="20">
        <f>INDEX(Raw!$C:$C,MATCH(A1457,Raw!$A:$A,0))</f>
        <v>0</v>
      </c>
      <c r="D1457" s="21"/>
    </row>
    <row r="1458" spans="1:4" ht="11.25" customHeight="1" x14ac:dyDescent="0.25">
      <c r="A1458" s="22" t="s">
        <v>1495</v>
      </c>
      <c r="B1458" s="20">
        <f ca="1">INDIRECT(ADDRESS(MATCH(A1458,Raw!$A:$A,0),2,1,1,"Raw"))</f>
        <v>0</v>
      </c>
      <c r="C1458" s="20">
        <f>INDEX(Raw!$C:$C,MATCH(A1458,Raw!$A:$A,0))</f>
        <v>0</v>
      </c>
      <c r="D1458" s="21"/>
    </row>
    <row r="1459" spans="1:4" ht="11.25" customHeight="1" x14ac:dyDescent="0.25">
      <c r="A1459" s="22" t="s">
        <v>1496</v>
      </c>
      <c r="B1459" s="20">
        <f ca="1">INDIRECT(ADDRESS(MATCH(A1459,Raw!$A:$A,0),2,1,1,"Raw"))</f>
        <v>0</v>
      </c>
      <c r="C1459" s="20">
        <f>INDEX(Raw!$C:$C,MATCH(A1459,Raw!$A:$A,0))</f>
        <v>0</v>
      </c>
      <c r="D1459" s="21"/>
    </row>
    <row r="1460" spans="1:4" ht="11.25" customHeight="1" x14ac:dyDescent="0.25">
      <c r="A1460" s="22" t="s">
        <v>1497</v>
      </c>
      <c r="B1460" s="20">
        <f ca="1">INDIRECT(ADDRESS(MATCH(A1460,Raw!$A:$A,0),2,1,1,"Raw"))</f>
        <v>0</v>
      </c>
      <c r="C1460" s="20">
        <f>INDEX(Raw!$C:$C,MATCH(A1460,Raw!$A:$A,0))</f>
        <v>0</v>
      </c>
      <c r="D1460" s="21"/>
    </row>
    <row r="1461" spans="1:4" ht="11.25" customHeight="1" x14ac:dyDescent="0.25">
      <c r="A1461" s="22" t="s">
        <v>1498</v>
      </c>
      <c r="B1461" s="20">
        <f ca="1">INDIRECT(ADDRESS(MATCH(A1461,Raw!$A:$A,0),2,1,1,"Raw"))</f>
        <v>0</v>
      </c>
      <c r="C1461" s="20">
        <f>INDEX(Raw!$C:$C,MATCH(A1461,Raw!$A:$A,0))</f>
        <v>0</v>
      </c>
      <c r="D1461" s="21"/>
    </row>
    <row r="1462" spans="1:4" ht="11.25" customHeight="1" x14ac:dyDescent="0.25">
      <c r="A1462" s="22" t="s">
        <v>1499</v>
      </c>
      <c r="B1462" s="20">
        <f ca="1">INDIRECT(ADDRESS(MATCH(A1462,Raw!$A:$A,0),2,1,1,"Raw"))</f>
        <v>0</v>
      </c>
      <c r="C1462" s="20">
        <f>INDEX(Raw!$C:$C,MATCH(A1462,Raw!$A:$A,0))</f>
        <v>0</v>
      </c>
      <c r="D1462" s="21"/>
    </row>
    <row r="1463" spans="1:4" ht="11.25" customHeight="1" x14ac:dyDescent="0.25">
      <c r="A1463" s="22" t="s">
        <v>1500</v>
      </c>
      <c r="B1463" s="20">
        <f ca="1">INDIRECT(ADDRESS(MATCH(A1463,Raw!$A:$A,0),2,1,1,"Raw"))</f>
        <v>0</v>
      </c>
      <c r="C1463" s="20">
        <f>INDEX(Raw!$C:$C,MATCH(A1463,Raw!$A:$A,0))</f>
        <v>0</v>
      </c>
      <c r="D1463" s="21"/>
    </row>
    <row r="1464" spans="1:4" ht="11.25" customHeight="1" x14ac:dyDescent="0.25">
      <c r="A1464" s="22" t="s">
        <v>1501</v>
      </c>
      <c r="B1464" s="20">
        <f ca="1">INDIRECT(ADDRESS(MATCH(A1464,Raw!$A:$A,0),2,1,1,"Raw"))</f>
        <v>0</v>
      </c>
      <c r="C1464" s="20">
        <f>INDEX(Raw!$C:$C,MATCH(A1464,Raw!$A:$A,0))</f>
        <v>0</v>
      </c>
      <c r="D1464" s="21"/>
    </row>
    <row r="1465" spans="1:4" ht="11.25" customHeight="1" x14ac:dyDescent="0.25">
      <c r="A1465" s="22" t="s">
        <v>1502</v>
      </c>
      <c r="B1465" s="20">
        <f ca="1">INDIRECT(ADDRESS(MATCH(A1465,Raw!$A:$A,0),2,1,1,"Raw"))</f>
        <v>0</v>
      </c>
      <c r="C1465" s="20">
        <f>INDEX(Raw!$C:$C,MATCH(A1465,Raw!$A:$A,0))</f>
        <v>0</v>
      </c>
      <c r="D1465" s="21"/>
    </row>
    <row r="1466" spans="1:4" ht="11.25" customHeight="1" x14ac:dyDescent="0.25">
      <c r="A1466" s="22" t="s">
        <v>1503</v>
      </c>
      <c r="B1466" s="20">
        <f ca="1">INDIRECT(ADDRESS(MATCH(A1466,Raw!$A:$A,0),2,1,1,"Raw"))</f>
        <v>0</v>
      </c>
      <c r="C1466" s="20">
        <f>INDEX(Raw!$C:$C,MATCH(A1466,Raw!$A:$A,0))</f>
        <v>0</v>
      </c>
      <c r="D1466" s="21"/>
    </row>
    <row r="1467" spans="1:4" ht="11.25" customHeight="1" x14ac:dyDescent="0.25">
      <c r="A1467" s="22" t="s">
        <v>1504</v>
      </c>
      <c r="B1467" s="20">
        <f ca="1">INDIRECT(ADDRESS(MATCH(A1467,Raw!$A:$A,0),2,1,1,"Raw"))</f>
        <v>0</v>
      </c>
      <c r="C1467" s="20">
        <f>INDEX(Raw!$C:$C,MATCH(A1467,Raw!$A:$A,0))</f>
        <v>0</v>
      </c>
      <c r="D1467" s="21"/>
    </row>
    <row r="1468" spans="1:4" ht="11.25" customHeight="1" x14ac:dyDescent="0.25">
      <c r="A1468" s="22" t="s">
        <v>1505</v>
      </c>
      <c r="B1468" s="20">
        <f ca="1">INDIRECT(ADDRESS(MATCH(A1468,Raw!$A:$A,0),2,1,1,"Raw"))</f>
        <v>0</v>
      </c>
      <c r="C1468" s="20">
        <f>INDEX(Raw!$C:$C,MATCH(A1468,Raw!$A:$A,0))</f>
        <v>0</v>
      </c>
      <c r="D1468" s="21"/>
    </row>
    <row r="1469" spans="1:4" ht="11.25" customHeight="1" x14ac:dyDescent="0.25">
      <c r="A1469" s="22" t="s">
        <v>1506</v>
      </c>
      <c r="B1469" s="20">
        <f ca="1">INDIRECT(ADDRESS(MATCH(A1469,Raw!$A:$A,0),2,1,1,"Raw"))</f>
        <v>0</v>
      </c>
      <c r="C1469" s="20">
        <f>INDEX(Raw!$C:$C,MATCH(A1469,Raw!$A:$A,0))</f>
        <v>0</v>
      </c>
      <c r="D1469" s="21"/>
    </row>
    <row r="1470" spans="1:4" ht="11.25" customHeight="1" x14ac:dyDescent="0.25">
      <c r="A1470" s="22" t="s">
        <v>1507</v>
      </c>
      <c r="B1470" s="20">
        <f ca="1">INDIRECT(ADDRESS(MATCH(A1470,Raw!$A:$A,0),2,1,1,"Raw"))</f>
        <v>0</v>
      </c>
      <c r="C1470" s="20">
        <f>INDEX(Raw!$C:$C,MATCH(A1470,Raw!$A:$A,0))</f>
        <v>0</v>
      </c>
      <c r="D1470" s="21"/>
    </row>
    <row r="1471" spans="1:4" ht="11.25" customHeight="1" x14ac:dyDescent="0.25">
      <c r="A1471" s="22" t="s">
        <v>1508</v>
      </c>
      <c r="B1471" s="20">
        <f ca="1">INDIRECT(ADDRESS(MATCH(A1471,Raw!$A:$A,0),2,1,1,"Raw"))</f>
        <v>0</v>
      </c>
      <c r="C1471" s="20">
        <f>INDEX(Raw!$C:$C,MATCH(A1471,Raw!$A:$A,0))</f>
        <v>0</v>
      </c>
      <c r="D1471" s="21"/>
    </row>
    <row r="1472" spans="1:4" ht="11.25" customHeight="1" x14ac:dyDescent="0.25">
      <c r="A1472" s="22" t="s">
        <v>1509</v>
      </c>
      <c r="B1472" s="20">
        <f ca="1">INDIRECT(ADDRESS(MATCH(A1472,Raw!$A:$A,0),2,1,1,"Raw"))</f>
        <v>0</v>
      </c>
      <c r="C1472" s="20">
        <f>INDEX(Raw!$C:$C,MATCH(A1472,Raw!$A:$A,0))</f>
        <v>0</v>
      </c>
      <c r="D1472" s="21"/>
    </row>
    <row r="1473" spans="1:4" ht="11.25" customHeight="1" x14ac:dyDescent="0.25">
      <c r="A1473" s="22" t="s">
        <v>1510</v>
      </c>
      <c r="B1473" s="20">
        <f ca="1">INDIRECT(ADDRESS(MATCH(A1473,Raw!$A:$A,0),2,1,1,"Raw"))</f>
        <v>0</v>
      </c>
      <c r="C1473" s="20">
        <f>INDEX(Raw!$C:$C,MATCH(A1473,Raw!$A:$A,0))</f>
        <v>0</v>
      </c>
      <c r="D1473" s="21"/>
    </row>
    <row r="1474" spans="1:4" ht="11.25" customHeight="1" x14ac:dyDescent="0.25">
      <c r="A1474" s="22" t="s">
        <v>1511</v>
      </c>
      <c r="B1474" s="20">
        <f ca="1">INDIRECT(ADDRESS(MATCH(A1474,Raw!$A:$A,0),2,1,1,"Raw"))</f>
        <v>0</v>
      </c>
      <c r="C1474" s="20">
        <f>INDEX(Raw!$C:$C,MATCH(A1474,Raw!$A:$A,0))</f>
        <v>0</v>
      </c>
      <c r="D1474" s="21"/>
    </row>
    <row r="1475" spans="1:4" ht="11.25" customHeight="1" x14ac:dyDescent="0.25">
      <c r="A1475" s="22" t="s">
        <v>1512</v>
      </c>
      <c r="B1475" s="20">
        <f ca="1">INDIRECT(ADDRESS(MATCH(A1475,Raw!$A:$A,0),2,1,1,"Raw"))</f>
        <v>0</v>
      </c>
      <c r="C1475" s="20">
        <f>INDEX(Raw!$C:$C,MATCH(A1475,Raw!$A:$A,0))</f>
        <v>0</v>
      </c>
      <c r="D1475" s="21"/>
    </row>
    <row r="1476" spans="1:4" ht="11.25" customHeight="1" x14ac:dyDescent="0.25">
      <c r="A1476" s="22" t="s">
        <v>1513</v>
      </c>
      <c r="B1476" s="20">
        <f ca="1">INDIRECT(ADDRESS(MATCH(A1476,Raw!$A:$A,0),2,1,1,"Raw"))</f>
        <v>0</v>
      </c>
      <c r="C1476" s="20">
        <f>INDEX(Raw!$C:$C,MATCH(A1476,Raw!$A:$A,0))</f>
        <v>0</v>
      </c>
      <c r="D1476" s="21"/>
    </row>
    <row r="1477" spans="1:4" ht="11.25" customHeight="1" x14ac:dyDescent="0.25">
      <c r="A1477" s="22" t="s">
        <v>1514</v>
      </c>
      <c r="B1477" s="20">
        <f ca="1">INDIRECT(ADDRESS(MATCH(A1477,Raw!$A:$A,0),2,1,1,"Raw"))</f>
        <v>0</v>
      </c>
      <c r="C1477" s="20">
        <f>INDEX(Raw!$C:$C,MATCH(A1477,Raw!$A:$A,0))</f>
        <v>0</v>
      </c>
      <c r="D1477" s="21"/>
    </row>
    <row r="1478" spans="1:4" ht="11.25" customHeight="1" x14ac:dyDescent="0.25">
      <c r="A1478" s="22" t="s">
        <v>1515</v>
      </c>
      <c r="B1478" s="20">
        <f ca="1">INDIRECT(ADDRESS(MATCH(A1478,Raw!$A:$A,0),2,1,1,"Raw"))</f>
        <v>0</v>
      </c>
      <c r="C1478" s="20">
        <f>INDEX(Raw!$C:$C,MATCH(A1478,Raw!$A:$A,0))</f>
        <v>0</v>
      </c>
      <c r="D1478" s="21"/>
    </row>
    <row r="1479" spans="1:4" ht="11.25" customHeight="1" x14ac:dyDescent="0.25">
      <c r="A1479" s="22" t="s">
        <v>1516</v>
      </c>
      <c r="B1479" s="20">
        <f ca="1">INDIRECT(ADDRESS(MATCH(A1479,Raw!$A:$A,0),2,1,1,"Raw"))</f>
        <v>0</v>
      </c>
      <c r="C1479" s="20">
        <f>INDEX(Raw!$C:$C,MATCH(A1479,Raw!$A:$A,0))</f>
        <v>0</v>
      </c>
      <c r="D1479" s="21"/>
    </row>
    <row r="1480" spans="1:4" ht="11.25" customHeight="1" x14ac:dyDescent="0.25">
      <c r="A1480" s="22" t="s">
        <v>1517</v>
      </c>
      <c r="B1480" s="20">
        <f ca="1">INDIRECT(ADDRESS(MATCH(A1480,Raw!$A:$A,0),2,1,1,"Raw"))</f>
        <v>0</v>
      </c>
      <c r="C1480" s="20">
        <f>INDEX(Raw!$C:$C,MATCH(A1480,Raw!$A:$A,0))</f>
        <v>0</v>
      </c>
      <c r="D1480" s="21"/>
    </row>
    <row r="1481" spans="1:4" ht="11.25" customHeight="1" x14ac:dyDescent="0.25">
      <c r="A1481" s="22" t="s">
        <v>1518</v>
      </c>
      <c r="B1481" s="20">
        <f ca="1">INDIRECT(ADDRESS(MATCH(A1481,Raw!$A:$A,0),2,1,1,"Raw"))</f>
        <v>0</v>
      </c>
      <c r="C1481" s="20">
        <f>INDEX(Raw!$C:$C,MATCH(A1481,Raw!$A:$A,0))</f>
        <v>0</v>
      </c>
      <c r="D1481" s="21"/>
    </row>
    <row r="1482" spans="1:4" ht="11.25" customHeight="1" x14ac:dyDescent="0.25">
      <c r="A1482" s="22" t="s">
        <v>1519</v>
      </c>
      <c r="B1482" s="20">
        <f ca="1">INDIRECT(ADDRESS(MATCH(A1482,Raw!$A:$A,0),2,1,1,"Raw"))</f>
        <v>0</v>
      </c>
      <c r="C1482" s="20">
        <f>INDEX(Raw!$C:$C,MATCH(A1482,Raw!$A:$A,0))</f>
        <v>0</v>
      </c>
      <c r="D1482" s="21"/>
    </row>
    <row r="1483" spans="1:4" ht="11.25" customHeight="1" x14ac:dyDescent="0.25">
      <c r="A1483" s="22" t="s">
        <v>1520</v>
      </c>
      <c r="B1483" s="20">
        <f ca="1">INDIRECT(ADDRESS(MATCH(A1483,Raw!$A:$A,0),2,1,1,"Raw"))</f>
        <v>0</v>
      </c>
      <c r="C1483" s="20">
        <f>INDEX(Raw!$C:$C,MATCH(A1483,Raw!$A:$A,0))</f>
        <v>0</v>
      </c>
      <c r="D1483" s="21"/>
    </row>
    <row r="1484" spans="1:4" ht="11.25" customHeight="1" x14ac:dyDescent="0.25">
      <c r="A1484" s="22" t="s">
        <v>1521</v>
      </c>
      <c r="B1484" s="20">
        <f ca="1">INDIRECT(ADDRESS(MATCH(A1484,Raw!$A:$A,0),2,1,1,"Raw"))</f>
        <v>0</v>
      </c>
      <c r="C1484" s="20">
        <f>INDEX(Raw!$C:$C,MATCH(A1484,Raw!$A:$A,0))</f>
        <v>0</v>
      </c>
      <c r="D1484" s="21"/>
    </row>
    <row r="1485" spans="1:4" ht="11.25" customHeight="1" x14ac:dyDescent="0.25">
      <c r="A1485" s="22" t="s">
        <v>1522</v>
      </c>
      <c r="B1485" s="20">
        <f ca="1">INDIRECT(ADDRESS(MATCH(A1485,Raw!$A:$A,0),2,1,1,"Raw"))</f>
        <v>0</v>
      </c>
      <c r="C1485" s="20">
        <f>INDEX(Raw!$C:$C,MATCH(A1485,Raw!$A:$A,0))</f>
        <v>0</v>
      </c>
      <c r="D1485" s="21"/>
    </row>
    <row r="1486" spans="1:4" ht="11.25" customHeight="1" x14ac:dyDescent="0.25">
      <c r="A1486" s="22" t="s">
        <v>1523</v>
      </c>
      <c r="B1486" s="20">
        <f ca="1">INDIRECT(ADDRESS(MATCH(A1486,Raw!$A:$A,0),2,1,1,"Raw"))</f>
        <v>0</v>
      </c>
      <c r="C1486" s="20">
        <f>INDEX(Raw!$C:$C,MATCH(A1486,Raw!$A:$A,0))</f>
        <v>0</v>
      </c>
      <c r="D1486" s="21"/>
    </row>
    <row r="1487" spans="1:4" ht="11.25" customHeight="1" x14ac:dyDescent="0.25">
      <c r="A1487" s="22" t="s">
        <v>1524</v>
      </c>
      <c r="B1487" s="20">
        <f ca="1">INDIRECT(ADDRESS(MATCH(A1487,Raw!$A:$A,0),2,1,1,"Raw"))</f>
        <v>0</v>
      </c>
      <c r="C1487" s="20">
        <f>INDEX(Raw!$C:$C,MATCH(A1487,Raw!$A:$A,0))</f>
        <v>0</v>
      </c>
      <c r="D1487" s="21"/>
    </row>
    <row r="1488" spans="1:4" ht="11.25" customHeight="1" x14ac:dyDescent="0.25">
      <c r="A1488" s="22" t="s">
        <v>1525</v>
      </c>
      <c r="B1488" s="20">
        <f ca="1">INDIRECT(ADDRESS(MATCH(A1488,Raw!$A:$A,0),2,1,1,"Raw"))</f>
        <v>0</v>
      </c>
      <c r="C1488" s="20">
        <f>INDEX(Raw!$C:$C,MATCH(A1488,Raw!$A:$A,0))</f>
        <v>0</v>
      </c>
      <c r="D1488" s="21"/>
    </row>
    <row r="1489" spans="1:4" ht="11.25" customHeight="1" x14ac:dyDescent="0.25">
      <c r="A1489" s="22" t="s">
        <v>1526</v>
      </c>
      <c r="B1489" s="20">
        <f ca="1">INDIRECT(ADDRESS(MATCH(A1489,Raw!$A:$A,0),2,1,1,"Raw"))</f>
        <v>0</v>
      </c>
      <c r="C1489" s="20">
        <f>INDEX(Raw!$C:$C,MATCH(A1489,Raw!$A:$A,0))</f>
        <v>0</v>
      </c>
      <c r="D1489" s="21"/>
    </row>
    <row r="1490" spans="1:4" ht="11.25" customHeight="1" x14ac:dyDescent="0.25">
      <c r="A1490" s="22" t="s">
        <v>1527</v>
      </c>
      <c r="B1490" s="20">
        <f ca="1">INDIRECT(ADDRESS(MATCH(A1490,Raw!$A:$A,0),2,1,1,"Raw"))</f>
        <v>0</v>
      </c>
      <c r="C1490" s="20">
        <f>INDEX(Raw!$C:$C,MATCH(A1490,Raw!$A:$A,0))</f>
        <v>0</v>
      </c>
      <c r="D1490" s="21"/>
    </row>
    <row r="1491" spans="1:4" ht="11.25" customHeight="1" x14ac:dyDescent="0.25">
      <c r="A1491" s="22" t="s">
        <v>1528</v>
      </c>
      <c r="B1491" s="20">
        <f ca="1">INDIRECT(ADDRESS(MATCH(A1491,Raw!$A:$A,0),2,1,1,"Raw"))</f>
        <v>0</v>
      </c>
      <c r="C1491" s="20">
        <f>INDEX(Raw!$C:$C,MATCH(A1491,Raw!$A:$A,0))</f>
        <v>0</v>
      </c>
      <c r="D1491" s="21"/>
    </row>
    <row r="1492" spans="1:4" ht="11.25" customHeight="1" x14ac:dyDescent="0.25">
      <c r="A1492" s="22" t="s">
        <v>1529</v>
      </c>
      <c r="B1492" s="20">
        <f ca="1">INDIRECT(ADDRESS(MATCH(A1492,Raw!$A:$A,0),2,1,1,"Raw"))</f>
        <v>0</v>
      </c>
      <c r="C1492" s="20">
        <f>INDEX(Raw!$C:$C,MATCH(A1492,Raw!$A:$A,0))</f>
        <v>0</v>
      </c>
      <c r="D1492" s="21"/>
    </row>
    <row r="1493" spans="1:4" ht="11.25" customHeight="1" x14ac:dyDescent="0.25">
      <c r="A1493" s="22" t="s">
        <v>1530</v>
      </c>
      <c r="B1493" s="20">
        <f ca="1">INDIRECT(ADDRESS(MATCH(A1493,Raw!$A:$A,0),2,1,1,"Raw"))</f>
        <v>0</v>
      </c>
      <c r="C1493" s="20">
        <f>INDEX(Raw!$C:$C,MATCH(A1493,Raw!$A:$A,0))</f>
        <v>0</v>
      </c>
      <c r="D1493" s="21"/>
    </row>
    <row r="1494" spans="1:4" ht="11.25" customHeight="1" x14ac:dyDescent="0.25">
      <c r="A1494" s="22" t="s">
        <v>1531</v>
      </c>
      <c r="B1494" s="20">
        <f ca="1">INDIRECT(ADDRESS(MATCH(A1494,Raw!$A:$A,0),2,1,1,"Raw"))</f>
        <v>0</v>
      </c>
      <c r="C1494" s="20">
        <f>INDEX(Raw!$C:$C,MATCH(A1494,Raw!$A:$A,0))</f>
        <v>0</v>
      </c>
      <c r="D1494" s="21"/>
    </row>
    <row r="1495" spans="1:4" ht="11.25" customHeight="1" x14ac:dyDescent="0.25">
      <c r="A1495" s="22" t="s">
        <v>1532</v>
      </c>
      <c r="B1495" s="20">
        <f ca="1">INDIRECT(ADDRESS(MATCH(A1495,Raw!$A:$A,0),2,1,1,"Raw"))</f>
        <v>0</v>
      </c>
      <c r="C1495" s="20">
        <f>INDEX(Raw!$C:$C,MATCH(A1495,Raw!$A:$A,0))</f>
        <v>0</v>
      </c>
      <c r="D1495" s="21"/>
    </row>
    <row r="1496" spans="1:4" ht="11.25" customHeight="1" x14ac:dyDescent="0.25">
      <c r="A1496" s="22" t="s">
        <v>1533</v>
      </c>
      <c r="B1496" s="20">
        <f ca="1">INDIRECT(ADDRESS(MATCH(A1496,Raw!$A:$A,0),2,1,1,"Raw"))</f>
        <v>0</v>
      </c>
      <c r="C1496" s="20">
        <f>INDEX(Raw!$C:$C,MATCH(A1496,Raw!$A:$A,0))</f>
        <v>0</v>
      </c>
      <c r="D1496" s="21"/>
    </row>
    <row r="1497" spans="1:4" ht="11.25" customHeight="1" x14ac:dyDescent="0.25">
      <c r="A1497" s="22" t="s">
        <v>1534</v>
      </c>
      <c r="B1497" s="20">
        <f ca="1">INDIRECT(ADDRESS(MATCH(A1497,Raw!$A:$A,0),2,1,1,"Raw"))</f>
        <v>0</v>
      </c>
      <c r="C1497" s="20">
        <f>INDEX(Raw!$C:$C,MATCH(A1497,Raw!$A:$A,0))</f>
        <v>0</v>
      </c>
      <c r="D1497" s="21"/>
    </row>
    <row r="1498" spans="1:4" ht="11.25" customHeight="1" x14ac:dyDescent="0.25">
      <c r="A1498" s="22" t="s">
        <v>1535</v>
      </c>
      <c r="B1498" s="20">
        <f ca="1">INDIRECT(ADDRESS(MATCH(A1498,Raw!$A:$A,0),2,1,1,"Raw"))</f>
        <v>0</v>
      </c>
      <c r="C1498" s="20">
        <f>INDEX(Raw!$C:$C,MATCH(A1498,Raw!$A:$A,0))</f>
        <v>0</v>
      </c>
      <c r="D1498" s="21"/>
    </row>
    <row r="1499" spans="1:4" ht="11.25" customHeight="1" x14ac:dyDescent="0.25">
      <c r="A1499" s="22" t="s">
        <v>1536</v>
      </c>
      <c r="B1499" s="20">
        <f ca="1">INDIRECT(ADDRESS(MATCH(A1499,Raw!$A:$A,0),2,1,1,"Raw"))</f>
        <v>0</v>
      </c>
      <c r="C1499" s="20">
        <f>INDEX(Raw!$C:$C,MATCH(A1499,Raw!$A:$A,0))</f>
        <v>0</v>
      </c>
      <c r="D1499" s="21"/>
    </row>
    <row r="1500" spans="1:4" ht="11.25" customHeight="1" x14ac:dyDescent="0.25">
      <c r="A1500" s="22" t="s">
        <v>1537</v>
      </c>
      <c r="B1500" s="20">
        <f ca="1">INDIRECT(ADDRESS(MATCH(A1500,Raw!$A:$A,0),2,1,1,"Raw"))</f>
        <v>0</v>
      </c>
      <c r="C1500" s="20">
        <f>INDEX(Raw!$C:$C,MATCH(A1500,Raw!$A:$A,0))</f>
        <v>0</v>
      </c>
      <c r="D1500" s="21"/>
    </row>
    <row r="1501" spans="1:4" ht="11.25" customHeight="1" x14ac:dyDescent="0.25">
      <c r="A1501" s="22" t="s">
        <v>1538</v>
      </c>
      <c r="B1501" s="20">
        <f ca="1">INDIRECT(ADDRESS(MATCH(A1501,Raw!$A:$A,0),2,1,1,"Raw"))</f>
        <v>0</v>
      </c>
      <c r="C1501" s="20">
        <f>INDEX(Raw!$C:$C,MATCH(A1501,Raw!$A:$A,0))</f>
        <v>0</v>
      </c>
      <c r="D1501" s="21"/>
    </row>
    <row r="1502" spans="1:4" ht="11.25" customHeight="1" x14ac:dyDescent="0.25">
      <c r="A1502" s="22" t="s">
        <v>1539</v>
      </c>
      <c r="B1502" s="20">
        <f ca="1">INDIRECT(ADDRESS(MATCH(A1502,Raw!$A:$A,0),2,1,1,"Raw"))</f>
        <v>0</v>
      </c>
      <c r="C1502" s="20">
        <f>INDEX(Raw!$C:$C,MATCH(A1502,Raw!$A:$A,0))</f>
        <v>0</v>
      </c>
      <c r="D1502" s="21"/>
    </row>
    <row r="1503" spans="1:4" ht="11.25" customHeight="1" x14ac:dyDescent="0.25">
      <c r="A1503" s="22" t="s">
        <v>1540</v>
      </c>
      <c r="B1503" s="20">
        <f ca="1">INDIRECT(ADDRESS(MATCH(A1503,Raw!$A:$A,0),2,1,1,"Raw"))</f>
        <v>0</v>
      </c>
      <c r="C1503" s="20">
        <f>INDEX(Raw!$C:$C,MATCH(A1503,Raw!$A:$A,0))</f>
        <v>0</v>
      </c>
      <c r="D1503" s="21"/>
    </row>
    <row r="1504" spans="1:4" ht="11.25" customHeight="1" x14ac:dyDescent="0.25">
      <c r="A1504" s="22" t="s">
        <v>1541</v>
      </c>
      <c r="B1504" s="20">
        <f ca="1">INDIRECT(ADDRESS(MATCH(A1504,Raw!$A:$A,0),2,1,1,"Raw"))</f>
        <v>0</v>
      </c>
      <c r="C1504" s="20">
        <f>INDEX(Raw!$C:$C,MATCH(A1504,Raw!$A:$A,0))</f>
        <v>0</v>
      </c>
      <c r="D1504" s="21"/>
    </row>
    <row r="1505" spans="1:4" ht="11.25" customHeight="1" x14ac:dyDescent="0.25">
      <c r="A1505" s="22" t="s">
        <v>1542</v>
      </c>
      <c r="B1505" s="20">
        <f ca="1">INDIRECT(ADDRESS(MATCH(A1505,Raw!$A:$A,0),2,1,1,"Raw"))</f>
        <v>0</v>
      </c>
      <c r="C1505" s="20">
        <f>INDEX(Raw!$C:$C,MATCH(A1505,Raw!$A:$A,0))</f>
        <v>0</v>
      </c>
      <c r="D1505" s="21"/>
    </row>
    <row r="1506" spans="1:4" ht="11.25" customHeight="1" x14ac:dyDescent="0.25">
      <c r="A1506" s="22" t="s">
        <v>1543</v>
      </c>
      <c r="B1506" s="20">
        <f ca="1">INDIRECT(ADDRESS(MATCH(A1506,Raw!$A:$A,0),2,1,1,"Raw"))</f>
        <v>0</v>
      </c>
      <c r="C1506" s="20">
        <f>INDEX(Raw!$C:$C,MATCH(A1506,Raw!$A:$A,0))</f>
        <v>0</v>
      </c>
      <c r="D1506" s="21"/>
    </row>
    <row r="1507" spans="1:4" ht="11.25" customHeight="1" x14ac:dyDescent="0.25">
      <c r="A1507" s="22" t="s">
        <v>1544</v>
      </c>
      <c r="B1507" s="20">
        <f ca="1">INDIRECT(ADDRESS(MATCH(A1507,Raw!$A:$A,0),2,1,1,"Raw"))</f>
        <v>0</v>
      </c>
      <c r="C1507" s="20">
        <f>INDEX(Raw!$C:$C,MATCH(A1507,Raw!$A:$A,0))</f>
        <v>0</v>
      </c>
      <c r="D1507" s="21"/>
    </row>
    <row r="1508" spans="1:4" ht="11.25" customHeight="1" x14ac:dyDescent="0.25">
      <c r="A1508" s="22" t="s">
        <v>1545</v>
      </c>
      <c r="B1508" s="20">
        <f ca="1">INDIRECT(ADDRESS(MATCH(A1508,Raw!$A:$A,0),2,1,1,"Raw"))</f>
        <v>0</v>
      </c>
      <c r="C1508" s="20">
        <f>INDEX(Raw!$C:$C,MATCH(A1508,Raw!$A:$A,0))</f>
        <v>0</v>
      </c>
      <c r="D1508" s="21"/>
    </row>
    <row r="1509" spans="1:4" ht="11.25" customHeight="1" x14ac:dyDescent="0.25">
      <c r="A1509" s="22" t="s">
        <v>1546</v>
      </c>
      <c r="B1509" s="20">
        <f ca="1">INDIRECT(ADDRESS(MATCH(A1509,Raw!$A:$A,0),2,1,1,"Raw"))</f>
        <v>0</v>
      </c>
      <c r="C1509" s="20">
        <f>INDEX(Raw!$C:$C,MATCH(A1509,Raw!$A:$A,0))</f>
        <v>0</v>
      </c>
      <c r="D1509" s="21"/>
    </row>
    <row r="1510" spans="1:4" ht="11.25" customHeight="1" x14ac:dyDescent="0.25">
      <c r="A1510" s="22" t="s">
        <v>1547</v>
      </c>
      <c r="B1510" s="20">
        <f ca="1">INDIRECT(ADDRESS(MATCH(A1510,Raw!$A:$A,0),2,1,1,"Raw"))</f>
        <v>0</v>
      </c>
      <c r="C1510" s="20">
        <f>INDEX(Raw!$C:$C,MATCH(A1510,Raw!$A:$A,0))</f>
        <v>0</v>
      </c>
      <c r="D1510" s="21"/>
    </row>
    <row r="1511" spans="1:4" ht="11.25" customHeight="1" x14ac:dyDescent="0.25">
      <c r="A1511" s="22" t="s">
        <v>1548</v>
      </c>
      <c r="B1511" s="20">
        <f ca="1">INDIRECT(ADDRESS(MATCH(A1511,Raw!$A:$A,0),2,1,1,"Raw"))</f>
        <v>0</v>
      </c>
      <c r="C1511" s="20">
        <f>INDEX(Raw!$C:$C,MATCH(A1511,Raw!$A:$A,0))</f>
        <v>0</v>
      </c>
      <c r="D1511" s="21"/>
    </row>
    <row r="1512" spans="1:4" ht="11.25" customHeight="1" x14ac:dyDescent="0.25">
      <c r="A1512" s="22" t="s">
        <v>1549</v>
      </c>
      <c r="B1512" s="20">
        <f ca="1">INDIRECT(ADDRESS(MATCH(A1512,Raw!$A:$A,0),2,1,1,"Raw"))</f>
        <v>0</v>
      </c>
      <c r="C1512" s="20">
        <f>INDEX(Raw!$C:$C,MATCH(A1512,Raw!$A:$A,0))</f>
        <v>0</v>
      </c>
      <c r="D1512" s="21"/>
    </row>
    <row r="1513" spans="1:4" ht="11.25" customHeight="1" x14ac:dyDescent="0.25">
      <c r="A1513" s="22" t="s">
        <v>1550</v>
      </c>
      <c r="B1513" s="20">
        <f ca="1">INDIRECT(ADDRESS(MATCH(A1513,Raw!$A:$A,0),2,1,1,"Raw"))</f>
        <v>0</v>
      </c>
      <c r="C1513" s="20">
        <f>INDEX(Raw!$C:$C,MATCH(A1513,Raw!$A:$A,0))</f>
        <v>0</v>
      </c>
      <c r="D1513" s="21"/>
    </row>
    <row r="1514" spans="1:4" ht="11.25" customHeight="1" x14ac:dyDescent="0.25">
      <c r="A1514" s="22" t="s">
        <v>1551</v>
      </c>
      <c r="B1514" s="20">
        <f ca="1">INDIRECT(ADDRESS(MATCH(A1514,Raw!$A:$A,0),2,1,1,"Raw"))</f>
        <v>0</v>
      </c>
      <c r="C1514" s="20">
        <f>INDEX(Raw!$C:$C,MATCH(A1514,Raw!$A:$A,0))</f>
        <v>0</v>
      </c>
      <c r="D1514" s="21"/>
    </row>
    <row r="1515" spans="1:4" ht="11.25" customHeight="1" x14ac:dyDescent="0.25">
      <c r="A1515" s="22" t="s">
        <v>1552</v>
      </c>
      <c r="B1515" s="20">
        <f ca="1">INDIRECT(ADDRESS(MATCH(A1515,Raw!$A:$A,0),2,1,1,"Raw"))</f>
        <v>0</v>
      </c>
      <c r="C1515" s="20">
        <f>INDEX(Raw!$C:$C,MATCH(A1515,Raw!$A:$A,0))</f>
        <v>0</v>
      </c>
      <c r="D1515" s="21"/>
    </row>
    <row r="1516" spans="1:4" ht="11.25" customHeight="1" x14ac:dyDescent="0.25">
      <c r="A1516" s="22" t="s">
        <v>1553</v>
      </c>
      <c r="B1516" s="20">
        <f ca="1">INDIRECT(ADDRESS(MATCH(A1516,Raw!$A:$A,0),2,1,1,"Raw"))</f>
        <v>0</v>
      </c>
      <c r="C1516" s="20">
        <f>INDEX(Raw!$C:$C,MATCH(A1516,Raw!$A:$A,0))</f>
        <v>0</v>
      </c>
      <c r="D1516" s="21"/>
    </row>
    <row r="1517" spans="1:4" ht="11.25" customHeight="1" x14ac:dyDescent="0.25">
      <c r="A1517" s="22" t="s">
        <v>1554</v>
      </c>
      <c r="B1517" s="20">
        <f ca="1">INDIRECT(ADDRESS(MATCH(A1517,Raw!$A:$A,0),2,1,1,"Raw"))</f>
        <v>0</v>
      </c>
      <c r="C1517" s="20">
        <f>INDEX(Raw!$C:$C,MATCH(A1517,Raw!$A:$A,0))</f>
        <v>0</v>
      </c>
      <c r="D1517" s="21"/>
    </row>
    <row r="1518" spans="1:4" ht="11.25" customHeight="1" x14ac:dyDescent="0.25">
      <c r="A1518" s="22" t="s">
        <v>1555</v>
      </c>
      <c r="B1518" s="20">
        <f ca="1">INDIRECT(ADDRESS(MATCH(A1518,Raw!$A:$A,0),2,1,1,"Raw"))</f>
        <v>0</v>
      </c>
      <c r="C1518" s="20">
        <f>INDEX(Raw!$C:$C,MATCH(A1518,Raw!$A:$A,0))</f>
        <v>0</v>
      </c>
      <c r="D1518" s="21"/>
    </row>
    <row r="1519" spans="1:4" ht="11.25" customHeight="1" x14ac:dyDescent="0.25">
      <c r="A1519" s="22" t="s">
        <v>1556</v>
      </c>
      <c r="B1519" s="20">
        <f ca="1">INDIRECT(ADDRESS(MATCH(A1519,Raw!$A:$A,0),2,1,1,"Raw"))</f>
        <v>0</v>
      </c>
      <c r="C1519" s="20">
        <f>INDEX(Raw!$C:$C,MATCH(A1519,Raw!$A:$A,0))</f>
        <v>0</v>
      </c>
      <c r="D1519" s="21"/>
    </row>
    <row r="1520" spans="1:4" ht="11.25" customHeight="1" x14ac:dyDescent="0.25">
      <c r="A1520" s="22" t="s">
        <v>1557</v>
      </c>
      <c r="B1520" s="20">
        <f ca="1">INDIRECT(ADDRESS(MATCH(A1520,Raw!$A:$A,0),2,1,1,"Raw"))</f>
        <v>0</v>
      </c>
      <c r="C1520" s="20">
        <f>INDEX(Raw!$C:$C,MATCH(A1520,Raw!$A:$A,0))</f>
        <v>0</v>
      </c>
      <c r="D1520" s="21"/>
    </row>
    <row r="1521" spans="1:4" ht="11.25" customHeight="1" x14ac:dyDescent="0.25">
      <c r="A1521" s="22" t="s">
        <v>1558</v>
      </c>
      <c r="B1521" s="20">
        <f ca="1">INDIRECT(ADDRESS(MATCH(A1521,Raw!$A:$A,0),2,1,1,"Raw"))</f>
        <v>0</v>
      </c>
      <c r="C1521" s="20">
        <f>INDEX(Raw!$C:$C,MATCH(A1521,Raw!$A:$A,0))</f>
        <v>0</v>
      </c>
      <c r="D1521" s="21"/>
    </row>
    <row r="1522" spans="1:4" ht="11.25" customHeight="1" x14ac:dyDescent="0.25">
      <c r="A1522" s="22" t="s">
        <v>1559</v>
      </c>
      <c r="B1522" s="20">
        <f ca="1">INDIRECT(ADDRESS(MATCH(A1522,Raw!$A:$A,0),2,1,1,"Raw"))</f>
        <v>0</v>
      </c>
      <c r="C1522" s="20">
        <f>INDEX(Raw!$C:$C,MATCH(A1522,Raw!$A:$A,0))</f>
        <v>0</v>
      </c>
      <c r="D1522" s="21"/>
    </row>
    <row r="1523" spans="1:4" ht="11.25" customHeight="1" x14ac:dyDescent="0.25">
      <c r="A1523" s="22" t="s">
        <v>1560</v>
      </c>
      <c r="B1523" s="20">
        <f ca="1">INDIRECT(ADDRESS(MATCH(A1523,Raw!$A:$A,0),2,1,1,"Raw"))</f>
        <v>0</v>
      </c>
      <c r="C1523" s="20">
        <f>INDEX(Raw!$C:$C,MATCH(A1523,Raw!$A:$A,0))</f>
        <v>0</v>
      </c>
      <c r="D1523" s="21"/>
    </row>
    <row r="1524" spans="1:4" ht="11.25" customHeight="1" x14ac:dyDescent="0.25">
      <c r="A1524" s="22" t="s">
        <v>1561</v>
      </c>
      <c r="B1524" s="20">
        <f ca="1">INDIRECT(ADDRESS(MATCH(A1524,Raw!$A:$A,0),2,1,1,"Raw"))</f>
        <v>0</v>
      </c>
      <c r="C1524" s="20">
        <f>INDEX(Raw!$C:$C,MATCH(A1524,Raw!$A:$A,0))</f>
        <v>0</v>
      </c>
      <c r="D1524" s="21"/>
    </row>
    <row r="1525" spans="1:4" ht="11.25" customHeight="1" x14ac:dyDescent="0.25">
      <c r="A1525" s="22" t="s">
        <v>1562</v>
      </c>
      <c r="B1525" s="20">
        <f ca="1">INDIRECT(ADDRESS(MATCH(A1525,Raw!$A:$A,0),2,1,1,"Raw"))</f>
        <v>0</v>
      </c>
      <c r="C1525" s="20">
        <f>INDEX(Raw!$C:$C,MATCH(A1525,Raw!$A:$A,0))</f>
        <v>0</v>
      </c>
      <c r="D1525" s="21"/>
    </row>
    <row r="1526" spans="1:4" ht="11.25" customHeight="1" x14ac:dyDescent="0.25">
      <c r="A1526" s="22" t="s">
        <v>1563</v>
      </c>
      <c r="B1526" s="20">
        <f ca="1">INDIRECT(ADDRESS(MATCH(A1526,Raw!$A:$A,0),2,1,1,"Raw"))</f>
        <v>0</v>
      </c>
      <c r="C1526" s="20">
        <f>INDEX(Raw!$C:$C,MATCH(A1526,Raw!$A:$A,0))</f>
        <v>0</v>
      </c>
      <c r="D1526" s="21"/>
    </row>
    <row r="1527" spans="1:4" ht="11.25" customHeight="1" x14ac:dyDescent="0.25">
      <c r="A1527" s="22" t="s">
        <v>1564</v>
      </c>
      <c r="B1527" s="20">
        <f ca="1">INDIRECT(ADDRESS(MATCH(A1527,Raw!$A:$A,0),2,1,1,"Raw"))</f>
        <v>0</v>
      </c>
      <c r="C1527" s="20">
        <f>INDEX(Raw!$C:$C,MATCH(A1527,Raw!$A:$A,0))</f>
        <v>0</v>
      </c>
      <c r="D1527" s="21"/>
    </row>
    <row r="1528" spans="1:4" ht="11.25" customHeight="1" x14ac:dyDescent="0.25">
      <c r="A1528" s="22" t="s">
        <v>1565</v>
      </c>
      <c r="B1528" s="20">
        <f ca="1">INDIRECT(ADDRESS(MATCH(A1528,Raw!$A:$A,0),2,1,1,"Raw"))</f>
        <v>0</v>
      </c>
      <c r="C1528" s="20">
        <f>INDEX(Raw!$C:$C,MATCH(A1528,Raw!$A:$A,0))</f>
        <v>0</v>
      </c>
      <c r="D1528" s="21"/>
    </row>
    <row r="1529" spans="1:4" ht="11.25" customHeight="1" x14ac:dyDescent="0.25">
      <c r="A1529" s="22" t="s">
        <v>1566</v>
      </c>
      <c r="B1529" s="20">
        <f ca="1">INDIRECT(ADDRESS(MATCH(A1529,Raw!$A:$A,0),2,1,1,"Raw"))</f>
        <v>0</v>
      </c>
      <c r="C1529" s="20">
        <f>INDEX(Raw!$C:$C,MATCH(A1529,Raw!$A:$A,0))</f>
        <v>0</v>
      </c>
      <c r="D1529" s="21"/>
    </row>
    <row r="1530" spans="1:4" ht="11.25" customHeight="1" x14ac:dyDescent="0.25">
      <c r="A1530" s="22" t="s">
        <v>1567</v>
      </c>
      <c r="B1530" s="20">
        <f ca="1">INDIRECT(ADDRESS(MATCH(A1530,Raw!$A:$A,0),2,1,1,"Raw"))</f>
        <v>0</v>
      </c>
      <c r="C1530" s="20">
        <f>INDEX(Raw!$C:$C,MATCH(A1530,Raw!$A:$A,0))</f>
        <v>0</v>
      </c>
      <c r="D1530" s="21"/>
    </row>
    <row r="1531" spans="1:4" ht="11.25" customHeight="1" x14ac:dyDescent="0.25">
      <c r="A1531" s="22" t="s">
        <v>1568</v>
      </c>
      <c r="B1531" s="20">
        <f ca="1">INDIRECT(ADDRESS(MATCH(A1531,Raw!$A:$A,0),2,1,1,"Raw"))</f>
        <v>0</v>
      </c>
      <c r="C1531" s="20">
        <f>INDEX(Raw!$C:$C,MATCH(A1531,Raw!$A:$A,0))</f>
        <v>0</v>
      </c>
      <c r="D1531" s="21"/>
    </row>
    <row r="1532" spans="1:4" ht="11.25" customHeight="1" x14ac:dyDescent="0.25">
      <c r="A1532" s="22" t="s">
        <v>1569</v>
      </c>
      <c r="B1532" s="20">
        <f ca="1">INDIRECT(ADDRESS(MATCH(A1532,Raw!$A:$A,0),2,1,1,"Raw"))</f>
        <v>0</v>
      </c>
      <c r="C1532" s="20">
        <f>INDEX(Raw!$C:$C,MATCH(A1532,Raw!$A:$A,0))</f>
        <v>0</v>
      </c>
      <c r="D1532" s="21"/>
    </row>
    <row r="1533" spans="1:4" ht="11.25" customHeight="1" x14ac:dyDescent="0.25">
      <c r="A1533" s="22" t="s">
        <v>1570</v>
      </c>
      <c r="B1533" s="20">
        <f ca="1">INDIRECT(ADDRESS(MATCH(A1533,Raw!$A:$A,0),2,1,1,"Raw"))</f>
        <v>0</v>
      </c>
      <c r="C1533" s="20">
        <f>INDEX(Raw!$C:$C,MATCH(A1533,Raw!$A:$A,0))</f>
        <v>0</v>
      </c>
      <c r="D1533" s="21"/>
    </row>
    <row r="1534" spans="1:4" ht="11.25" customHeight="1" x14ac:dyDescent="0.25">
      <c r="A1534" s="22" t="s">
        <v>1571</v>
      </c>
      <c r="B1534" s="20">
        <f ca="1">INDIRECT(ADDRESS(MATCH(A1534,Raw!$A:$A,0),2,1,1,"Raw"))</f>
        <v>0</v>
      </c>
      <c r="C1534" s="20">
        <f>INDEX(Raw!$C:$C,MATCH(A1534,Raw!$A:$A,0))</f>
        <v>0</v>
      </c>
      <c r="D1534" s="21"/>
    </row>
    <row r="1535" spans="1:4" ht="11.25" customHeight="1" x14ac:dyDescent="0.25">
      <c r="A1535" s="22" t="s">
        <v>1572</v>
      </c>
      <c r="B1535" s="20">
        <f ca="1">INDIRECT(ADDRESS(MATCH(A1535,Raw!$A:$A,0),2,1,1,"Raw"))</f>
        <v>0</v>
      </c>
      <c r="C1535" s="20">
        <f>INDEX(Raw!$C:$C,MATCH(A1535,Raw!$A:$A,0))</f>
        <v>0</v>
      </c>
      <c r="D1535" s="21"/>
    </row>
    <row r="1536" spans="1:4" ht="11.25" customHeight="1" x14ac:dyDescent="0.25">
      <c r="A1536" s="22" t="s">
        <v>1573</v>
      </c>
      <c r="B1536" s="20">
        <f ca="1">INDIRECT(ADDRESS(MATCH(A1536,Raw!$A:$A,0),2,1,1,"Raw"))</f>
        <v>0</v>
      </c>
      <c r="C1536" s="20">
        <f>INDEX(Raw!$C:$C,MATCH(A1536,Raw!$A:$A,0))</f>
        <v>0</v>
      </c>
      <c r="D1536" s="21"/>
    </row>
    <row r="1537" spans="1:4" ht="11.25" customHeight="1" x14ac:dyDescent="0.25">
      <c r="A1537" s="22" t="s">
        <v>1574</v>
      </c>
      <c r="B1537" s="20">
        <f ca="1">INDIRECT(ADDRESS(MATCH(A1537,Raw!$A:$A,0),2,1,1,"Raw"))</f>
        <v>0</v>
      </c>
      <c r="C1537" s="20">
        <f>INDEX(Raw!$C:$C,MATCH(A1537,Raw!$A:$A,0))</f>
        <v>0</v>
      </c>
      <c r="D1537" s="21"/>
    </row>
    <row r="1538" spans="1:4" ht="11.25" customHeight="1" x14ac:dyDescent="0.25">
      <c r="A1538" s="22" t="s">
        <v>1575</v>
      </c>
      <c r="B1538" s="20">
        <f ca="1">INDIRECT(ADDRESS(MATCH(A1538,Raw!$A:$A,0),2,1,1,"Raw"))</f>
        <v>0</v>
      </c>
      <c r="C1538" s="20">
        <f>INDEX(Raw!$C:$C,MATCH(A1538,Raw!$A:$A,0))</f>
        <v>0</v>
      </c>
      <c r="D1538" s="21"/>
    </row>
    <row r="1539" spans="1:4" ht="11.25" customHeight="1" x14ac:dyDescent="0.25">
      <c r="A1539" s="22" t="s">
        <v>1576</v>
      </c>
      <c r="B1539" s="20">
        <f ca="1">INDIRECT(ADDRESS(MATCH(A1539,Raw!$A:$A,0),2,1,1,"Raw"))</f>
        <v>0</v>
      </c>
      <c r="C1539" s="20">
        <f>INDEX(Raw!$C:$C,MATCH(A1539,Raw!$A:$A,0))</f>
        <v>0</v>
      </c>
      <c r="D1539" s="21"/>
    </row>
    <row r="1540" spans="1:4" ht="11.25" customHeight="1" x14ac:dyDescent="0.25">
      <c r="A1540" s="22" t="s">
        <v>1577</v>
      </c>
      <c r="B1540" s="20">
        <f ca="1">INDIRECT(ADDRESS(MATCH(A1540,Raw!$A:$A,0),2,1,1,"Raw"))</f>
        <v>0</v>
      </c>
      <c r="C1540" s="20">
        <f>INDEX(Raw!$C:$C,MATCH(A1540,Raw!$A:$A,0))</f>
        <v>0</v>
      </c>
      <c r="D1540" s="21"/>
    </row>
    <row r="1541" spans="1:4" ht="11.25" customHeight="1" x14ac:dyDescent="0.25">
      <c r="A1541" s="22" t="s">
        <v>1578</v>
      </c>
      <c r="B1541" s="20">
        <f ca="1">INDIRECT(ADDRESS(MATCH(A1541,Raw!$A:$A,0),2,1,1,"Raw"))</f>
        <v>0</v>
      </c>
      <c r="C1541" s="20">
        <f>INDEX(Raw!$C:$C,MATCH(A1541,Raw!$A:$A,0))</f>
        <v>0</v>
      </c>
      <c r="D1541" s="21"/>
    </row>
    <row r="1542" spans="1:4" ht="11.25" customHeight="1" x14ac:dyDescent="0.25">
      <c r="A1542" s="22" t="s">
        <v>1579</v>
      </c>
      <c r="B1542" s="20">
        <f ca="1">INDIRECT(ADDRESS(MATCH(A1542,Raw!$A:$A,0),2,1,1,"Raw"))</f>
        <v>0</v>
      </c>
      <c r="C1542" s="20">
        <f>INDEX(Raw!$C:$C,MATCH(A1542,Raw!$A:$A,0))</f>
        <v>0</v>
      </c>
      <c r="D1542" s="21"/>
    </row>
    <row r="1543" spans="1:4" ht="11.25" customHeight="1" x14ac:dyDescent="0.25">
      <c r="A1543" s="22" t="s">
        <v>1580</v>
      </c>
      <c r="B1543" s="20">
        <f ca="1">INDIRECT(ADDRESS(MATCH(A1543,Raw!$A:$A,0),2,1,1,"Raw"))</f>
        <v>0</v>
      </c>
      <c r="C1543" s="20">
        <f>INDEX(Raw!$C:$C,MATCH(A1543,Raw!$A:$A,0))</f>
        <v>0</v>
      </c>
      <c r="D1543" s="21"/>
    </row>
    <row r="1544" spans="1:4" ht="11.25" customHeight="1" x14ac:dyDescent="0.25">
      <c r="A1544" s="22" t="s">
        <v>1581</v>
      </c>
      <c r="B1544" s="20">
        <f ca="1">INDIRECT(ADDRESS(MATCH(A1544,Raw!$A:$A,0),2,1,1,"Raw"))</f>
        <v>0</v>
      </c>
      <c r="C1544" s="20">
        <f>INDEX(Raw!$C:$C,MATCH(A1544,Raw!$A:$A,0))</f>
        <v>0</v>
      </c>
      <c r="D1544" s="21"/>
    </row>
    <row r="1545" spans="1:4" ht="11.25" customHeight="1" x14ac:dyDescent="0.25">
      <c r="A1545" s="22" t="s">
        <v>1582</v>
      </c>
      <c r="B1545" s="20">
        <f ca="1">INDIRECT(ADDRESS(MATCH(A1545,Raw!$A:$A,0),2,1,1,"Raw"))</f>
        <v>0</v>
      </c>
      <c r="C1545" s="20">
        <f>INDEX(Raw!$C:$C,MATCH(A1545,Raw!$A:$A,0))</f>
        <v>0</v>
      </c>
      <c r="D1545" s="21"/>
    </row>
    <row r="1546" spans="1:4" ht="11.25" customHeight="1" x14ac:dyDescent="0.25">
      <c r="A1546" s="22" t="s">
        <v>1583</v>
      </c>
      <c r="B1546" s="20">
        <f ca="1">INDIRECT(ADDRESS(MATCH(A1546,Raw!$A:$A,0),2,1,1,"Raw"))</f>
        <v>0</v>
      </c>
      <c r="C1546" s="20">
        <f>INDEX(Raw!$C:$C,MATCH(A1546,Raw!$A:$A,0))</f>
        <v>0</v>
      </c>
      <c r="D1546" s="21"/>
    </row>
    <row r="1547" spans="1:4" ht="11.25" customHeight="1" x14ac:dyDescent="0.25">
      <c r="A1547" s="22" t="s">
        <v>1584</v>
      </c>
      <c r="B1547" s="20">
        <f ca="1">INDIRECT(ADDRESS(MATCH(A1547,Raw!$A:$A,0),2,1,1,"Raw"))</f>
        <v>0</v>
      </c>
      <c r="C1547" s="20">
        <f>INDEX(Raw!$C:$C,MATCH(A1547,Raw!$A:$A,0))</f>
        <v>0</v>
      </c>
      <c r="D1547" s="21"/>
    </row>
    <row r="1548" spans="1:4" ht="11.25" customHeight="1" x14ac:dyDescent="0.25">
      <c r="A1548" s="22" t="s">
        <v>1585</v>
      </c>
      <c r="B1548" s="20">
        <f ca="1">INDIRECT(ADDRESS(MATCH(A1548,Raw!$A:$A,0),2,1,1,"Raw"))</f>
        <v>0</v>
      </c>
      <c r="C1548" s="20">
        <f>INDEX(Raw!$C:$C,MATCH(A1548,Raw!$A:$A,0))</f>
        <v>0</v>
      </c>
      <c r="D1548" s="21"/>
    </row>
    <row r="1549" spans="1:4" ht="11.25" customHeight="1" x14ac:dyDescent="0.25">
      <c r="A1549" s="22" t="s">
        <v>1586</v>
      </c>
      <c r="B1549" s="20">
        <f ca="1">INDIRECT(ADDRESS(MATCH(A1549,Raw!$A:$A,0),2,1,1,"Raw"))</f>
        <v>0</v>
      </c>
      <c r="C1549" s="20">
        <f>INDEX(Raw!$C:$C,MATCH(A1549,Raw!$A:$A,0))</f>
        <v>0</v>
      </c>
      <c r="D1549" s="21"/>
    </row>
    <row r="1550" spans="1:4" ht="11.25" customHeight="1" x14ac:dyDescent="0.25">
      <c r="A1550" s="22" t="s">
        <v>1587</v>
      </c>
      <c r="B1550" s="20">
        <f ca="1">INDIRECT(ADDRESS(MATCH(A1550,Raw!$A:$A,0),2,1,1,"Raw"))</f>
        <v>0</v>
      </c>
      <c r="C1550" s="20">
        <f>INDEX(Raw!$C:$C,MATCH(A1550,Raw!$A:$A,0))</f>
        <v>0</v>
      </c>
      <c r="D1550" s="21"/>
    </row>
    <row r="1551" spans="1:4" ht="11.25" customHeight="1" x14ac:dyDescent="0.25">
      <c r="A1551" s="22" t="s">
        <v>1588</v>
      </c>
      <c r="B1551" s="20">
        <f ca="1">INDIRECT(ADDRESS(MATCH(A1551,Raw!$A:$A,0),2,1,1,"Raw"))</f>
        <v>0</v>
      </c>
      <c r="C1551" s="20">
        <f>INDEX(Raw!$C:$C,MATCH(A1551,Raw!$A:$A,0))</f>
        <v>0</v>
      </c>
      <c r="D1551" s="21"/>
    </row>
    <row r="1552" spans="1:4" ht="11.25" customHeight="1" x14ac:dyDescent="0.25">
      <c r="A1552" s="22" t="s">
        <v>1589</v>
      </c>
      <c r="B1552" s="20">
        <f ca="1">INDIRECT(ADDRESS(MATCH(A1552,Raw!$A:$A,0),2,1,1,"Raw"))</f>
        <v>0</v>
      </c>
      <c r="C1552" s="20">
        <f>INDEX(Raw!$C:$C,MATCH(A1552,Raw!$A:$A,0))</f>
        <v>0</v>
      </c>
      <c r="D1552" s="21"/>
    </row>
    <row r="1553" spans="1:4" ht="11.25" customHeight="1" x14ac:dyDescent="0.25">
      <c r="A1553" s="22" t="s">
        <v>1590</v>
      </c>
      <c r="B1553" s="20">
        <f ca="1">INDIRECT(ADDRESS(MATCH(A1553,Raw!$A:$A,0),2,1,1,"Raw"))</f>
        <v>0</v>
      </c>
      <c r="C1553" s="20">
        <f>INDEX(Raw!$C:$C,MATCH(A1553,Raw!$A:$A,0))</f>
        <v>0</v>
      </c>
      <c r="D1553" s="21"/>
    </row>
    <row r="1554" spans="1:4" ht="11.25" customHeight="1" x14ac:dyDescent="0.25">
      <c r="A1554" s="22" t="s">
        <v>1591</v>
      </c>
      <c r="B1554" s="20">
        <f ca="1">INDIRECT(ADDRESS(MATCH(A1554,Raw!$A:$A,0),2,1,1,"Raw"))</f>
        <v>0</v>
      </c>
      <c r="C1554" s="20">
        <f>INDEX(Raw!$C:$C,MATCH(A1554,Raw!$A:$A,0))</f>
        <v>0</v>
      </c>
      <c r="D1554" s="21"/>
    </row>
    <row r="1555" spans="1:4" ht="11.25" customHeight="1" x14ac:dyDescent="0.25">
      <c r="A1555" s="22" t="s">
        <v>1592</v>
      </c>
      <c r="B1555" s="20">
        <f ca="1">INDIRECT(ADDRESS(MATCH(A1555,Raw!$A:$A,0),2,1,1,"Raw"))</f>
        <v>0</v>
      </c>
      <c r="C1555" s="20">
        <f>INDEX(Raw!$C:$C,MATCH(A1555,Raw!$A:$A,0))</f>
        <v>0</v>
      </c>
      <c r="D1555" s="21"/>
    </row>
    <row r="1556" spans="1:4" ht="11.25" customHeight="1" x14ac:dyDescent="0.25">
      <c r="A1556" s="22" t="s">
        <v>1593</v>
      </c>
      <c r="B1556" s="20">
        <f ca="1">INDIRECT(ADDRESS(MATCH(A1556,Raw!$A:$A,0),2,1,1,"Raw"))</f>
        <v>0</v>
      </c>
      <c r="C1556" s="20">
        <f>INDEX(Raw!$C:$C,MATCH(A1556,Raw!$A:$A,0))</f>
        <v>0</v>
      </c>
      <c r="D1556" s="21"/>
    </row>
    <row r="1557" spans="1:4" ht="11.25" customHeight="1" x14ac:dyDescent="0.25">
      <c r="A1557" s="22" t="s">
        <v>1594</v>
      </c>
      <c r="B1557" s="20">
        <f ca="1">INDIRECT(ADDRESS(MATCH(A1557,Raw!$A:$A,0),2,1,1,"Raw"))</f>
        <v>0</v>
      </c>
      <c r="C1557" s="20">
        <f>INDEX(Raw!$C:$C,MATCH(A1557,Raw!$A:$A,0))</f>
        <v>0</v>
      </c>
      <c r="D1557" s="21"/>
    </row>
    <row r="1558" spans="1:4" ht="11.25" customHeight="1" x14ac:dyDescent="0.25">
      <c r="A1558" s="22" t="s">
        <v>1595</v>
      </c>
      <c r="B1558" s="20">
        <f ca="1">INDIRECT(ADDRESS(MATCH(A1558,Raw!$A:$A,0),2,1,1,"Raw"))</f>
        <v>0</v>
      </c>
      <c r="C1558" s="20">
        <f>INDEX(Raw!$C:$C,MATCH(A1558,Raw!$A:$A,0))</f>
        <v>0</v>
      </c>
      <c r="D1558" s="21"/>
    </row>
    <row r="1559" spans="1:4" ht="11.25" customHeight="1" x14ac:dyDescent="0.25">
      <c r="A1559" s="22" t="s">
        <v>1596</v>
      </c>
      <c r="B1559" s="20">
        <f ca="1">INDIRECT(ADDRESS(MATCH(A1559,Raw!$A:$A,0),2,1,1,"Raw"))</f>
        <v>0</v>
      </c>
      <c r="C1559" s="20">
        <f>INDEX(Raw!$C:$C,MATCH(A1559,Raw!$A:$A,0))</f>
        <v>0</v>
      </c>
      <c r="D1559" s="21"/>
    </row>
    <row r="1560" spans="1:4" ht="11.25" customHeight="1" x14ac:dyDescent="0.25">
      <c r="A1560" s="22" t="s">
        <v>1597</v>
      </c>
      <c r="B1560" s="20">
        <f ca="1">INDIRECT(ADDRESS(MATCH(A1560,Raw!$A:$A,0),2,1,1,"Raw"))</f>
        <v>0</v>
      </c>
      <c r="C1560" s="20">
        <f>INDEX(Raw!$C:$C,MATCH(A1560,Raw!$A:$A,0))</f>
        <v>0</v>
      </c>
      <c r="D1560" s="21"/>
    </row>
    <row r="1561" spans="1:4" ht="11.25" customHeight="1" x14ac:dyDescent="0.25">
      <c r="A1561" s="22" t="s">
        <v>1598</v>
      </c>
      <c r="B1561" s="20">
        <f ca="1">INDIRECT(ADDRESS(MATCH(A1561,Raw!$A:$A,0),2,1,1,"Raw"))</f>
        <v>0</v>
      </c>
      <c r="C1561" s="20">
        <f>INDEX(Raw!$C:$C,MATCH(A1561,Raw!$A:$A,0))</f>
        <v>0</v>
      </c>
      <c r="D1561" s="21"/>
    </row>
    <row r="1562" spans="1:4" ht="11.25" customHeight="1" x14ac:dyDescent="0.25">
      <c r="A1562" s="22" t="s">
        <v>1599</v>
      </c>
      <c r="B1562" s="20">
        <f ca="1">INDIRECT(ADDRESS(MATCH(A1562,Raw!$A:$A,0),2,1,1,"Raw"))</f>
        <v>0</v>
      </c>
      <c r="C1562" s="20">
        <f>INDEX(Raw!$C:$C,MATCH(A1562,Raw!$A:$A,0))</f>
        <v>0</v>
      </c>
      <c r="D1562" s="21"/>
    </row>
    <row r="1563" spans="1:4" ht="11.25" customHeight="1" x14ac:dyDescent="0.25">
      <c r="A1563" s="22" t="s">
        <v>1600</v>
      </c>
      <c r="B1563" s="20">
        <f ca="1">INDIRECT(ADDRESS(MATCH(A1563,Raw!$A:$A,0),2,1,1,"Raw"))</f>
        <v>0</v>
      </c>
      <c r="C1563" s="20">
        <f>INDEX(Raw!$C:$C,MATCH(A1563,Raw!$A:$A,0))</f>
        <v>0</v>
      </c>
      <c r="D1563" s="21"/>
    </row>
    <row r="1564" spans="1:4" ht="11.25" customHeight="1" x14ac:dyDescent="0.25">
      <c r="A1564" s="22" t="s">
        <v>1601</v>
      </c>
      <c r="B1564" s="20">
        <f ca="1">INDIRECT(ADDRESS(MATCH(A1564,Raw!$A:$A,0),2,1,1,"Raw"))</f>
        <v>0</v>
      </c>
      <c r="C1564" s="20">
        <f>INDEX(Raw!$C:$C,MATCH(A1564,Raw!$A:$A,0))</f>
        <v>0</v>
      </c>
      <c r="D1564" s="21"/>
    </row>
    <row r="1565" spans="1:4" ht="11.25" customHeight="1" x14ac:dyDescent="0.25">
      <c r="A1565" s="22" t="s">
        <v>1602</v>
      </c>
      <c r="B1565" s="20">
        <f ca="1">INDIRECT(ADDRESS(MATCH(A1565,Raw!$A:$A,0),2,1,1,"Raw"))</f>
        <v>0</v>
      </c>
      <c r="C1565" s="20">
        <f>INDEX(Raw!$C:$C,MATCH(A1565,Raw!$A:$A,0))</f>
        <v>0</v>
      </c>
      <c r="D1565" s="21"/>
    </row>
    <row r="1566" spans="1:4" ht="11.25" customHeight="1" x14ac:dyDescent="0.25">
      <c r="A1566" s="22" t="s">
        <v>1603</v>
      </c>
      <c r="B1566" s="20">
        <f ca="1">INDIRECT(ADDRESS(MATCH(A1566,Raw!$A:$A,0),2,1,1,"Raw"))</f>
        <v>0</v>
      </c>
      <c r="C1566" s="20">
        <f>INDEX(Raw!$C:$C,MATCH(A1566,Raw!$A:$A,0))</f>
        <v>0</v>
      </c>
      <c r="D1566" s="21"/>
    </row>
    <row r="1567" spans="1:4" ht="11.25" customHeight="1" x14ac:dyDescent="0.25">
      <c r="A1567" s="22" t="s">
        <v>1604</v>
      </c>
      <c r="B1567" s="20">
        <f ca="1">INDIRECT(ADDRESS(MATCH(A1567,Raw!$A:$A,0),2,1,1,"Raw"))</f>
        <v>0</v>
      </c>
      <c r="C1567" s="20">
        <f>INDEX(Raw!$C:$C,MATCH(A1567,Raw!$A:$A,0))</f>
        <v>0</v>
      </c>
      <c r="D1567" s="21"/>
    </row>
    <row r="1568" spans="1:4" ht="11.25" customHeight="1" x14ac:dyDescent="0.25">
      <c r="A1568" s="22" t="s">
        <v>1605</v>
      </c>
      <c r="B1568" s="20">
        <f ca="1">INDIRECT(ADDRESS(MATCH(A1568,Raw!$A:$A,0),2,1,1,"Raw"))</f>
        <v>0</v>
      </c>
      <c r="C1568" s="20">
        <f>INDEX(Raw!$C:$C,MATCH(A1568,Raw!$A:$A,0))</f>
        <v>0</v>
      </c>
      <c r="D1568" s="21"/>
    </row>
    <row r="1569" spans="1:4" ht="11.25" customHeight="1" x14ac:dyDescent="0.25">
      <c r="A1569" s="22" t="s">
        <v>1606</v>
      </c>
      <c r="B1569" s="20">
        <f ca="1">INDIRECT(ADDRESS(MATCH(A1569,Raw!$A:$A,0),2,1,1,"Raw"))</f>
        <v>0</v>
      </c>
      <c r="C1569" s="20">
        <f>INDEX(Raw!$C:$C,MATCH(A1569,Raw!$A:$A,0))</f>
        <v>0</v>
      </c>
      <c r="D1569" s="21"/>
    </row>
    <row r="1570" spans="1:4" ht="11.25" customHeight="1" x14ac:dyDescent="0.25">
      <c r="A1570" s="22" t="s">
        <v>1607</v>
      </c>
      <c r="B1570" s="20">
        <f ca="1">INDIRECT(ADDRESS(MATCH(A1570,Raw!$A:$A,0),2,1,1,"Raw"))</f>
        <v>0</v>
      </c>
      <c r="C1570" s="20">
        <f>INDEX(Raw!$C:$C,MATCH(A1570,Raw!$A:$A,0))</f>
        <v>0</v>
      </c>
      <c r="D1570" s="21"/>
    </row>
    <row r="1571" spans="1:4" ht="11.25" customHeight="1" x14ac:dyDescent="0.25">
      <c r="A1571" s="22" t="s">
        <v>1608</v>
      </c>
      <c r="B1571" s="20">
        <f ca="1">INDIRECT(ADDRESS(MATCH(A1571,Raw!$A:$A,0),2,1,1,"Raw"))</f>
        <v>0</v>
      </c>
      <c r="C1571" s="20">
        <f>INDEX(Raw!$C:$C,MATCH(A1571,Raw!$A:$A,0))</f>
        <v>0</v>
      </c>
      <c r="D1571" s="21"/>
    </row>
    <row r="1572" spans="1:4" ht="11.25" customHeight="1" x14ac:dyDescent="0.25">
      <c r="A1572" s="22" t="s">
        <v>1609</v>
      </c>
      <c r="B1572" s="20">
        <f ca="1">INDIRECT(ADDRESS(MATCH(A1572,Raw!$A:$A,0),2,1,1,"Raw"))</f>
        <v>0</v>
      </c>
      <c r="C1572" s="20">
        <f>INDEX(Raw!$C:$C,MATCH(A1572,Raw!$A:$A,0))</f>
        <v>0</v>
      </c>
      <c r="D1572" s="21"/>
    </row>
    <row r="1573" spans="1:4" ht="11.25" customHeight="1" x14ac:dyDescent="0.25">
      <c r="A1573" s="22" t="s">
        <v>1610</v>
      </c>
      <c r="B1573" s="20">
        <f ca="1">INDIRECT(ADDRESS(MATCH(A1573,Raw!$A:$A,0),2,1,1,"Raw"))</f>
        <v>0</v>
      </c>
      <c r="C1573" s="20">
        <f>INDEX(Raw!$C:$C,MATCH(A1573,Raw!$A:$A,0))</f>
        <v>0</v>
      </c>
      <c r="D1573" s="21"/>
    </row>
    <row r="1574" spans="1:4" ht="11.25" customHeight="1" x14ac:dyDescent="0.25">
      <c r="A1574" s="22" t="s">
        <v>1611</v>
      </c>
      <c r="B1574" s="20">
        <f ca="1">INDIRECT(ADDRESS(MATCH(A1574,Raw!$A:$A,0),2,1,1,"Raw"))</f>
        <v>0</v>
      </c>
      <c r="C1574" s="20">
        <f>INDEX(Raw!$C:$C,MATCH(A1574,Raw!$A:$A,0))</f>
        <v>0</v>
      </c>
      <c r="D1574" s="21"/>
    </row>
    <row r="1575" spans="1:4" ht="11.25" customHeight="1" x14ac:dyDescent="0.25">
      <c r="A1575" s="22" t="s">
        <v>1612</v>
      </c>
      <c r="B1575" s="20">
        <f ca="1">INDIRECT(ADDRESS(MATCH(A1575,Raw!$A:$A,0),2,1,1,"Raw"))</f>
        <v>0</v>
      </c>
      <c r="C1575" s="20">
        <f>INDEX(Raw!$C:$C,MATCH(A1575,Raw!$A:$A,0))</f>
        <v>0</v>
      </c>
      <c r="D1575" s="21"/>
    </row>
    <row r="1576" spans="1:4" ht="11.25" customHeight="1" x14ac:dyDescent="0.25">
      <c r="A1576" s="22" t="s">
        <v>1613</v>
      </c>
      <c r="B1576" s="20">
        <f ca="1">INDIRECT(ADDRESS(MATCH(A1576,Raw!$A:$A,0),2,1,1,"Raw"))</f>
        <v>0</v>
      </c>
      <c r="C1576" s="20">
        <f>INDEX(Raw!$C:$C,MATCH(A1576,Raw!$A:$A,0))</f>
        <v>0</v>
      </c>
      <c r="D1576" s="21"/>
    </row>
    <row r="1577" spans="1:4" ht="11.25" customHeight="1" x14ac:dyDescent="0.25">
      <c r="A1577" s="22" t="s">
        <v>1614</v>
      </c>
      <c r="B1577" s="20">
        <f ca="1">INDIRECT(ADDRESS(MATCH(A1577,Raw!$A:$A,0),2,1,1,"Raw"))</f>
        <v>0</v>
      </c>
      <c r="C1577" s="20">
        <f>INDEX(Raw!$C:$C,MATCH(A1577,Raw!$A:$A,0))</f>
        <v>0</v>
      </c>
      <c r="D1577" s="21"/>
    </row>
    <row r="1578" spans="1:4" ht="11.25" customHeight="1" x14ac:dyDescent="0.25">
      <c r="A1578" s="22" t="s">
        <v>1615</v>
      </c>
      <c r="B1578" s="20">
        <f ca="1">INDIRECT(ADDRESS(MATCH(A1578,Raw!$A:$A,0),2,1,1,"Raw"))</f>
        <v>0</v>
      </c>
      <c r="C1578" s="20">
        <f>INDEX(Raw!$C:$C,MATCH(A1578,Raw!$A:$A,0))</f>
        <v>0</v>
      </c>
      <c r="D1578" s="21"/>
    </row>
    <row r="1579" spans="1:4" ht="11.25" customHeight="1" x14ac:dyDescent="0.25">
      <c r="A1579" s="22" t="s">
        <v>1616</v>
      </c>
      <c r="B1579" s="20">
        <f ca="1">INDIRECT(ADDRESS(MATCH(A1579,Raw!$A:$A,0),2,1,1,"Raw"))</f>
        <v>0</v>
      </c>
      <c r="C1579" s="20">
        <f>INDEX(Raw!$C:$C,MATCH(A1579,Raw!$A:$A,0))</f>
        <v>0</v>
      </c>
      <c r="D1579" s="21"/>
    </row>
    <row r="1580" spans="1:4" ht="11.25" customHeight="1" x14ac:dyDescent="0.25">
      <c r="A1580" s="22" t="s">
        <v>1617</v>
      </c>
      <c r="B1580" s="20">
        <f ca="1">INDIRECT(ADDRESS(MATCH(A1580,Raw!$A:$A,0),2,1,1,"Raw"))</f>
        <v>0</v>
      </c>
      <c r="C1580" s="20">
        <f>INDEX(Raw!$C:$C,MATCH(A1580,Raw!$A:$A,0))</f>
        <v>0</v>
      </c>
      <c r="D1580" s="21"/>
    </row>
    <row r="1581" spans="1:4" ht="11.25" customHeight="1" x14ac:dyDescent="0.25">
      <c r="A1581" s="22" t="s">
        <v>1618</v>
      </c>
      <c r="B1581" s="20">
        <f ca="1">INDIRECT(ADDRESS(MATCH(A1581,Raw!$A:$A,0),2,1,1,"Raw"))</f>
        <v>0</v>
      </c>
      <c r="C1581" s="20">
        <f>INDEX(Raw!$C:$C,MATCH(A1581,Raw!$A:$A,0))</f>
        <v>0</v>
      </c>
      <c r="D1581" s="21"/>
    </row>
    <row r="1582" spans="1:4" ht="11.25" customHeight="1" x14ac:dyDescent="0.25">
      <c r="A1582" s="22" t="s">
        <v>1619</v>
      </c>
      <c r="B1582" s="20">
        <f ca="1">INDIRECT(ADDRESS(MATCH(A1582,Raw!$A:$A,0),2,1,1,"Raw"))</f>
        <v>0</v>
      </c>
      <c r="C1582" s="20">
        <f>INDEX(Raw!$C:$C,MATCH(A1582,Raw!$A:$A,0))</f>
        <v>0</v>
      </c>
      <c r="D1582" s="21"/>
    </row>
    <row r="1583" spans="1:4" ht="11.25" customHeight="1" x14ac:dyDescent="0.25">
      <c r="A1583" s="22" t="s">
        <v>1620</v>
      </c>
      <c r="B1583" s="20">
        <f ca="1">INDIRECT(ADDRESS(MATCH(A1583,Raw!$A:$A,0),2,1,1,"Raw"))</f>
        <v>0</v>
      </c>
      <c r="C1583" s="20">
        <f>INDEX(Raw!$C:$C,MATCH(A1583,Raw!$A:$A,0))</f>
        <v>0</v>
      </c>
      <c r="D1583" s="21"/>
    </row>
    <row r="1584" spans="1:4" ht="11.25" customHeight="1" x14ac:dyDescent="0.25">
      <c r="A1584" s="22" t="s">
        <v>1621</v>
      </c>
      <c r="B1584" s="20">
        <f ca="1">INDIRECT(ADDRESS(MATCH(A1584,Raw!$A:$A,0),2,1,1,"Raw"))</f>
        <v>0</v>
      </c>
      <c r="C1584" s="20">
        <f>INDEX(Raw!$C:$C,MATCH(A1584,Raw!$A:$A,0))</f>
        <v>0</v>
      </c>
      <c r="D1584" s="21"/>
    </row>
    <row r="1585" spans="1:4" ht="11.25" customHeight="1" x14ac:dyDescent="0.25">
      <c r="A1585" s="22" t="s">
        <v>1622</v>
      </c>
      <c r="B1585" s="20">
        <f ca="1">INDIRECT(ADDRESS(MATCH(A1585,Raw!$A:$A,0),2,1,1,"Raw"))</f>
        <v>0</v>
      </c>
      <c r="C1585" s="20">
        <f>INDEX(Raw!$C:$C,MATCH(A1585,Raw!$A:$A,0))</f>
        <v>0</v>
      </c>
      <c r="D1585" s="21"/>
    </row>
    <row r="1586" spans="1:4" ht="11.25" customHeight="1" x14ac:dyDescent="0.25">
      <c r="A1586" s="22" t="s">
        <v>1623</v>
      </c>
      <c r="B1586" s="20">
        <f ca="1">INDIRECT(ADDRESS(MATCH(A1586,Raw!$A:$A,0),2,1,1,"Raw"))</f>
        <v>0</v>
      </c>
      <c r="C1586" s="20">
        <f>INDEX(Raw!$C:$C,MATCH(A1586,Raw!$A:$A,0))</f>
        <v>0</v>
      </c>
      <c r="D1586" s="21"/>
    </row>
    <row r="1587" spans="1:4" ht="11.25" customHeight="1" x14ac:dyDescent="0.25">
      <c r="A1587" s="22" t="s">
        <v>1624</v>
      </c>
      <c r="B1587" s="20">
        <f ca="1">INDIRECT(ADDRESS(MATCH(A1587,Raw!$A:$A,0),2,1,1,"Raw"))</f>
        <v>0</v>
      </c>
      <c r="C1587" s="20">
        <f>INDEX(Raw!$C:$C,MATCH(A1587,Raw!$A:$A,0))</f>
        <v>0</v>
      </c>
      <c r="D1587" s="21"/>
    </row>
    <row r="1588" spans="1:4" ht="11.25" customHeight="1" x14ac:dyDescent="0.25">
      <c r="A1588" s="22" t="s">
        <v>1625</v>
      </c>
      <c r="B1588" s="20">
        <f ca="1">INDIRECT(ADDRESS(MATCH(A1588,Raw!$A:$A,0),2,1,1,"Raw"))</f>
        <v>0</v>
      </c>
      <c r="C1588" s="20">
        <f>INDEX(Raw!$C:$C,MATCH(A1588,Raw!$A:$A,0))</f>
        <v>0</v>
      </c>
      <c r="D1588" s="21"/>
    </row>
    <row r="1589" spans="1:4" ht="11.25" customHeight="1" x14ac:dyDescent="0.25">
      <c r="A1589" s="22" t="s">
        <v>1626</v>
      </c>
      <c r="B1589" s="20">
        <f ca="1">INDIRECT(ADDRESS(MATCH(A1589,Raw!$A:$A,0),2,1,1,"Raw"))</f>
        <v>0</v>
      </c>
      <c r="C1589" s="20">
        <f>INDEX(Raw!$C:$C,MATCH(A1589,Raw!$A:$A,0))</f>
        <v>0</v>
      </c>
      <c r="D1589" s="21"/>
    </row>
    <row r="1590" spans="1:4" ht="11.25" customHeight="1" x14ac:dyDescent="0.25">
      <c r="A1590" s="22" t="s">
        <v>1627</v>
      </c>
      <c r="B1590" s="20">
        <f ca="1">INDIRECT(ADDRESS(MATCH(A1590,Raw!$A:$A,0),2,1,1,"Raw"))</f>
        <v>0</v>
      </c>
      <c r="C1590" s="20">
        <f>INDEX(Raw!$C:$C,MATCH(A1590,Raw!$A:$A,0))</f>
        <v>0</v>
      </c>
      <c r="D1590" s="21"/>
    </row>
    <row r="1591" spans="1:4" ht="11.25" customHeight="1" x14ac:dyDescent="0.25">
      <c r="A1591" s="22" t="s">
        <v>1628</v>
      </c>
      <c r="B1591" s="20">
        <f ca="1">INDIRECT(ADDRESS(MATCH(A1591,Raw!$A:$A,0),2,1,1,"Raw"))</f>
        <v>0</v>
      </c>
      <c r="C1591" s="20">
        <f>INDEX(Raw!$C:$C,MATCH(A1591,Raw!$A:$A,0))</f>
        <v>0</v>
      </c>
      <c r="D1591" s="21"/>
    </row>
    <row r="1592" spans="1:4" ht="11.25" customHeight="1" x14ac:dyDescent="0.25">
      <c r="A1592" s="22" t="s">
        <v>1629</v>
      </c>
      <c r="B1592" s="20">
        <f ca="1">INDIRECT(ADDRESS(MATCH(A1592,Raw!$A:$A,0),2,1,1,"Raw"))</f>
        <v>0</v>
      </c>
      <c r="C1592" s="20">
        <f>INDEX(Raw!$C:$C,MATCH(A1592,Raw!$A:$A,0))</f>
        <v>0</v>
      </c>
      <c r="D1592" s="21"/>
    </row>
    <row r="1593" spans="1:4" ht="11.25" customHeight="1" x14ac:dyDescent="0.25">
      <c r="A1593" s="22" t="s">
        <v>1630</v>
      </c>
      <c r="B1593" s="20">
        <f ca="1">INDIRECT(ADDRESS(MATCH(A1593,Raw!$A:$A,0),2,1,1,"Raw"))</f>
        <v>0</v>
      </c>
      <c r="C1593" s="20">
        <f>INDEX(Raw!$C:$C,MATCH(A1593,Raw!$A:$A,0))</f>
        <v>0</v>
      </c>
      <c r="D1593" s="21"/>
    </row>
    <row r="1594" spans="1:4" ht="11.25" customHeight="1" x14ac:dyDescent="0.25">
      <c r="A1594" s="22" t="s">
        <v>1631</v>
      </c>
      <c r="B1594" s="20">
        <f ca="1">INDIRECT(ADDRESS(MATCH(A1594,Raw!$A:$A,0),2,1,1,"Raw"))</f>
        <v>0</v>
      </c>
      <c r="C1594" s="20">
        <f>INDEX(Raw!$C:$C,MATCH(A1594,Raw!$A:$A,0))</f>
        <v>0</v>
      </c>
      <c r="D1594" s="21"/>
    </row>
    <row r="1595" spans="1:4" ht="11.25" customHeight="1" x14ac:dyDescent="0.25">
      <c r="A1595" s="22" t="s">
        <v>1632</v>
      </c>
      <c r="B1595" s="20">
        <f ca="1">INDIRECT(ADDRESS(MATCH(A1595,Raw!$A:$A,0),2,1,1,"Raw"))</f>
        <v>0</v>
      </c>
      <c r="C1595" s="20">
        <f>INDEX(Raw!$C:$C,MATCH(A1595,Raw!$A:$A,0))</f>
        <v>0</v>
      </c>
      <c r="D1595" s="21"/>
    </row>
    <row r="1596" spans="1:4" ht="11.25" customHeight="1" x14ac:dyDescent="0.25">
      <c r="A1596" s="22" t="s">
        <v>1633</v>
      </c>
      <c r="B1596" s="20">
        <f ca="1">INDIRECT(ADDRESS(MATCH(A1596,Raw!$A:$A,0),2,1,1,"Raw"))</f>
        <v>0</v>
      </c>
      <c r="C1596" s="20">
        <f>INDEX(Raw!$C:$C,MATCH(A1596,Raw!$A:$A,0))</f>
        <v>0</v>
      </c>
      <c r="D1596" s="21"/>
    </row>
    <row r="1597" spans="1:4" ht="11.25" customHeight="1" x14ac:dyDescent="0.25">
      <c r="A1597" s="22" t="s">
        <v>1634</v>
      </c>
      <c r="B1597" s="20">
        <f ca="1">INDIRECT(ADDRESS(MATCH(A1597,Raw!$A:$A,0),2,1,1,"Raw"))</f>
        <v>0</v>
      </c>
      <c r="C1597" s="20">
        <f>INDEX(Raw!$C:$C,MATCH(A1597,Raw!$A:$A,0))</f>
        <v>0</v>
      </c>
      <c r="D1597" s="21"/>
    </row>
    <row r="1598" spans="1:4" ht="11.25" customHeight="1" x14ac:dyDescent="0.25">
      <c r="A1598" s="22" t="s">
        <v>1635</v>
      </c>
      <c r="B1598" s="20">
        <f ca="1">INDIRECT(ADDRESS(MATCH(A1598,Raw!$A:$A,0),2,1,1,"Raw"))</f>
        <v>0</v>
      </c>
      <c r="C1598" s="20">
        <f>INDEX(Raw!$C:$C,MATCH(A1598,Raw!$A:$A,0))</f>
        <v>0</v>
      </c>
      <c r="D1598" s="21"/>
    </row>
    <row r="1599" spans="1:4" ht="11.25" customHeight="1" x14ac:dyDescent="0.25">
      <c r="A1599" s="22" t="s">
        <v>1636</v>
      </c>
      <c r="B1599" s="20">
        <f ca="1">INDIRECT(ADDRESS(MATCH(A1599,Raw!$A:$A,0),2,1,1,"Raw"))</f>
        <v>0</v>
      </c>
      <c r="C1599" s="20">
        <f>INDEX(Raw!$C:$C,MATCH(A1599,Raw!$A:$A,0))</f>
        <v>0</v>
      </c>
      <c r="D1599" s="21"/>
    </row>
    <row r="1600" spans="1:4" ht="11.25" customHeight="1" x14ac:dyDescent="0.25">
      <c r="A1600" s="22" t="s">
        <v>1637</v>
      </c>
      <c r="B1600" s="20">
        <f ca="1">INDIRECT(ADDRESS(MATCH(A1600,Raw!$A:$A,0),2,1,1,"Raw"))</f>
        <v>0</v>
      </c>
      <c r="C1600" s="20">
        <f>INDEX(Raw!$C:$C,MATCH(A1600,Raw!$A:$A,0))</f>
        <v>0</v>
      </c>
      <c r="D1600" s="21"/>
    </row>
    <row r="1601" spans="1:4" ht="11.25" customHeight="1" x14ac:dyDescent="0.25">
      <c r="A1601" s="22" t="s">
        <v>1638</v>
      </c>
      <c r="B1601" s="20">
        <f ca="1">INDIRECT(ADDRESS(MATCH(A1601,Raw!$A:$A,0),2,1,1,"Raw"))</f>
        <v>0</v>
      </c>
      <c r="C1601" s="20">
        <f>INDEX(Raw!$C:$C,MATCH(A1601,Raw!$A:$A,0))</f>
        <v>0</v>
      </c>
      <c r="D1601" s="21"/>
    </row>
    <row r="1602" spans="1:4" ht="11.25" customHeight="1" x14ac:dyDescent="0.25">
      <c r="A1602" s="22" t="s">
        <v>1639</v>
      </c>
      <c r="B1602" s="20">
        <f ca="1">INDIRECT(ADDRESS(MATCH(A1602,Raw!$A:$A,0),2,1,1,"Raw"))</f>
        <v>0</v>
      </c>
      <c r="C1602" s="20">
        <f>INDEX(Raw!$C:$C,MATCH(A1602,Raw!$A:$A,0))</f>
        <v>0</v>
      </c>
      <c r="D1602" s="21"/>
    </row>
    <row r="1603" spans="1:4" ht="11.25" customHeight="1" x14ac:dyDescent="0.25">
      <c r="A1603" s="22" t="s">
        <v>1640</v>
      </c>
      <c r="B1603" s="20">
        <f ca="1">INDIRECT(ADDRESS(MATCH(A1603,Raw!$A:$A,0),2,1,1,"Raw"))</f>
        <v>0</v>
      </c>
      <c r="C1603" s="20">
        <f>INDEX(Raw!$C:$C,MATCH(A1603,Raw!$A:$A,0))</f>
        <v>0</v>
      </c>
      <c r="D1603" s="21"/>
    </row>
    <row r="1604" spans="1:4" ht="11.25" customHeight="1" x14ac:dyDescent="0.25">
      <c r="A1604" s="22" t="s">
        <v>1641</v>
      </c>
      <c r="B1604" s="20">
        <f ca="1">INDIRECT(ADDRESS(MATCH(A1604,Raw!$A:$A,0),2,1,1,"Raw"))</f>
        <v>0</v>
      </c>
      <c r="C1604" s="20">
        <f>INDEX(Raw!$C:$C,MATCH(A1604,Raw!$A:$A,0))</f>
        <v>0</v>
      </c>
      <c r="D1604" s="21"/>
    </row>
    <row r="1605" spans="1:4" ht="11.25" customHeight="1" x14ac:dyDescent="0.25">
      <c r="A1605" s="22" t="s">
        <v>1642</v>
      </c>
      <c r="B1605" s="20">
        <f ca="1">INDIRECT(ADDRESS(MATCH(A1605,Raw!$A:$A,0),2,1,1,"Raw"))</f>
        <v>0</v>
      </c>
      <c r="C1605" s="20">
        <f>INDEX(Raw!$C:$C,MATCH(A1605,Raw!$A:$A,0))</f>
        <v>0</v>
      </c>
      <c r="D1605" s="21"/>
    </row>
    <row r="1606" spans="1:4" ht="11.25" customHeight="1" x14ac:dyDescent="0.25">
      <c r="A1606" s="22" t="s">
        <v>1643</v>
      </c>
      <c r="B1606" s="20">
        <f ca="1">INDIRECT(ADDRESS(MATCH(A1606,Raw!$A:$A,0),2,1,1,"Raw"))</f>
        <v>0</v>
      </c>
      <c r="C1606" s="20">
        <f>INDEX(Raw!$C:$C,MATCH(A1606,Raw!$A:$A,0))</f>
        <v>0</v>
      </c>
      <c r="D1606" s="21"/>
    </row>
    <row r="1607" spans="1:4" ht="11.25" customHeight="1" x14ac:dyDescent="0.25">
      <c r="A1607" s="22" t="s">
        <v>1644</v>
      </c>
      <c r="B1607" s="20">
        <f ca="1">INDIRECT(ADDRESS(MATCH(A1607,Raw!$A:$A,0),2,1,1,"Raw"))</f>
        <v>0</v>
      </c>
      <c r="C1607" s="20">
        <f>INDEX(Raw!$C:$C,MATCH(A1607,Raw!$A:$A,0))</f>
        <v>0</v>
      </c>
      <c r="D1607" s="21"/>
    </row>
    <row r="1608" spans="1:4" ht="11.25" customHeight="1" x14ac:dyDescent="0.25">
      <c r="A1608" s="22" t="s">
        <v>1645</v>
      </c>
      <c r="B1608" s="20">
        <f ca="1">INDIRECT(ADDRESS(MATCH(A1608,Raw!$A:$A,0),2,1,1,"Raw"))</f>
        <v>0</v>
      </c>
      <c r="C1608" s="20">
        <f>INDEX(Raw!$C:$C,MATCH(A1608,Raw!$A:$A,0))</f>
        <v>0</v>
      </c>
      <c r="D1608" s="21"/>
    </row>
    <row r="1609" spans="1:4" ht="11.25" customHeight="1" x14ac:dyDescent="0.25">
      <c r="A1609" s="22" t="s">
        <v>1646</v>
      </c>
      <c r="B1609" s="20">
        <f ca="1">INDIRECT(ADDRESS(MATCH(A1609,Raw!$A:$A,0),2,1,1,"Raw"))</f>
        <v>0</v>
      </c>
      <c r="C1609" s="20">
        <f>INDEX(Raw!$C:$C,MATCH(A1609,Raw!$A:$A,0))</f>
        <v>0</v>
      </c>
      <c r="D1609" s="21"/>
    </row>
    <row r="1610" spans="1:4" ht="11.25" customHeight="1" x14ac:dyDescent="0.25">
      <c r="A1610" s="22" t="s">
        <v>1647</v>
      </c>
      <c r="B1610" s="20">
        <f ca="1">INDIRECT(ADDRESS(MATCH(A1610,Raw!$A:$A,0),2,1,1,"Raw"))</f>
        <v>0</v>
      </c>
      <c r="C1610" s="20">
        <f>INDEX(Raw!$C:$C,MATCH(A1610,Raw!$A:$A,0))</f>
        <v>0</v>
      </c>
      <c r="D1610" s="21"/>
    </row>
    <row r="1611" spans="1:4" ht="11.25" customHeight="1" x14ac:dyDescent="0.25">
      <c r="A1611" s="22" t="s">
        <v>1648</v>
      </c>
      <c r="B1611" s="20">
        <f ca="1">INDIRECT(ADDRESS(MATCH(A1611,Raw!$A:$A,0),2,1,1,"Raw"))</f>
        <v>0</v>
      </c>
      <c r="C1611" s="20">
        <f>INDEX(Raw!$C:$C,MATCH(A1611,Raw!$A:$A,0))</f>
        <v>0</v>
      </c>
      <c r="D1611" s="21"/>
    </row>
    <row r="1612" spans="1:4" ht="11.25" customHeight="1" x14ac:dyDescent="0.25">
      <c r="A1612" s="22" t="s">
        <v>1649</v>
      </c>
      <c r="B1612" s="20">
        <f ca="1">INDIRECT(ADDRESS(MATCH(A1612,Raw!$A:$A,0),2,1,1,"Raw"))</f>
        <v>0</v>
      </c>
      <c r="C1612" s="20">
        <f>INDEX(Raw!$C:$C,MATCH(A1612,Raw!$A:$A,0))</f>
        <v>0</v>
      </c>
      <c r="D1612" s="21"/>
    </row>
    <row r="1613" spans="1:4" ht="11.25" customHeight="1" x14ac:dyDescent="0.25">
      <c r="A1613" s="22" t="s">
        <v>1650</v>
      </c>
      <c r="B1613" s="20">
        <f ca="1">INDIRECT(ADDRESS(MATCH(A1613,Raw!$A:$A,0),2,1,1,"Raw"))</f>
        <v>0</v>
      </c>
      <c r="C1613" s="20">
        <f>INDEX(Raw!$C:$C,MATCH(A1613,Raw!$A:$A,0))</f>
        <v>0</v>
      </c>
      <c r="D1613" s="21"/>
    </row>
    <row r="1614" spans="1:4" ht="11.25" customHeight="1" x14ac:dyDescent="0.25">
      <c r="A1614" s="22" t="s">
        <v>1651</v>
      </c>
      <c r="B1614" s="20">
        <f ca="1">INDIRECT(ADDRESS(MATCH(A1614,Raw!$A:$A,0),2,1,1,"Raw"))</f>
        <v>0</v>
      </c>
      <c r="C1614" s="20">
        <f>INDEX(Raw!$C:$C,MATCH(A1614,Raw!$A:$A,0))</f>
        <v>0</v>
      </c>
      <c r="D1614" s="21"/>
    </row>
    <row r="1615" spans="1:4" ht="11.25" customHeight="1" x14ac:dyDescent="0.25">
      <c r="A1615" s="22" t="s">
        <v>1652</v>
      </c>
      <c r="B1615" s="20">
        <f ca="1">INDIRECT(ADDRESS(MATCH(A1615,Raw!$A:$A,0),2,1,1,"Raw"))</f>
        <v>0</v>
      </c>
      <c r="C1615" s="20">
        <f>INDEX(Raw!$C:$C,MATCH(A1615,Raw!$A:$A,0))</f>
        <v>0</v>
      </c>
      <c r="D1615" s="21"/>
    </row>
    <row r="1616" spans="1:4" ht="11.25" customHeight="1" x14ac:dyDescent="0.25">
      <c r="A1616" s="22" t="s">
        <v>1653</v>
      </c>
      <c r="B1616" s="20">
        <f ca="1">INDIRECT(ADDRESS(MATCH(A1616,Raw!$A:$A,0),2,1,1,"Raw"))</f>
        <v>0</v>
      </c>
      <c r="C1616" s="20">
        <f>INDEX(Raw!$C:$C,MATCH(A1616,Raw!$A:$A,0))</f>
        <v>0</v>
      </c>
      <c r="D1616" s="21"/>
    </row>
    <row r="1617" spans="1:4" ht="11.25" customHeight="1" x14ac:dyDescent="0.25">
      <c r="A1617" s="22" t="s">
        <v>1654</v>
      </c>
      <c r="B1617" s="20">
        <f ca="1">INDIRECT(ADDRESS(MATCH(A1617,Raw!$A:$A,0),2,1,1,"Raw"))</f>
        <v>0</v>
      </c>
      <c r="C1617" s="20">
        <f>INDEX(Raw!$C:$C,MATCH(A1617,Raw!$A:$A,0))</f>
        <v>0</v>
      </c>
      <c r="D1617" s="21"/>
    </row>
    <row r="1618" spans="1:4" ht="11.25" customHeight="1" x14ac:dyDescent="0.25">
      <c r="A1618" s="22" t="s">
        <v>1655</v>
      </c>
      <c r="B1618" s="20">
        <f ca="1">INDIRECT(ADDRESS(MATCH(A1618,Raw!$A:$A,0),2,1,1,"Raw"))</f>
        <v>0</v>
      </c>
      <c r="C1618" s="20">
        <f>INDEX(Raw!$C:$C,MATCH(A1618,Raw!$A:$A,0))</f>
        <v>0</v>
      </c>
      <c r="D1618" s="21"/>
    </row>
    <row r="1619" spans="1:4" ht="11.25" customHeight="1" x14ac:dyDescent="0.25">
      <c r="A1619" s="22" t="s">
        <v>1656</v>
      </c>
      <c r="B1619" s="20">
        <f ca="1">INDIRECT(ADDRESS(MATCH(A1619,Raw!$A:$A,0),2,1,1,"Raw"))</f>
        <v>0</v>
      </c>
      <c r="C1619" s="20">
        <f>INDEX(Raw!$C:$C,MATCH(A1619,Raw!$A:$A,0))</f>
        <v>0</v>
      </c>
      <c r="D1619" s="21"/>
    </row>
    <row r="1620" spans="1:4" ht="11.25" customHeight="1" x14ac:dyDescent="0.25">
      <c r="A1620" s="22" t="s">
        <v>1657</v>
      </c>
      <c r="B1620" s="20">
        <f ca="1">INDIRECT(ADDRESS(MATCH(A1620,Raw!$A:$A,0),2,1,1,"Raw"))</f>
        <v>0</v>
      </c>
      <c r="C1620" s="20">
        <f>INDEX(Raw!$C:$C,MATCH(A1620,Raw!$A:$A,0))</f>
        <v>0</v>
      </c>
      <c r="D1620" s="21"/>
    </row>
    <row r="1621" spans="1:4" ht="11.25" customHeight="1" x14ac:dyDescent="0.25">
      <c r="A1621" s="22" t="s">
        <v>1658</v>
      </c>
      <c r="B1621" s="20">
        <f ca="1">INDIRECT(ADDRESS(MATCH(A1621,Raw!$A:$A,0),2,1,1,"Raw"))</f>
        <v>0</v>
      </c>
      <c r="C1621" s="20">
        <f>INDEX(Raw!$C:$C,MATCH(A1621,Raw!$A:$A,0))</f>
        <v>0</v>
      </c>
      <c r="D1621" s="21"/>
    </row>
    <row r="1622" spans="1:4" ht="11.25" customHeight="1" x14ac:dyDescent="0.25">
      <c r="A1622" s="22" t="s">
        <v>1659</v>
      </c>
      <c r="B1622" s="20">
        <f ca="1">INDIRECT(ADDRESS(MATCH(A1622,Raw!$A:$A,0),2,1,1,"Raw"))</f>
        <v>0</v>
      </c>
      <c r="C1622" s="20">
        <f>INDEX(Raw!$C:$C,MATCH(A1622,Raw!$A:$A,0))</f>
        <v>0</v>
      </c>
      <c r="D1622" s="21"/>
    </row>
    <row r="1623" spans="1:4" ht="11.25" customHeight="1" x14ac:dyDescent="0.25">
      <c r="A1623" s="22" t="s">
        <v>1660</v>
      </c>
      <c r="B1623" s="20">
        <f ca="1">INDIRECT(ADDRESS(MATCH(A1623,Raw!$A:$A,0),2,1,1,"Raw"))</f>
        <v>0</v>
      </c>
      <c r="C1623" s="20">
        <f>INDEX(Raw!$C:$C,MATCH(A1623,Raw!$A:$A,0))</f>
        <v>0</v>
      </c>
      <c r="D1623" s="21"/>
    </row>
    <row r="1624" spans="1:4" ht="11.25" customHeight="1" x14ac:dyDescent="0.25">
      <c r="A1624" s="22" t="s">
        <v>1661</v>
      </c>
      <c r="B1624" s="20">
        <f ca="1">INDIRECT(ADDRESS(MATCH(A1624,Raw!$A:$A,0),2,1,1,"Raw"))</f>
        <v>0</v>
      </c>
      <c r="C1624" s="20">
        <f>INDEX(Raw!$C:$C,MATCH(A1624,Raw!$A:$A,0))</f>
        <v>0</v>
      </c>
      <c r="D1624" s="21"/>
    </row>
    <row r="1625" spans="1:4" ht="11.25" customHeight="1" x14ac:dyDescent="0.25">
      <c r="A1625" s="22" t="s">
        <v>1662</v>
      </c>
      <c r="B1625" s="20">
        <f ca="1">INDIRECT(ADDRESS(MATCH(A1625,Raw!$A:$A,0),2,1,1,"Raw"))</f>
        <v>0</v>
      </c>
      <c r="C1625" s="20">
        <f>INDEX(Raw!$C:$C,MATCH(A1625,Raw!$A:$A,0))</f>
        <v>0</v>
      </c>
      <c r="D1625" s="21"/>
    </row>
    <row r="1626" spans="1:4" ht="11.25" customHeight="1" x14ac:dyDescent="0.25">
      <c r="A1626" s="22" t="s">
        <v>1663</v>
      </c>
      <c r="B1626" s="20">
        <f ca="1">INDIRECT(ADDRESS(MATCH(A1626,Raw!$A:$A,0),2,1,1,"Raw"))</f>
        <v>0</v>
      </c>
      <c r="C1626" s="20">
        <f>INDEX(Raw!$C:$C,MATCH(A1626,Raw!$A:$A,0))</f>
        <v>0</v>
      </c>
      <c r="D1626" s="21"/>
    </row>
    <row r="1627" spans="1:4" ht="11.25" customHeight="1" x14ac:dyDescent="0.25">
      <c r="A1627" s="22" t="s">
        <v>1664</v>
      </c>
      <c r="B1627" s="20">
        <f ca="1">INDIRECT(ADDRESS(MATCH(A1627,Raw!$A:$A,0),2,1,1,"Raw"))</f>
        <v>0</v>
      </c>
      <c r="C1627" s="20">
        <f>INDEX(Raw!$C:$C,MATCH(A1627,Raw!$A:$A,0))</f>
        <v>0</v>
      </c>
      <c r="D1627" s="21"/>
    </row>
    <row r="1628" spans="1:4" ht="11.25" customHeight="1" x14ac:dyDescent="0.25">
      <c r="A1628" s="22" t="s">
        <v>1665</v>
      </c>
      <c r="B1628" s="20">
        <f ca="1">INDIRECT(ADDRESS(MATCH(A1628,Raw!$A:$A,0),2,1,1,"Raw"))</f>
        <v>0</v>
      </c>
      <c r="C1628" s="20">
        <f>INDEX(Raw!$C:$C,MATCH(A1628,Raw!$A:$A,0))</f>
        <v>0</v>
      </c>
      <c r="D1628" s="21"/>
    </row>
    <row r="1629" spans="1:4" ht="11.25" customHeight="1" x14ac:dyDescent="0.25">
      <c r="A1629" s="22" t="s">
        <v>1666</v>
      </c>
      <c r="B1629" s="20">
        <f ca="1">INDIRECT(ADDRESS(MATCH(A1629,Raw!$A:$A,0),2,1,1,"Raw"))</f>
        <v>0</v>
      </c>
      <c r="C1629" s="20">
        <f>INDEX(Raw!$C:$C,MATCH(A1629,Raw!$A:$A,0))</f>
        <v>0</v>
      </c>
      <c r="D1629" s="21"/>
    </row>
    <row r="1630" spans="1:4" ht="11.25" customHeight="1" x14ac:dyDescent="0.25">
      <c r="A1630" s="22" t="s">
        <v>1667</v>
      </c>
      <c r="B1630" s="20">
        <f ca="1">INDIRECT(ADDRESS(MATCH(A1630,Raw!$A:$A,0),2,1,1,"Raw"))</f>
        <v>0</v>
      </c>
      <c r="C1630" s="20">
        <f>INDEX(Raw!$C:$C,MATCH(A1630,Raw!$A:$A,0))</f>
        <v>0</v>
      </c>
      <c r="D1630" s="21"/>
    </row>
    <row r="1631" spans="1:4" ht="11.25" customHeight="1" x14ac:dyDescent="0.25">
      <c r="A1631" s="22" t="s">
        <v>1668</v>
      </c>
      <c r="B1631" s="20">
        <f ca="1">INDIRECT(ADDRESS(MATCH(A1631,Raw!$A:$A,0),2,1,1,"Raw"))</f>
        <v>0</v>
      </c>
      <c r="C1631" s="20">
        <f>INDEX(Raw!$C:$C,MATCH(A1631,Raw!$A:$A,0))</f>
        <v>0</v>
      </c>
      <c r="D1631" s="21"/>
    </row>
    <row r="1632" spans="1:4" ht="11.25" customHeight="1" x14ac:dyDescent="0.25">
      <c r="A1632" s="22" t="s">
        <v>1669</v>
      </c>
      <c r="B1632" s="20">
        <f ca="1">INDIRECT(ADDRESS(MATCH(A1632,Raw!$A:$A,0),2,1,1,"Raw"))</f>
        <v>0</v>
      </c>
      <c r="C1632" s="20">
        <f>INDEX(Raw!$C:$C,MATCH(A1632,Raw!$A:$A,0))</f>
        <v>0</v>
      </c>
      <c r="D1632" s="21"/>
    </row>
    <row r="1633" spans="1:4" ht="11.25" customHeight="1" x14ac:dyDescent="0.25">
      <c r="A1633" s="22" t="s">
        <v>1670</v>
      </c>
      <c r="B1633" s="20">
        <f ca="1">INDIRECT(ADDRESS(MATCH(A1633,Raw!$A:$A,0),2,1,1,"Raw"))</f>
        <v>0</v>
      </c>
      <c r="C1633" s="20">
        <f>INDEX(Raw!$C:$C,MATCH(A1633,Raw!$A:$A,0))</f>
        <v>0</v>
      </c>
      <c r="D1633" s="21"/>
    </row>
    <row r="1634" spans="1:4" ht="11.25" customHeight="1" x14ac:dyDescent="0.25">
      <c r="A1634" s="22" t="s">
        <v>1671</v>
      </c>
      <c r="B1634" s="20">
        <f ca="1">INDIRECT(ADDRESS(MATCH(A1634,Raw!$A:$A,0),2,1,1,"Raw"))</f>
        <v>0</v>
      </c>
      <c r="C1634" s="20">
        <f>INDEX(Raw!$C:$C,MATCH(A1634,Raw!$A:$A,0))</f>
        <v>0</v>
      </c>
      <c r="D1634" s="21"/>
    </row>
    <row r="1635" spans="1:4" ht="11.25" customHeight="1" x14ac:dyDescent="0.25">
      <c r="A1635" s="22" t="s">
        <v>1672</v>
      </c>
      <c r="B1635" s="20">
        <f ca="1">INDIRECT(ADDRESS(MATCH(A1635,Raw!$A:$A,0),2,1,1,"Raw"))</f>
        <v>0</v>
      </c>
      <c r="C1635" s="20">
        <f>INDEX(Raw!$C:$C,MATCH(A1635,Raw!$A:$A,0))</f>
        <v>0</v>
      </c>
      <c r="D1635" s="21"/>
    </row>
    <row r="1636" spans="1:4" ht="11.25" customHeight="1" x14ac:dyDescent="0.25">
      <c r="A1636" s="22" t="s">
        <v>1673</v>
      </c>
      <c r="B1636" s="20">
        <f ca="1">INDIRECT(ADDRESS(MATCH(A1636,Raw!$A:$A,0),2,1,1,"Raw"))</f>
        <v>0</v>
      </c>
      <c r="C1636" s="20">
        <f>INDEX(Raw!$C:$C,MATCH(A1636,Raw!$A:$A,0))</f>
        <v>0</v>
      </c>
      <c r="D1636" s="21"/>
    </row>
    <row r="1637" spans="1:4" ht="11.25" customHeight="1" x14ac:dyDescent="0.25">
      <c r="A1637" s="22" t="s">
        <v>1674</v>
      </c>
      <c r="B1637" s="20">
        <f ca="1">INDIRECT(ADDRESS(MATCH(A1637,Raw!$A:$A,0),2,1,1,"Raw"))</f>
        <v>0</v>
      </c>
      <c r="C1637" s="20">
        <f>INDEX(Raw!$C:$C,MATCH(A1637,Raw!$A:$A,0))</f>
        <v>0</v>
      </c>
      <c r="D1637" s="21"/>
    </row>
    <row r="1638" spans="1:4" ht="11.25" customHeight="1" x14ac:dyDescent="0.25">
      <c r="A1638" s="22" t="s">
        <v>1675</v>
      </c>
      <c r="B1638" s="20">
        <f ca="1">INDIRECT(ADDRESS(MATCH(A1638,Raw!$A:$A,0),2,1,1,"Raw"))</f>
        <v>0</v>
      </c>
      <c r="C1638" s="20">
        <f>INDEX(Raw!$C:$C,MATCH(A1638,Raw!$A:$A,0))</f>
        <v>0</v>
      </c>
      <c r="D1638" s="21"/>
    </row>
    <row r="1639" spans="1:4" ht="11.25" customHeight="1" x14ac:dyDescent="0.25">
      <c r="A1639" s="22" t="s">
        <v>1676</v>
      </c>
      <c r="B1639" s="20">
        <f ca="1">INDIRECT(ADDRESS(MATCH(A1639,Raw!$A:$A,0),2,1,1,"Raw"))</f>
        <v>0</v>
      </c>
      <c r="C1639" s="20">
        <f>INDEX(Raw!$C:$C,MATCH(A1639,Raw!$A:$A,0))</f>
        <v>0</v>
      </c>
      <c r="D1639" s="21"/>
    </row>
    <row r="1640" spans="1:4" ht="11.25" customHeight="1" x14ac:dyDescent="0.25">
      <c r="A1640" s="22" t="s">
        <v>1677</v>
      </c>
      <c r="B1640" s="20">
        <f ca="1">INDIRECT(ADDRESS(MATCH(A1640,Raw!$A:$A,0),2,1,1,"Raw"))</f>
        <v>0</v>
      </c>
      <c r="C1640" s="20">
        <f>INDEX(Raw!$C:$C,MATCH(A1640,Raw!$A:$A,0))</f>
        <v>0</v>
      </c>
      <c r="D1640" s="21"/>
    </row>
    <row r="1641" spans="1:4" ht="11.25" customHeight="1" x14ac:dyDescent="0.25">
      <c r="A1641" s="22" t="s">
        <v>1678</v>
      </c>
      <c r="B1641" s="20">
        <f ca="1">INDIRECT(ADDRESS(MATCH(A1641,Raw!$A:$A,0),2,1,1,"Raw"))</f>
        <v>0</v>
      </c>
      <c r="C1641" s="20">
        <f>INDEX(Raw!$C:$C,MATCH(A1641,Raw!$A:$A,0))</f>
        <v>0</v>
      </c>
      <c r="D1641" s="21"/>
    </row>
    <row r="1642" spans="1:4" ht="11.25" customHeight="1" x14ac:dyDescent="0.25">
      <c r="A1642" s="22" t="s">
        <v>1679</v>
      </c>
      <c r="B1642" s="20">
        <f ca="1">INDIRECT(ADDRESS(MATCH(A1642,Raw!$A:$A,0),2,1,1,"Raw"))</f>
        <v>0</v>
      </c>
      <c r="C1642" s="20">
        <f>INDEX(Raw!$C:$C,MATCH(A1642,Raw!$A:$A,0))</f>
        <v>0</v>
      </c>
      <c r="D1642" s="21"/>
    </row>
    <row r="1643" spans="1:4" ht="11.25" customHeight="1" x14ac:dyDescent="0.25">
      <c r="A1643" s="22" t="s">
        <v>1680</v>
      </c>
      <c r="B1643" s="20">
        <f ca="1">INDIRECT(ADDRESS(MATCH(A1643,Raw!$A:$A,0),2,1,1,"Raw"))</f>
        <v>0</v>
      </c>
      <c r="C1643" s="20">
        <f>INDEX(Raw!$C:$C,MATCH(A1643,Raw!$A:$A,0))</f>
        <v>0</v>
      </c>
      <c r="D1643" s="21"/>
    </row>
    <row r="1644" spans="1:4" ht="11.25" customHeight="1" x14ac:dyDescent="0.25">
      <c r="A1644" s="22" t="s">
        <v>1681</v>
      </c>
      <c r="B1644" s="20">
        <f ca="1">INDIRECT(ADDRESS(MATCH(A1644,Raw!$A:$A,0),2,1,1,"Raw"))</f>
        <v>0</v>
      </c>
      <c r="C1644" s="20">
        <f>INDEX(Raw!$C:$C,MATCH(A1644,Raw!$A:$A,0))</f>
        <v>0</v>
      </c>
      <c r="D1644" s="21"/>
    </row>
    <row r="1645" spans="1:4" ht="11.25" customHeight="1" x14ac:dyDescent="0.25">
      <c r="A1645" s="22" t="s">
        <v>1682</v>
      </c>
      <c r="B1645" s="20">
        <f ca="1">INDIRECT(ADDRESS(MATCH(A1645,Raw!$A:$A,0),2,1,1,"Raw"))</f>
        <v>0</v>
      </c>
      <c r="C1645" s="20">
        <f>INDEX(Raw!$C:$C,MATCH(A1645,Raw!$A:$A,0))</f>
        <v>0</v>
      </c>
      <c r="D1645" s="21"/>
    </row>
    <row r="1646" spans="1:4" ht="11.25" customHeight="1" x14ac:dyDescent="0.25">
      <c r="A1646" s="22" t="s">
        <v>1683</v>
      </c>
      <c r="B1646" s="20">
        <f ca="1">INDIRECT(ADDRESS(MATCH(A1646,Raw!$A:$A,0),2,1,1,"Raw"))</f>
        <v>0</v>
      </c>
      <c r="C1646" s="20">
        <f>INDEX(Raw!$C:$C,MATCH(A1646,Raw!$A:$A,0))</f>
        <v>0</v>
      </c>
      <c r="D1646" s="21"/>
    </row>
    <row r="1647" spans="1:4" ht="11.25" customHeight="1" x14ac:dyDescent="0.25">
      <c r="A1647" s="22" t="s">
        <v>1684</v>
      </c>
      <c r="B1647" s="20">
        <f ca="1">INDIRECT(ADDRESS(MATCH(A1647,Raw!$A:$A,0),2,1,1,"Raw"))</f>
        <v>0</v>
      </c>
      <c r="C1647" s="20">
        <f>INDEX(Raw!$C:$C,MATCH(A1647,Raw!$A:$A,0))</f>
        <v>0</v>
      </c>
      <c r="D1647" s="21"/>
    </row>
    <row r="1648" spans="1:4" ht="11.25" customHeight="1" x14ac:dyDescent="0.25">
      <c r="A1648" s="22" t="s">
        <v>1685</v>
      </c>
      <c r="B1648" s="20">
        <f ca="1">INDIRECT(ADDRESS(MATCH(A1648,Raw!$A:$A,0),2,1,1,"Raw"))</f>
        <v>0</v>
      </c>
      <c r="C1648" s="20">
        <f>INDEX(Raw!$C:$C,MATCH(A1648,Raw!$A:$A,0))</f>
        <v>0</v>
      </c>
      <c r="D1648" s="21"/>
    </row>
    <row r="1649" spans="1:4" ht="11.25" customHeight="1" x14ac:dyDescent="0.25">
      <c r="A1649" s="22" t="s">
        <v>1686</v>
      </c>
      <c r="B1649" s="20">
        <f ca="1">INDIRECT(ADDRESS(MATCH(A1649,Raw!$A:$A,0),2,1,1,"Raw"))</f>
        <v>0</v>
      </c>
      <c r="C1649" s="20">
        <f>INDEX(Raw!$C:$C,MATCH(A1649,Raw!$A:$A,0))</f>
        <v>0</v>
      </c>
      <c r="D1649" s="21"/>
    </row>
    <row r="1650" spans="1:4" ht="11.25" customHeight="1" x14ac:dyDescent="0.25">
      <c r="A1650" s="22" t="s">
        <v>1687</v>
      </c>
      <c r="B1650" s="20">
        <f ca="1">INDIRECT(ADDRESS(MATCH(A1650,Raw!$A:$A,0),2,1,1,"Raw"))</f>
        <v>0</v>
      </c>
      <c r="C1650" s="20">
        <f>INDEX(Raw!$C:$C,MATCH(A1650,Raw!$A:$A,0))</f>
        <v>0</v>
      </c>
      <c r="D1650" s="21"/>
    </row>
    <row r="1651" spans="1:4" ht="11.25" customHeight="1" x14ac:dyDescent="0.25">
      <c r="A1651" s="22" t="s">
        <v>1688</v>
      </c>
      <c r="B1651" s="20">
        <f ca="1">INDIRECT(ADDRESS(MATCH(A1651,Raw!$A:$A,0),2,1,1,"Raw"))</f>
        <v>0</v>
      </c>
      <c r="C1651" s="20">
        <f>INDEX(Raw!$C:$C,MATCH(A1651,Raw!$A:$A,0))</f>
        <v>0</v>
      </c>
      <c r="D1651" s="21"/>
    </row>
    <row r="1652" spans="1:4" ht="11.25" customHeight="1" x14ac:dyDescent="0.25">
      <c r="A1652" s="22" t="s">
        <v>1689</v>
      </c>
      <c r="B1652" s="20">
        <f ca="1">INDIRECT(ADDRESS(MATCH(A1652,Raw!$A:$A,0),2,1,1,"Raw"))</f>
        <v>0</v>
      </c>
      <c r="C1652" s="20">
        <f>INDEX(Raw!$C:$C,MATCH(A1652,Raw!$A:$A,0))</f>
        <v>0</v>
      </c>
      <c r="D1652" s="21"/>
    </row>
    <row r="1653" spans="1:4" ht="11.25" customHeight="1" x14ac:dyDescent="0.25">
      <c r="A1653" s="22" t="s">
        <v>1690</v>
      </c>
      <c r="B1653" s="20">
        <f ca="1">INDIRECT(ADDRESS(MATCH(A1653,Raw!$A:$A,0),2,1,1,"Raw"))</f>
        <v>0</v>
      </c>
      <c r="C1653" s="20">
        <f>INDEX(Raw!$C:$C,MATCH(A1653,Raw!$A:$A,0))</f>
        <v>0</v>
      </c>
      <c r="D1653" s="21"/>
    </row>
    <row r="1654" spans="1:4" ht="11.25" customHeight="1" x14ac:dyDescent="0.25">
      <c r="A1654" s="22" t="s">
        <v>1691</v>
      </c>
      <c r="B1654" s="20">
        <f ca="1">INDIRECT(ADDRESS(MATCH(A1654,Raw!$A:$A,0),2,1,1,"Raw"))</f>
        <v>0</v>
      </c>
      <c r="C1654" s="20">
        <f>INDEX(Raw!$C:$C,MATCH(A1654,Raw!$A:$A,0))</f>
        <v>0</v>
      </c>
      <c r="D1654" s="21"/>
    </row>
    <row r="1655" spans="1:4" ht="11.25" customHeight="1" x14ac:dyDescent="0.25">
      <c r="A1655" s="22" t="s">
        <v>1692</v>
      </c>
      <c r="B1655" s="20">
        <f ca="1">INDIRECT(ADDRESS(MATCH(A1655,Raw!$A:$A,0),2,1,1,"Raw"))</f>
        <v>0</v>
      </c>
      <c r="C1655" s="20">
        <f>INDEX(Raw!$C:$C,MATCH(A1655,Raw!$A:$A,0))</f>
        <v>0</v>
      </c>
      <c r="D1655" s="21"/>
    </row>
    <row r="1656" spans="1:4" ht="11.25" customHeight="1" x14ac:dyDescent="0.25">
      <c r="A1656" s="22" t="s">
        <v>1693</v>
      </c>
      <c r="B1656" s="20">
        <f ca="1">INDIRECT(ADDRESS(MATCH(A1656,Raw!$A:$A,0),2,1,1,"Raw"))</f>
        <v>0</v>
      </c>
      <c r="C1656" s="20">
        <f>INDEX(Raw!$C:$C,MATCH(A1656,Raw!$A:$A,0))</f>
        <v>0</v>
      </c>
      <c r="D1656" s="21"/>
    </row>
    <row r="1657" spans="1:4" ht="11.25" customHeight="1" x14ac:dyDescent="0.25">
      <c r="A1657" s="22" t="s">
        <v>1694</v>
      </c>
      <c r="B1657" s="20">
        <f ca="1">INDIRECT(ADDRESS(MATCH(A1657,Raw!$A:$A,0),2,1,1,"Raw"))</f>
        <v>0</v>
      </c>
      <c r="C1657" s="20">
        <f>INDEX(Raw!$C:$C,MATCH(A1657,Raw!$A:$A,0))</f>
        <v>0</v>
      </c>
      <c r="D1657" s="21"/>
    </row>
    <row r="1658" spans="1:4" ht="11.25" customHeight="1" x14ac:dyDescent="0.25">
      <c r="A1658" s="22" t="s">
        <v>1695</v>
      </c>
      <c r="B1658" s="20">
        <f ca="1">INDIRECT(ADDRESS(MATCH(A1658,Raw!$A:$A,0),2,1,1,"Raw"))</f>
        <v>0</v>
      </c>
      <c r="C1658" s="20">
        <f>INDEX(Raw!$C:$C,MATCH(A1658,Raw!$A:$A,0))</f>
        <v>0</v>
      </c>
      <c r="D1658" s="21"/>
    </row>
    <row r="1659" spans="1:4" ht="11.25" customHeight="1" x14ac:dyDescent="0.25">
      <c r="A1659" s="22" t="s">
        <v>1696</v>
      </c>
      <c r="B1659" s="20">
        <f ca="1">INDIRECT(ADDRESS(MATCH(A1659,Raw!$A:$A,0),2,1,1,"Raw"))</f>
        <v>0</v>
      </c>
      <c r="C1659" s="20">
        <f>INDEX(Raw!$C:$C,MATCH(A1659,Raw!$A:$A,0))</f>
        <v>0</v>
      </c>
      <c r="D1659" s="21"/>
    </row>
    <row r="1660" spans="1:4" ht="11.25" customHeight="1" x14ac:dyDescent="0.25">
      <c r="A1660" s="22" t="s">
        <v>1697</v>
      </c>
      <c r="B1660" s="20">
        <f ca="1">INDIRECT(ADDRESS(MATCH(A1660,Raw!$A:$A,0),2,1,1,"Raw"))</f>
        <v>0</v>
      </c>
      <c r="C1660" s="20">
        <f>INDEX(Raw!$C:$C,MATCH(A1660,Raw!$A:$A,0))</f>
        <v>0</v>
      </c>
      <c r="D1660" s="21"/>
    </row>
    <row r="1661" spans="1:4" ht="11.25" customHeight="1" x14ac:dyDescent="0.25">
      <c r="A1661" s="22" t="s">
        <v>1698</v>
      </c>
      <c r="B1661" s="20">
        <f ca="1">INDIRECT(ADDRESS(MATCH(A1661,Raw!$A:$A,0),2,1,1,"Raw"))</f>
        <v>0</v>
      </c>
      <c r="C1661" s="20">
        <f>INDEX(Raw!$C:$C,MATCH(A1661,Raw!$A:$A,0))</f>
        <v>0</v>
      </c>
      <c r="D1661" s="21"/>
    </row>
    <row r="1662" spans="1:4" ht="11.25" customHeight="1" x14ac:dyDescent="0.25">
      <c r="A1662" s="22" t="s">
        <v>1699</v>
      </c>
      <c r="B1662" s="20">
        <f ca="1">INDIRECT(ADDRESS(MATCH(A1662,Raw!$A:$A,0),2,1,1,"Raw"))</f>
        <v>0</v>
      </c>
      <c r="C1662" s="20">
        <f>INDEX(Raw!$C:$C,MATCH(A1662,Raw!$A:$A,0))</f>
        <v>0</v>
      </c>
      <c r="D1662" s="21"/>
    </row>
    <row r="1663" spans="1:4" ht="11.25" customHeight="1" x14ac:dyDescent="0.25">
      <c r="A1663" s="22" t="s">
        <v>1700</v>
      </c>
      <c r="B1663" s="20">
        <f ca="1">INDIRECT(ADDRESS(MATCH(A1663,Raw!$A:$A,0),2,1,1,"Raw"))</f>
        <v>0</v>
      </c>
      <c r="C1663" s="20">
        <f>INDEX(Raw!$C:$C,MATCH(A1663,Raw!$A:$A,0))</f>
        <v>0</v>
      </c>
      <c r="D1663" s="21"/>
    </row>
    <row r="1664" spans="1:4" ht="11.25" customHeight="1" x14ac:dyDescent="0.25">
      <c r="A1664" s="22" t="s">
        <v>1701</v>
      </c>
      <c r="B1664" s="20">
        <f ca="1">INDIRECT(ADDRESS(MATCH(A1664,Raw!$A:$A,0),2,1,1,"Raw"))</f>
        <v>0</v>
      </c>
      <c r="C1664" s="20">
        <f>INDEX(Raw!$C:$C,MATCH(A1664,Raw!$A:$A,0))</f>
        <v>0</v>
      </c>
      <c r="D1664" s="21"/>
    </row>
    <row r="1665" spans="1:4" ht="11.25" customHeight="1" x14ac:dyDescent="0.25">
      <c r="A1665" s="22" t="s">
        <v>1702</v>
      </c>
      <c r="B1665" s="20">
        <f ca="1">INDIRECT(ADDRESS(MATCH(A1665,Raw!$A:$A,0),2,1,1,"Raw"))</f>
        <v>0</v>
      </c>
      <c r="C1665" s="20">
        <f>INDEX(Raw!$C:$C,MATCH(A1665,Raw!$A:$A,0))</f>
        <v>0</v>
      </c>
      <c r="D1665" s="21"/>
    </row>
    <row r="1666" spans="1:4" ht="11.25" customHeight="1" x14ac:dyDescent="0.25">
      <c r="A1666" s="22" t="s">
        <v>1703</v>
      </c>
      <c r="B1666" s="20">
        <f ca="1">INDIRECT(ADDRESS(MATCH(A1666,Raw!$A:$A,0),2,1,1,"Raw"))</f>
        <v>0</v>
      </c>
      <c r="C1666" s="20">
        <f>INDEX(Raw!$C:$C,MATCH(A1666,Raw!$A:$A,0))</f>
        <v>0</v>
      </c>
      <c r="D1666" s="21"/>
    </row>
    <row r="1667" spans="1:4" ht="11.25" customHeight="1" x14ac:dyDescent="0.25">
      <c r="A1667" s="22" t="s">
        <v>1704</v>
      </c>
      <c r="B1667" s="20">
        <f ca="1">INDIRECT(ADDRESS(MATCH(A1667,Raw!$A:$A,0),2,1,1,"Raw"))</f>
        <v>0</v>
      </c>
      <c r="C1667" s="20">
        <f>INDEX(Raw!$C:$C,MATCH(A1667,Raw!$A:$A,0))</f>
        <v>0</v>
      </c>
      <c r="D1667" s="21"/>
    </row>
    <row r="1668" spans="1:4" ht="11.25" customHeight="1" x14ac:dyDescent="0.25">
      <c r="A1668" s="22" t="s">
        <v>1705</v>
      </c>
      <c r="B1668" s="20">
        <f ca="1">INDIRECT(ADDRESS(MATCH(A1668,Raw!$A:$A,0),2,1,1,"Raw"))</f>
        <v>0</v>
      </c>
      <c r="C1668" s="20">
        <f>INDEX(Raw!$C:$C,MATCH(A1668,Raw!$A:$A,0))</f>
        <v>0</v>
      </c>
      <c r="D1668" s="21"/>
    </row>
    <row r="1669" spans="1:4" ht="11.25" customHeight="1" x14ac:dyDescent="0.25">
      <c r="A1669" s="22" t="s">
        <v>1706</v>
      </c>
      <c r="B1669" s="20">
        <f ca="1">INDIRECT(ADDRESS(MATCH(A1669,Raw!$A:$A,0),2,1,1,"Raw"))</f>
        <v>0</v>
      </c>
      <c r="C1669" s="20">
        <f>INDEX(Raw!$C:$C,MATCH(A1669,Raw!$A:$A,0))</f>
        <v>0</v>
      </c>
      <c r="D1669" s="21"/>
    </row>
    <row r="1670" spans="1:4" ht="11.25" customHeight="1" x14ac:dyDescent="0.25">
      <c r="A1670" s="22" t="s">
        <v>1707</v>
      </c>
      <c r="B1670" s="20">
        <f ca="1">INDIRECT(ADDRESS(MATCH(A1670,Raw!$A:$A,0),2,1,1,"Raw"))</f>
        <v>0</v>
      </c>
      <c r="C1670" s="20">
        <f>INDEX(Raw!$C:$C,MATCH(A1670,Raw!$A:$A,0))</f>
        <v>0</v>
      </c>
      <c r="D1670" s="21"/>
    </row>
    <row r="1671" spans="1:4" ht="11.25" customHeight="1" x14ac:dyDescent="0.25">
      <c r="A1671" s="22" t="s">
        <v>1708</v>
      </c>
      <c r="B1671" s="20">
        <f ca="1">INDIRECT(ADDRESS(MATCH(A1671,Raw!$A:$A,0),2,1,1,"Raw"))</f>
        <v>0</v>
      </c>
      <c r="C1671" s="20">
        <f>INDEX(Raw!$C:$C,MATCH(A1671,Raw!$A:$A,0))</f>
        <v>0</v>
      </c>
      <c r="D1671" s="21"/>
    </row>
    <row r="1672" spans="1:4" ht="11.25" customHeight="1" x14ac:dyDescent="0.25">
      <c r="A1672" s="22" t="s">
        <v>1709</v>
      </c>
      <c r="B1672" s="20">
        <f ca="1">INDIRECT(ADDRESS(MATCH(A1672,Raw!$A:$A,0),2,1,1,"Raw"))</f>
        <v>0</v>
      </c>
      <c r="C1672" s="20">
        <f>INDEX(Raw!$C:$C,MATCH(A1672,Raw!$A:$A,0))</f>
        <v>0</v>
      </c>
      <c r="D1672" s="21"/>
    </row>
    <row r="1673" spans="1:4" ht="11.25" customHeight="1" x14ac:dyDescent="0.25">
      <c r="A1673" s="22" t="s">
        <v>1710</v>
      </c>
      <c r="B1673" s="20">
        <f ca="1">INDIRECT(ADDRESS(MATCH(A1673,Raw!$A:$A,0),2,1,1,"Raw"))</f>
        <v>0</v>
      </c>
      <c r="C1673" s="20">
        <f>INDEX(Raw!$C:$C,MATCH(A1673,Raw!$A:$A,0))</f>
        <v>0</v>
      </c>
      <c r="D1673" s="21"/>
    </row>
    <row r="1674" spans="1:4" ht="11.25" customHeight="1" x14ac:dyDescent="0.25">
      <c r="A1674" s="22" t="s">
        <v>1711</v>
      </c>
      <c r="B1674" s="20">
        <f ca="1">INDIRECT(ADDRESS(MATCH(A1674,Raw!$A:$A,0),2,1,1,"Raw"))</f>
        <v>0</v>
      </c>
      <c r="C1674" s="20">
        <f>INDEX(Raw!$C:$C,MATCH(A1674,Raw!$A:$A,0))</f>
        <v>0</v>
      </c>
      <c r="D1674" s="21"/>
    </row>
    <row r="1675" spans="1:4" ht="11.25" customHeight="1" x14ac:dyDescent="0.25">
      <c r="A1675" s="22" t="s">
        <v>1712</v>
      </c>
      <c r="B1675" s="20">
        <f ca="1">INDIRECT(ADDRESS(MATCH(A1675,Raw!$A:$A,0),2,1,1,"Raw"))</f>
        <v>0</v>
      </c>
      <c r="C1675" s="20">
        <f>INDEX(Raw!$C:$C,MATCH(A1675,Raw!$A:$A,0))</f>
        <v>0</v>
      </c>
      <c r="D1675" s="21"/>
    </row>
    <row r="1676" spans="1:4" ht="11.25" customHeight="1" x14ac:dyDescent="0.25">
      <c r="A1676" s="22" t="s">
        <v>1713</v>
      </c>
      <c r="B1676" s="20">
        <f ca="1">INDIRECT(ADDRESS(MATCH(A1676,Raw!$A:$A,0),2,1,1,"Raw"))</f>
        <v>0</v>
      </c>
      <c r="C1676" s="20">
        <f>INDEX(Raw!$C:$C,MATCH(A1676,Raw!$A:$A,0))</f>
        <v>0</v>
      </c>
      <c r="D1676" s="21"/>
    </row>
    <row r="1677" spans="1:4" ht="11.25" customHeight="1" x14ac:dyDescent="0.25">
      <c r="A1677" s="22" t="s">
        <v>1714</v>
      </c>
      <c r="B1677" s="20">
        <f ca="1">INDIRECT(ADDRESS(MATCH(A1677,Raw!$A:$A,0),2,1,1,"Raw"))</f>
        <v>0</v>
      </c>
      <c r="C1677" s="20">
        <f>INDEX(Raw!$C:$C,MATCH(A1677,Raw!$A:$A,0))</f>
        <v>0</v>
      </c>
      <c r="D1677" s="21"/>
    </row>
    <row r="1678" spans="1:4" ht="11.25" customHeight="1" x14ac:dyDescent="0.25">
      <c r="A1678" s="22" t="s">
        <v>1715</v>
      </c>
      <c r="B1678" s="20">
        <f ca="1">INDIRECT(ADDRESS(MATCH(A1678,Raw!$A:$A,0),2,1,1,"Raw"))</f>
        <v>0</v>
      </c>
      <c r="C1678" s="20">
        <f>INDEX(Raw!$C:$C,MATCH(A1678,Raw!$A:$A,0))</f>
        <v>0</v>
      </c>
      <c r="D1678" s="21"/>
    </row>
    <row r="1679" spans="1:4" ht="11.25" customHeight="1" x14ac:dyDescent="0.25">
      <c r="A1679" s="22" t="s">
        <v>1716</v>
      </c>
      <c r="B1679" s="20">
        <f ca="1">INDIRECT(ADDRESS(MATCH(A1679,Raw!$A:$A,0),2,1,1,"Raw"))</f>
        <v>0</v>
      </c>
      <c r="C1679" s="20">
        <f>INDEX(Raw!$C:$C,MATCH(A1679,Raw!$A:$A,0))</f>
        <v>0</v>
      </c>
      <c r="D1679" s="21"/>
    </row>
    <row r="1680" spans="1:4" ht="11.25" customHeight="1" x14ac:dyDescent="0.25">
      <c r="A1680" s="22" t="s">
        <v>1717</v>
      </c>
      <c r="B1680" s="20">
        <f ca="1">INDIRECT(ADDRESS(MATCH(A1680,Raw!$A:$A,0),2,1,1,"Raw"))</f>
        <v>0</v>
      </c>
      <c r="C1680" s="20">
        <f>INDEX(Raw!$C:$C,MATCH(A1680,Raw!$A:$A,0))</f>
        <v>0</v>
      </c>
      <c r="D1680" s="21"/>
    </row>
    <row r="1681" spans="1:4" ht="11.25" customHeight="1" x14ac:dyDescent="0.25">
      <c r="A1681" s="22" t="s">
        <v>1718</v>
      </c>
      <c r="B1681" s="20">
        <f ca="1">INDIRECT(ADDRESS(MATCH(A1681,Raw!$A:$A,0),2,1,1,"Raw"))</f>
        <v>0</v>
      </c>
      <c r="C1681" s="20">
        <f>INDEX(Raw!$C:$C,MATCH(A1681,Raw!$A:$A,0))</f>
        <v>0</v>
      </c>
      <c r="D1681" s="21"/>
    </row>
    <row r="1682" spans="1:4" ht="11.25" customHeight="1" x14ac:dyDescent="0.25">
      <c r="A1682" s="22" t="s">
        <v>1719</v>
      </c>
      <c r="B1682" s="20">
        <f ca="1">INDIRECT(ADDRESS(MATCH(A1682,Raw!$A:$A,0),2,1,1,"Raw"))</f>
        <v>0</v>
      </c>
      <c r="C1682" s="20">
        <f>INDEX(Raw!$C:$C,MATCH(A1682,Raw!$A:$A,0))</f>
        <v>0</v>
      </c>
      <c r="D1682" s="21"/>
    </row>
    <row r="1683" spans="1:4" ht="11.25" customHeight="1" x14ac:dyDescent="0.25">
      <c r="A1683" s="22" t="s">
        <v>1720</v>
      </c>
      <c r="B1683" s="20">
        <f ca="1">INDIRECT(ADDRESS(MATCH(A1683,Raw!$A:$A,0),2,1,1,"Raw"))</f>
        <v>0</v>
      </c>
      <c r="C1683" s="20">
        <f>INDEX(Raw!$C:$C,MATCH(A1683,Raw!$A:$A,0))</f>
        <v>0</v>
      </c>
      <c r="D1683" s="21"/>
    </row>
    <row r="1684" spans="1:4" ht="11.25" customHeight="1" x14ac:dyDescent="0.25">
      <c r="A1684" s="22" t="s">
        <v>1721</v>
      </c>
      <c r="B1684" s="20">
        <f ca="1">INDIRECT(ADDRESS(MATCH(A1684,Raw!$A:$A,0),2,1,1,"Raw"))</f>
        <v>0</v>
      </c>
      <c r="C1684" s="20">
        <f>INDEX(Raw!$C:$C,MATCH(A1684,Raw!$A:$A,0))</f>
        <v>0</v>
      </c>
      <c r="D1684" s="21"/>
    </row>
    <row r="1685" spans="1:4" ht="11.25" customHeight="1" x14ac:dyDescent="0.25">
      <c r="A1685" s="22" t="s">
        <v>1722</v>
      </c>
      <c r="B1685" s="20">
        <f ca="1">INDIRECT(ADDRESS(MATCH(A1685,Raw!$A:$A,0),2,1,1,"Raw"))</f>
        <v>0</v>
      </c>
      <c r="C1685" s="20">
        <f>INDEX(Raw!$C:$C,MATCH(A1685,Raw!$A:$A,0))</f>
        <v>0</v>
      </c>
      <c r="D1685" s="21"/>
    </row>
    <row r="1686" spans="1:4" ht="11.25" customHeight="1" x14ac:dyDescent="0.25">
      <c r="A1686" s="22" t="s">
        <v>1723</v>
      </c>
      <c r="B1686" s="20">
        <f ca="1">INDIRECT(ADDRESS(MATCH(A1686,Raw!$A:$A,0),2,1,1,"Raw"))</f>
        <v>0</v>
      </c>
      <c r="C1686" s="20">
        <f>INDEX(Raw!$C:$C,MATCH(A1686,Raw!$A:$A,0))</f>
        <v>0</v>
      </c>
      <c r="D1686" s="21"/>
    </row>
    <row r="1687" spans="1:4" ht="11.25" customHeight="1" x14ac:dyDescent="0.25">
      <c r="A1687" s="22" t="s">
        <v>1724</v>
      </c>
      <c r="B1687" s="20">
        <f ca="1">INDIRECT(ADDRESS(MATCH(A1687,Raw!$A:$A,0),2,1,1,"Raw"))</f>
        <v>0</v>
      </c>
      <c r="C1687" s="20">
        <f>INDEX(Raw!$C:$C,MATCH(A1687,Raw!$A:$A,0))</f>
        <v>0</v>
      </c>
      <c r="D1687" s="21"/>
    </row>
    <row r="1688" spans="1:4" ht="11.25" customHeight="1" x14ac:dyDescent="0.25">
      <c r="A1688" s="22" t="s">
        <v>1725</v>
      </c>
      <c r="B1688" s="20">
        <f ca="1">INDIRECT(ADDRESS(MATCH(A1688,Raw!$A:$A,0),2,1,1,"Raw"))</f>
        <v>0</v>
      </c>
      <c r="C1688" s="20">
        <f>INDEX(Raw!$C:$C,MATCH(A1688,Raw!$A:$A,0))</f>
        <v>0</v>
      </c>
      <c r="D1688" s="21"/>
    </row>
    <row r="1689" spans="1:4" ht="11.25" customHeight="1" x14ac:dyDescent="0.25">
      <c r="A1689" s="22" t="s">
        <v>1726</v>
      </c>
      <c r="B1689" s="20">
        <f ca="1">INDIRECT(ADDRESS(MATCH(A1689,Raw!$A:$A,0),2,1,1,"Raw"))</f>
        <v>0</v>
      </c>
      <c r="C1689" s="20">
        <f>INDEX(Raw!$C:$C,MATCH(A1689,Raw!$A:$A,0))</f>
        <v>0</v>
      </c>
      <c r="D1689" s="21"/>
    </row>
    <row r="1690" spans="1:4" ht="11.25" customHeight="1" x14ac:dyDescent="0.25">
      <c r="A1690" s="22" t="s">
        <v>1727</v>
      </c>
      <c r="B1690" s="20">
        <f ca="1">INDIRECT(ADDRESS(MATCH(A1690,Raw!$A:$A,0),2,1,1,"Raw"))</f>
        <v>0</v>
      </c>
      <c r="C1690" s="20">
        <f>INDEX(Raw!$C:$C,MATCH(A1690,Raw!$A:$A,0))</f>
        <v>0</v>
      </c>
      <c r="D1690" s="21"/>
    </row>
    <row r="1691" spans="1:4" ht="11.25" customHeight="1" x14ac:dyDescent="0.25">
      <c r="A1691" s="22" t="s">
        <v>1728</v>
      </c>
      <c r="B1691" s="20">
        <f ca="1">INDIRECT(ADDRESS(MATCH(A1691,Raw!$A:$A,0),2,1,1,"Raw"))</f>
        <v>0</v>
      </c>
      <c r="C1691" s="20">
        <f>INDEX(Raw!$C:$C,MATCH(A1691,Raw!$A:$A,0))</f>
        <v>0</v>
      </c>
      <c r="D1691" s="21"/>
    </row>
    <row r="1692" spans="1:4" ht="11.25" customHeight="1" x14ac:dyDescent="0.25">
      <c r="A1692" s="22" t="s">
        <v>1729</v>
      </c>
      <c r="B1692" s="20">
        <f ca="1">INDIRECT(ADDRESS(MATCH(A1692,Raw!$A:$A,0),2,1,1,"Raw"))</f>
        <v>0</v>
      </c>
      <c r="C1692" s="20">
        <f>INDEX(Raw!$C:$C,MATCH(A1692,Raw!$A:$A,0))</f>
        <v>0</v>
      </c>
      <c r="D1692" s="21"/>
    </row>
    <row r="1693" spans="1:4" ht="11.25" customHeight="1" x14ac:dyDescent="0.25">
      <c r="A1693" s="22" t="s">
        <v>1730</v>
      </c>
      <c r="B1693" s="20">
        <f ca="1">INDIRECT(ADDRESS(MATCH(A1693,Raw!$A:$A,0),2,1,1,"Raw"))</f>
        <v>0</v>
      </c>
      <c r="C1693" s="20">
        <f>INDEX(Raw!$C:$C,MATCH(A1693,Raw!$A:$A,0))</f>
        <v>0</v>
      </c>
      <c r="D1693" s="21"/>
    </row>
    <row r="1694" spans="1:4" ht="11.25" customHeight="1" x14ac:dyDescent="0.25">
      <c r="A1694" s="22" t="s">
        <v>1731</v>
      </c>
      <c r="B1694" s="20">
        <f ca="1">INDIRECT(ADDRESS(MATCH(A1694,Raw!$A:$A,0),2,1,1,"Raw"))</f>
        <v>0</v>
      </c>
      <c r="C1694" s="20">
        <f>INDEX(Raw!$C:$C,MATCH(A1694,Raw!$A:$A,0))</f>
        <v>0</v>
      </c>
      <c r="D1694" s="21"/>
    </row>
    <row r="1695" spans="1:4" ht="11.25" customHeight="1" x14ac:dyDescent="0.25">
      <c r="A1695" s="22" t="s">
        <v>1732</v>
      </c>
      <c r="B1695" s="20">
        <f ca="1">INDIRECT(ADDRESS(MATCH(A1695,Raw!$A:$A,0),2,1,1,"Raw"))</f>
        <v>0</v>
      </c>
      <c r="C1695" s="20">
        <f>INDEX(Raw!$C:$C,MATCH(A1695,Raw!$A:$A,0))</f>
        <v>0</v>
      </c>
      <c r="D1695" s="21"/>
    </row>
    <row r="1696" spans="1:4" ht="11.25" customHeight="1" x14ac:dyDescent="0.25">
      <c r="A1696" s="22" t="s">
        <v>1733</v>
      </c>
      <c r="B1696" s="20">
        <f ca="1">INDIRECT(ADDRESS(MATCH(A1696,Raw!$A:$A,0),2,1,1,"Raw"))</f>
        <v>0</v>
      </c>
      <c r="C1696" s="20">
        <f>INDEX(Raw!$C:$C,MATCH(A1696,Raw!$A:$A,0))</f>
        <v>0</v>
      </c>
      <c r="D1696" s="21"/>
    </row>
    <row r="1697" spans="1:4" ht="11.25" customHeight="1" x14ac:dyDescent="0.25">
      <c r="A1697" s="22" t="s">
        <v>1734</v>
      </c>
      <c r="B1697" s="20">
        <f ca="1">INDIRECT(ADDRESS(MATCH(A1697,Raw!$A:$A,0),2,1,1,"Raw"))</f>
        <v>0</v>
      </c>
      <c r="C1697" s="20">
        <f>INDEX(Raw!$C:$C,MATCH(A1697,Raw!$A:$A,0))</f>
        <v>0</v>
      </c>
      <c r="D1697" s="21"/>
    </row>
    <row r="1698" spans="1:4" ht="11.25" customHeight="1" x14ac:dyDescent="0.25">
      <c r="A1698" s="22" t="s">
        <v>1735</v>
      </c>
      <c r="B1698" s="20">
        <f ca="1">INDIRECT(ADDRESS(MATCH(A1698,Raw!$A:$A,0),2,1,1,"Raw"))</f>
        <v>0</v>
      </c>
      <c r="C1698" s="20">
        <f>INDEX(Raw!$C:$C,MATCH(A1698,Raw!$A:$A,0))</f>
        <v>0</v>
      </c>
      <c r="D1698" s="21"/>
    </row>
    <row r="1699" spans="1:4" ht="11.25" customHeight="1" x14ac:dyDescent="0.25">
      <c r="A1699" s="22" t="s">
        <v>1736</v>
      </c>
      <c r="B1699" s="20">
        <f ca="1">INDIRECT(ADDRESS(MATCH(A1699,Raw!$A:$A,0),2,1,1,"Raw"))</f>
        <v>0</v>
      </c>
      <c r="C1699" s="20">
        <f>INDEX(Raw!$C:$C,MATCH(A1699,Raw!$A:$A,0))</f>
        <v>0</v>
      </c>
      <c r="D1699" s="21"/>
    </row>
    <row r="1700" spans="1:4" ht="11.25" customHeight="1" x14ac:dyDescent="0.25">
      <c r="A1700" s="22" t="s">
        <v>1737</v>
      </c>
      <c r="B1700" s="20">
        <f ca="1">INDIRECT(ADDRESS(MATCH(A1700,Raw!$A:$A,0),2,1,1,"Raw"))</f>
        <v>0</v>
      </c>
      <c r="C1700" s="20">
        <f>INDEX(Raw!$C:$C,MATCH(A1700,Raw!$A:$A,0))</f>
        <v>0</v>
      </c>
      <c r="D1700" s="21"/>
    </row>
    <row r="1701" spans="1:4" ht="11.25" customHeight="1" x14ac:dyDescent="0.25">
      <c r="A1701" s="22" t="s">
        <v>1738</v>
      </c>
      <c r="B1701" s="20">
        <f ca="1">INDIRECT(ADDRESS(MATCH(A1701,Raw!$A:$A,0),2,1,1,"Raw"))</f>
        <v>0</v>
      </c>
      <c r="C1701" s="20">
        <f>INDEX(Raw!$C:$C,MATCH(A1701,Raw!$A:$A,0))</f>
        <v>0</v>
      </c>
      <c r="D1701" s="21"/>
    </row>
    <row r="1702" spans="1:4" ht="11.25" customHeight="1" x14ac:dyDescent="0.25">
      <c r="A1702" s="22" t="s">
        <v>1739</v>
      </c>
      <c r="B1702" s="20">
        <f ca="1">INDIRECT(ADDRESS(MATCH(A1702,Raw!$A:$A,0),2,1,1,"Raw"))</f>
        <v>0</v>
      </c>
      <c r="C1702" s="20">
        <f>INDEX(Raw!$C:$C,MATCH(A1702,Raw!$A:$A,0))</f>
        <v>0</v>
      </c>
      <c r="D1702" s="21"/>
    </row>
    <row r="1703" spans="1:4" ht="11.25" customHeight="1" x14ac:dyDescent="0.25">
      <c r="A1703" s="22" t="s">
        <v>1740</v>
      </c>
      <c r="B1703" s="20">
        <f ca="1">INDIRECT(ADDRESS(MATCH(A1703,Raw!$A:$A,0),2,1,1,"Raw"))</f>
        <v>0</v>
      </c>
      <c r="C1703" s="20">
        <f>INDEX(Raw!$C:$C,MATCH(A1703,Raw!$A:$A,0))</f>
        <v>0</v>
      </c>
      <c r="D1703" s="21"/>
    </row>
    <row r="1704" spans="1:4" ht="11.25" customHeight="1" x14ac:dyDescent="0.25">
      <c r="A1704" s="22" t="s">
        <v>1741</v>
      </c>
      <c r="B1704" s="20">
        <f ca="1">INDIRECT(ADDRESS(MATCH(A1704,Raw!$A:$A,0),2,1,1,"Raw"))</f>
        <v>0</v>
      </c>
      <c r="C1704" s="20">
        <f>INDEX(Raw!$C:$C,MATCH(A1704,Raw!$A:$A,0))</f>
        <v>0</v>
      </c>
      <c r="D1704" s="21"/>
    </row>
    <row r="1705" spans="1:4" ht="11.25" customHeight="1" x14ac:dyDescent="0.25">
      <c r="A1705" s="22" t="s">
        <v>1742</v>
      </c>
      <c r="B1705" s="20">
        <f ca="1">INDIRECT(ADDRESS(MATCH(A1705,Raw!$A:$A,0),2,1,1,"Raw"))</f>
        <v>0</v>
      </c>
      <c r="C1705" s="20">
        <f>INDEX(Raw!$C:$C,MATCH(A1705,Raw!$A:$A,0))</f>
        <v>0</v>
      </c>
      <c r="D1705" s="21"/>
    </row>
    <row r="1706" spans="1:4" ht="11.25" customHeight="1" x14ac:dyDescent="0.25">
      <c r="A1706" s="22" t="s">
        <v>1743</v>
      </c>
      <c r="B1706" s="20">
        <f ca="1">INDIRECT(ADDRESS(MATCH(A1706,Raw!$A:$A,0),2,1,1,"Raw"))</f>
        <v>0</v>
      </c>
      <c r="C1706" s="20">
        <f>INDEX(Raw!$C:$C,MATCH(A1706,Raw!$A:$A,0))</f>
        <v>0</v>
      </c>
      <c r="D1706" s="21"/>
    </row>
    <row r="1707" spans="1:4" ht="11.25" customHeight="1" x14ac:dyDescent="0.25">
      <c r="A1707" s="22" t="s">
        <v>1744</v>
      </c>
      <c r="B1707" s="20">
        <f ca="1">INDIRECT(ADDRESS(MATCH(A1707,Raw!$A:$A,0),2,1,1,"Raw"))</f>
        <v>0</v>
      </c>
      <c r="C1707" s="20">
        <f>INDEX(Raw!$C:$C,MATCH(A1707,Raw!$A:$A,0))</f>
        <v>0</v>
      </c>
      <c r="D1707" s="21"/>
    </row>
    <row r="1708" spans="1:4" ht="11.25" customHeight="1" x14ac:dyDescent="0.25">
      <c r="A1708" s="22" t="s">
        <v>1745</v>
      </c>
      <c r="B1708" s="20">
        <f ca="1">INDIRECT(ADDRESS(MATCH(A1708,Raw!$A:$A,0),2,1,1,"Raw"))</f>
        <v>0</v>
      </c>
      <c r="C1708" s="20">
        <f>INDEX(Raw!$C:$C,MATCH(A1708,Raw!$A:$A,0))</f>
        <v>0</v>
      </c>
      <c r="D1708" s="21"/>
    </row>
    <row r="1709" spans="1:4" ht="11.25" customHeight="1" x14ac:dyDescent="0.25">
      <c r="A1709" s="22" t="s">
        <v>1746</v>
      </c>
      <c r="B1709" s="20">
        <f ca="1">INDIRECT(ADDRESS(MATCH(A1709,Raw!$A:$A,0),2,1,1,"Raw"))</f>
        <v>0</v>
      </c>
      <c r="C1709" s="20">
        <f>INDEX(Raw!$C:$C,MATCH(A1709,Raw!$A:$A,0))</f>
        <v>0</v>
      </c>
      <c r="D1709" s="21"/>
    </row>
    <row r="1710" spans="1:4" ht="11.25" customHeight="1" x14ac:dyDescent="0.25">
      <c r="A1710" s="22" t="s">
        <v>1747</v>
      </c>
      <c r="B1710" s="20">
        <f ca="1">INDIRECT(ADDRESS(MATCH(A1710,Raw!$A:$A,0),2,1,1,"Raw"))</f>
        <v>0</v>
      </c>
      <c r="C1710" s="20">
        <f>INDEX(Raw!$C:$C,MATCH(A1710,Raw!$A:$A,0))</f>
        <v>0</v>
      </c>
      <c r="D1710" s="21"/>
    </row>
    <row r="1711" spans="1:4" ht="11.25" customHeight="1" x14ac:dyDescent="0.25">
      <c r="A1711" s="22" t="s">
        <v>1748</v>
      </c>
      <c r="B1711" s="20">
        <f ca="1">INDIRECT(ADDRESS(MATCH(A1711,Raw!$A:$A,0),2,1,1,"Raw"))</f>
        <v>0</v>
      </c>
      <c r="C1711" s="20">
        <f>INDEX(Raw!$C:$C,MATCH(A1711,Raw!$A:$A,0))</f>
        <v>0</v>
      </c>
      <c r="D1711" s="21"/>
    </row>
    <row r="1712" spans="1:4" ht="11.25" customHeight="1" x14ac:dyDescent="0.25">
      <c r="A1712" s="22" t="s">
        <v>1749</v>
      </c>
      <c r="B1712" s="20">
        <f ca="1">INDIRECT(ADDRESS(MATCH(A1712,Raw!$A:$A,0),2,1,1,"Raw"))</f>
        <v>0</v>
      </c>
      <c r="C1712" s="20">
        <f>INDEX(Raw!$C:$C,MATCH(A1712,Raw!$A:$A,0))</f>
        <v>0</v>
      </c>
      <c r="D1712" s="21"/>
    </row>
    <row r="1713" spans="1:4" ht="11.25" customHeight="1" x14ac:dyDescent="0.25">
      <c r="A1713" s="22" t="s">
        <v>1750</v>
      </c>
      <c r="B1713" s="20">
        <f ca="1">INDIRECT(ADDRESS(MATCH(A1713,Raw!$A:$A,0),2,1,1,"Raw"))</f>
        <v>0</v>
      </c>
      <c r="C1713" s="20">
        <f>INDEX(Raw!$C:$C,MATCH(A1713,Raw!$A:$A,0))</f>
        <v>0</v>
      </c>
      <c r="D1713" s="21"/>
    </row>
    <row r="1714" spans="1:4" ht="11.25" customHeight="1" x14ac:dyDescent="0.25">
      <c r="A1714" s="22" t="s">
        <v>1751</v>
      </c>
      <c r="B1714" s="20">
        <f ca="1">INDIRECT(ADDRESS(MATCH(A1714,Raw!$A:$A,0),2,1,1,"Raw"))</f>
        <v>0</v>
      </c>
      <c r="C1714" s="20">
        <f>INDEX(Raw!$C:$C,MATCH(A1714,Raw!$A:$A,0))</f>
        <v>0</v>
      </c>
      <c r="D1714" s="21"/>
    </row>
    <row r="1715" spans="1:4" ht="11.25" customHeight="1" x14ac:dyDescent="0.25">
      <c r="A1715" s="22" t="s">
        <v>1752</v>
      </c>
      <c r="B1715" s="20">
        <f ca="1">INDIRECT(ADDRESS(MATCH(A1715,Raw!$A:$A,0),2,1,1,"Raw"))</f>
        <v>0</v>
      </c>
      <c r="C1715" s="20">
        <f>INDEX(Raw!$C:$C,MATCH(A1715,Raw!$A:$A,0))</f>
        <v>0</v>
      </c>
      <c r="D1715" s="21"/>
    </row>
    <row r="1716" spans="1:4" ht="11.25" customHeight="1" x14ac:dyDescent="0.25">
      <c r="A1716" s="22" t="s">
        <v>1753</v>
      </c>
      <c r="B1716" s="20">
        <f ca="1">INDIRECT(ADDRESS(MATCH(A1716,Raw!$A:$A,0),2,1,1,"Raw"))</f>
        <v>0</v>
      </c>
      <c r="C1716" s="20">
        <f>INDEX(Raw!$C:$C,MATCH(A1716,Raw!$A:$A,0))</f>
        <v>0</v>
      </c>
      <c r="D1716" s="21"/>
    </row>
    <row r="1717" spans="1:4" ht="11.25" customHeight="1" x14ac:dyDescent="0.25">
      <c r="A1717" s="22" t="s">
        <v>1754</v>
      </c>
      <c r="B1717" s="20">
        <f ca="1">INDIRECT(ADDRESS(MATCH(A1717,Raw!$A:$A,0),2,1,1,"Raw"))</f>
        <v>0</v>
      </c>
      <c r="C1717" s="20">
        <f>INDEX(Raw!$C:$C,MATCH(A1717,Raw!$A:$A,0))</f>
        <v>0</v>
      </c>
      <c r="D1717" s="21"/>
    </row>
    <row r="1718" spans="1:4" ht="11.25" customHeight="1" x14ac:dyDescent="0.25">
      <c r="A1718" s="22" t="s">
        <v>1755</v>
      </c>
      <c r="B1718" s="20">
        <f ca="1">INDIRECT(ADDRESS(MATCH(A1718,Raw!$A:$A,0),2,1,1,"Raw"))</f>
        <v>0</v>
      </c>
      <c r="C1718" s="20">
        <f>INDEX(Raw!$C:$C,MATCH(A1718,Raw!$A:$A,0))</f>
        <v>0</v>
      </c>
      <c r="D1718" s="21"/>
    </row>
    <row r="1719" spans="1:4" ht="11.25" customHeight="1" x14ac:dyDescent="0.25">
      <c r="A1719" s="22" t="s">
        <v>1756</v>
      </c>
      <c r="B1719" s="20">
        <f ca="1">INDIRECT(ADDRESS(MATCH(A1719,Raw!$A:$A,0),2,1,1,"Raw"))</f>
        <v>0</v>
      </c>
      <c r="C1719" s="20">
        <f>INDEX(Raw!$C:$C,MATCH(A1719,Raw!$A:$A,0))</f>
        <v>0</v>
      </c>
      <c r="D1719" s="21"/>
    </row>
    <row r="1720" spans="1:4" ht="11.25" customHeight="1" x14ac:dyDescent="0.25">
      <c r="A1720" s="22" t="s">
        <v>1757</v>
      </c>
      <c r="B1720" s="20">
        <f ca="1">INDIRECT(ADDRESS(MATCH(A1720,Raw!$A:$A,0),2,1,1,"Raw"))</f>
        <v>0</v>
      </c>
      <c r="C1720" s="20">
        <f>INDEX(Raw!$C:$C,MATCH(A1720,Raw!$A:$A,0))</f>
        <v>0</v>
      </c>
      <c r="D1720" s="21"/>
    </row>
    <row r="1721" spans="1:4" ht="11.25" customHeight="1" x14ac:dyDescent="0.25">
      <c r="A1721" s="22" t="s">
        <v>1758</v>
      </c>
      <c r="B1721" s="20">
        <f ca="1">INDIRECT(ADDRESS(MATCH(A1721,Raw!$A:$A,0),2,1,1,"Raw"))</f>
        <v>0</v>
      </c>
      <c r="C1721" s="20">
        <f>INDEX(Raw!$C:$C,MATCH(A1721,Raw!$A:$A,0))</f>
        <v>0</v>
      </c>
      <c r="D1721" s="21"/>
    </row>
    <row r="1722" spans="1:4" ht="11.25" customHeight="1" x14ac:dyDescent="0.25">
      <c r="A1722" s="22" t="s">
        <v>1759</v>
      </c>
      <c r="B1722" s="20">
        <f ca="1">INDIRECT(ADDRESS(MATCH(A1722,Raw!$A:$A,0),2,1,1,"Raw"))</f>
        <v>0</v>
      </c>
      <c r="C1722" s="20">
        <f>INDEX(Raw!$C:$C,MATCH(A1722,Raw!$A:$A,0))</f>
        <v>0</v>
      </c>
      <c r="D1722" s="21"/>
    </row>
    <row r="1723" spans="1:4" ht="11.25" customHeight="1" x14ac:dyDescent="0.25">
      <c r="A1723" s="22" t="s">
        <v>1760</v>
      </c>
      <c r="B1723" s="20">
        <f ca="1">INDIRECT(ADDRESS(MATCH(A1723,Raw!$A:$A,0),2,1,1,"Raw"))</f>
        <v>0</v>
      </c>
      <c r="C1723" s="20">
        <f>INDEX(Raw!$C:$C,MATCH(A1723,Raw!$A:$A,0))</f>
        <v>0</v>
      </c>
      <c r="D1723" s="21"/>
    </row>
    <row r="1724" spans="1:4" ht="11.25" customHeight="1" x14ac:dyDescent="0.25">
      <c r="A1724" s="22" t="s">
        <v>1761</v>
      </c>
      <c r="B1724" s="20">
        <f ca="1">INDIRECT(ADDRESS(MATCH(A1724,Raw!$A:$A,0),2,1,1,"Raw"))</f>
        <v>0</v>
      </c>
      <c r="C1724" s="20">
        <f>INDEX(Raw!$C:$C,MATCH(A1724,Raw!$A:$A,0))</f>
        <v>0</v>
      </c>
      <c r="D1724" s="21"/>
    </row>
    <row r="1725" spans="1:4" ht="11.25" customHeight="1" x14ac:dyDescent="0.25">
      <c r="A1725" s="22" t="s">
        <v>1762</v>
      </c>
      <c r="B1725" s="20">
        <f ca="1">INDIRECT(ADDRESS(MATCH(A1725,Raw!$A:$A,0),2,1,1,"Raw"))</f>
        <v>0</v>
      </c>
      <c r="C1725" s="20">
        <f>INDEX(Raw!$C:$C,MATCH(A1725,Raw!$A:$A,0))</f>
        <v>0</v>
      </c>
      <c r="D1725" s="21"/>
    </row>
    <row r="1726" spans="1:4" ht="11.25" customHeight="1" x14ac:dyDescent="0.25">
      <c r="A1726" s="22" t="s">
        <v>1763</v>
      </c>
      <c r="B1726" s="20">
        <f ca="1">INDIRECT(ADDRESS(MATCH(A1726,Raw!$A:$A,0),2,1,1,"Raw"))</f>
        <v>0</v>
      </c>
      <c r="C1726" s="20">
        <f>INDEX(Raw!$C:$C,MATCH(A1726,Raw!$A:$A,0))</f>
        <v>0</v>
      </c>
      <c r="D1726" s="21"/>
    </row>
    <row r="1727" spans="1:4" ht="11.25" customHeight="1" x14ac:dyDescent="0.25">
      <c r="A1727" s="22" t="s">
        <v>1764</v>
      </c>
      <c r="B1727" s="20">
        <f ca="1">INDIRECT(ADDRESS(MATCH(A1727,Raw!$A:$A,0),2,1,1,"Raw"))</f>
        <v>0</v>
      </c>
      <c r="C1727" s="20">
        <f>INDEX(Raw!$C:$C,MATCH(A1727,Raw!$A:$A,0))</f>
        <v>0</v>
      </c>
      <c r="D1727" s="21"/>
    </row>
    <row r="1728" spans="1:4" ht="11.25" customHeight="1" x14ac:dyDescent="0.25">
      <c r="A1728" s="22" t="s">
        <v>1765</v>
      </c>
      <c r="B1728" s="20">
        <f ca="1">INDIRECT(ADDRESS(MATCH(A1728,Raw!$A:$A,0),2,1,1,"Raw"))</f>
        <v>0</v>
      </c>
      <c r="C1728" s="20">
        <f>INDEX(Raw!$C:$C,MATCH(A1728,Raw!$A:$A,0))</f>
        <v>0</v>
      </c>
      <c r="D1728" s="21"/>
    </row>
    <row r="1729" spans="1:4" ht="11.25" customHeight="1" x14ac:dyDescent="0.25">
      <c r="A1729" s="22" t="s">
        <v>1766</v>
      </c>
      <c r="B1729" s="20">
        <f ca="1">INDIRECT(ADDRESS(MATCH(A1729,Raw!$A:$A,0),2,1,1,"Raw"))</f>
        <v>0</v>
      </c>
      <c r="C1729" s="20">
        <f>INDEX(Raw!$C:$C,MATCH(A1729,Raw!$A:$A,0))</f>
        <v>0</v>
      </c>
      <c r="D1729" s="21"/>
    </row>
    <row r="1730" spans="1:4" ht="11.25" customHeight="1" x14ac:dyDescent="0.25">
      <c r="A1730" s="22" t="s">
        <v>1767</v>
      </c>
      <c r="B1730" s="20">
        <f ca="1">INDIRECT(ADDRESS(MATCH(A1730,Raw!$A:$A,0),2,1,1,"Raw"))</f>
        <v>0</v>
      </c>
      <c r="C1730" s="20">
        <f>INDEX(Raw!$C:$C,MATCH(A1730,Raw!$A:$A,0))</f>
        <v>0</v>
      </c>
      <c r="D1730" s="21"/>
    </row>
    <row r="1731" spans="1:4" ht="11.25" customHeight="1" x14ac:dyDescent="0.25">
      <c r="A1731" s="22" t="s">
        <v>1768</v>
      </c>
      <c r="B1731" s="20">
        <f ca="1">INDIRECT(ADDRESS(MATCH(A1731,Raw!$A:$A,0),2,1,1,"Raw"))</f>
        <v>0</v>
      </c>
      <c r="C1731" s="20">
        <f>INDEX(Raw!$C:$C,MATCH(A1731,Raw!$A:$A,0))</f>
        <v>0</v>
      </c>
      <c r="D1731" s="21"/>
    </row>
    <row r="1732" spans="1:4" ht="11.25" customHeight="1" x14ac:dyDescent="0.25">
      <c r="A1732" s="22" t="s">
        <v>1769</v>
      </c>
      <c r="B1732" s="20">
        <f ca="1">INDIRECT(ADDRESS(MATCH(A1732,Raw!$A:$A,0),2,1,1,"Raw"))</f>
        <v>0</v>
      </c>
      <c r="C1732" s="20">
        <f>INDEX(Raw!$C:$C,MATCH(A1732,Raw!$A:$A,0))</f>
        <v>0</v>
      </c>
      <c r="D1732" s="21"/>
    </row>
    <row r="1733" spans="1:4" ht="11.25" customHeight="1" x14ac:dyDescent="0.25">
      <c r="A1733" s="22" t="s">
        <v>1770</v>
      </c>
      <c r="B1733" s="20">
        <f ca="1">INDIRECT(ADDRESS(MATCH(A1733,Raw!$A:$A,0),2,1,1,"Raw"))</f>
        <v>0</v>
      </c>
      <c r="C1733" s="20">
        <f>INDEX(Raw!$C:$C,MATCH(A1733,Raw!$A:$A,0))</f>
        <v>0</v>
      </c>
      <c r="D1733" s="21"/>
    </row>
    <row r="1734" spans="1:4" ht="11.25" customHeight="1" x14ac:dyDescent="0.25">
      <c r="A1734" s="22" t="s">
        <v>1771</v>
      </c>
      <c r="B1734" s="20">
        <f ca="1">INDIRECT(ADDRESS(MATCH(A1734,Raw!$A:$A,0),2,1,1,"Raw"))</f>
        <v>0</v>
      </c>
      <c r="C1734" s="20">
        <f>INDEX(Raw!$C:$C,MATCH(A1734,Raw!$A:$A,0))</f>
        <v>0</v>
      </c>
      <c r="D1734" s="21"/>
    </row>
    <row r="1735" spans="1:4" ht="11.25" customHeight="1" x14ac:dyDescent="0.25">
      <c r="A1735" s="22" t="s">
        <v>1772</v>
      </c>
      <c r="B1735" s="20">
        <f ca="1">INDIRECT(ADDRESS(MATCH(A1735,Raw!$A:$A,0),2,1,1,"Raw"))</f>
        <v>0</v>
      </c>
      <c r="C1735" s="20">
        <f>INDEX(Raw!$C:$C,MATCH(A1735,Raw!$A:$A,0))</f>
        <v>0</v>
      </c>
      <c r="D1735" s="21"/>
    </row>
    <row r="1736" spans="1:4" ht="11.25" customHeight="1" x14ac:dyDescent="0.25">
      <c r="A1736" s="22" t="s">
        <v>1773</v>
      </c>
      <c r="B1736" s="20">
        <f ca="1">INDIRECT(ADDRESS(MATCH(A1736,Raw!$A:$A,0),2,1,1,"Raw"))</f>
        <v>0</v>
      </c>
      <c r="C1736" s="20">
        <f>INDEX(Raw!$C:$C,MATCH(A1736,Raw!$A:$A,0))</f>
        <v>0</v>
      </c>
      <c r="D1736" s="21"/>
    </row>
    <row r="1737" spans="1:4" ht="11.25" customHeight="1" x14ac:dyDescent="0.25">
      <c r="A1737" s="22" t="s">
        <v>1774</v>
      </c>
      <c r="B1737" s="20">
        <f ca="1">INDIRECT(ADDRESS(MATCH(A1737,Raw!$A:$A,0),2,1,1,"Raw"))</f>
        <v>0</v>
      </c>
      <c r="C1737" s="20">
        <f>INDEX(Raw!$C:$C,MATCH(A1737,Raw!$A:$A,0))</f>
        <v>0</v>
      </c>
      <c r="D1737" s="21"/>
    </row>
    <row r="1738" spans="1:4" ht="11.25" customHeight="1" x14ac:dyDescent="0.25">
      <c r="A1738" s="22" t="s">
        <v>1775</v>
      </c>
      <c r="B1738" s="20">
        <f ca="1">INDIRECT(ADDRESS(MATCH(A1738,Raw!$A:$A,0),2,1,1,"Raw"))</f>
        <v>0</v>
      </c>
      <c r="C1738" s="20">
        <f>INDEX(Raw!$C:$C,MATCH(A1738,Raw!$A:$A,0))</f>
        <v>0</v>
      </c>
      <c r="D1738" s="21"/>
    </row>
    <row r="1739" spans="1:4" ht="11.25" customHeight="1" x14ac:dyDescent="0.25">
      <c r="A1739" s="22" t="s">
        <v>1776</v>
      </c>
      <c r="B1739" s="20">
        <f ca="1">INDIRECT(ADDRESS(MATCH(A1739,Raw!$A:$A,0),2,1,1,"Raw"))</f>
        <v>0</v>
      </c>
      <c r="C1739" s="20">
        <f>INDEX(Raw!$C:$C,MATCH(A1739,Raw!$A:$A,0))</f>
        <v>0</v>
      </c>
      <c r="D1739" s="21"/>
    </row>
    <row r="1740" spans="1:4" ht="11.25" customHeight="1" x14ac:dyDescent="0.25">
      <c r="A1740" s="22" t="s">
        <v>1777</v>
      </c>
      <c r="B1740" s="20">
        <f ca="1">INDIRECT(ADDRESS(MATCH(A1740,Raw!$A:$A,0),2,1,1,"Raw"))</f>
        <v>0</v>
      </c>
      <c r="C1740" s="20">
        <f>INDEX(Raw!$C:$C,MATCH(A1740,Raw!$A:$A,0))</f>
        <v>0</v>
      </c>
      <c r="D1740" s="21"/>
    </row>
    <row r="1741" spans="1:4" ht="11.25" customHeight="1" x14ac:dyDescent="0.25">
      <c r="A1741" s="22" t="s">
        <v>1778</v>
      </c>
      <c r="B1741" s="20">
        <f ca="1">INDIRECT(ADDRESS(MATCH(A1741,Raw!$A:$A,0),2,1,1,"Raw"))</f>
        <v>0</v>
      </c>
      <c r="C1741" s="20">
        <f>INDEX(Raw!$C:$C,MATCH(A1741,Raw!$A:$A,0))</f>
        <v>0</v>
      </c>
      <c r="D1741" s="21"/>
    </row>
    <row r="1742" spans="1:4" ht="11.25" customHeight="1" x14ac:dyDescent="0.25">
      <c r="A1742" s="22" t="s">
        <v>1779</v>
      </c>
      <c r="B1742" s="20">
        <f ca="1">INDIRECT(ADDRESS(MATCH(A1742,Raw!$A:$A,0),2,1,1,"Raw"))</f>
        <v>0</v>
      </c>
      <c r="C1742" s="20">
        <f>INDEX(Raw!$C:$C,MATCH(A1742,Raw!$A:$A,0))</f>
        <v>0</v>
      </c>
      <c r="D1742" s="21"/>
    </row>
    <row r="1743" spans="1:4" ht="11.25" customHeight="1" x14ac:dyDescent="0.25">
      <c r="A1743" s="22" t="s">
        <v>1780</v>
      </c>
      <c r="B1743" s="20">
        <f ca="1">INDIRECT(ADDRESS(MATCH(A1743,Raw!$A:$A,0),2,1,1,"Raw"))</f>
        <v>0</v>
      </c>
      <c r="C1743" s="20">
        <f>INDEX(Raw!$C:$C,MATCH(A1743,Raw!$A:$A,0))</f>
        <v>0</v>
      </c>
      <c r="D1743" s="21"/>
    </row>
    <row r="1744" spans="1:4" ht="11.25" customHeight="1" x14ac:dyDescent="0.25">
      <c r="A1744" s="22" t="s">
        <v>1781</v>
      </c>
      <c r="B1744" s="20">
        <f ca="1">INDIRECT(ADDRESS(MATCH(A1744,Raw!$A:$A,0),2,1,1,"Raw"))</f>
        <v>0</v>
      </c>
      <c r="C1744" s="20">
        <f>INDEX(Raw!$C:$C,MATCH(A1744,Raw!$A:$A,0))</f>
        <v>0</v>
      </c>
      <c r="D1744" s="21"/>
    </row>
    <row r="1745" spans="1:4" ht="11.25" customHeight="1" x14ac:dyDescent="0.25">
      <c r="A1745" s="22" t="s">
        <v>1782</v>
      </c>
      <c r="B1745" s="20">
        <f ca="1">INDIRECT(ADDRESS(MATCH(A1745,Raw!$A:$A,0),2,1,1,"Raw"))</f>
        <v>0</v>
      </c>
      <c r="C1745" s="20">
        <f>INDEX(Raw!$C:$C,MATCH(A1745,Raw!$A:$A,0))</f>
        <v>0</v>
      </c>
      <c r="D1745" s="21"/>
    </row>
    <row r="1746" spans="1:4" ht="11.25" customHeight="1" x14ac:dyDescent="0.25">
      <c r="A1746" s="22" t="s">
        <v>1783</v>
      </c>
      <c r="B1746" s="20">
        <f ca="1">INDIRECT(ADDRESS(MATCH(A1746,Raw!$A:$A,0),2,1,1,"Raw"))</f>
        <v>0</v>
      </c>
      <c r="C1746" s="20">
        <f>INDEX(Raw!$C:$C,MATCH(A1746,Raw!$A:$A,0))</f>
        <v>0</v>
      </c>
      <c r="D1746" s="21"/>
    </row>
    <row r="1747" spans="1:4" ht="11.25" customHeight="1" x14ac:dyDescent="0.25">
      <c r="A1747" s="22" t="s">
        <v>1784</v>
      </c>
      <c r="B1747" s="20">
        <f ca="1">INDIRECT(ADDRESS(MATCH(A1747,Raw!$A:$A,0),2,1,1,"Raw"))</f>
        <v>0</v>
      </c>
      <c r="C1747" s="20">
        <f>INDEX(Raw!$C:$C,MATCH(A1747,Raw!$A:$A,0))</f>
        <v>0</v>
      </c>
      <c r="D1747" s="21"/>
    </row>
    <row r="1748" spans="1:4" ht="11.25" customHeight="1" x14ac:dyDescent="0.25">
      <c r="A1748" s="22" t="s">
        <v>1785</v>
      </c>
      <c r="B1748" s="20">
        <f ca="1">INDIRECT(ADDRESS(MATCH(A1748,Raw!$A:$A,0),2,1,1,"Raw"))</f>
        <v>0</v>
      </c>
      <c r="C1748" s="20">
        <f>INDEX(Raw!$C:$C,MATCH(A1748,Raw!$A:$A,0))</f>
        <v>0</v>
      </c>
      <c r="D1748" s="21"/>
    </row>
    <row r="1749" spans="1:4" ht="11.25" customHeight="1" x14ac:dyDescent="0.25">
      <c r="A1749" s="22" t="s">
        <v>1786</v>
      </c>
      <c r="B1749" s="20">
        <f ca="1">INDIRECT(ADDRESS(MATCH(A1749,Raw!$A:$A,0),2,1,1,"Raw"))</f>
        <v>0</v>
      </c>
      <c r="C1749" s="20">
        <f>INDEX(Raw!$C:$C,MATCH(A1749,Raw!$A:$A,0))</f>
        <v>0</v>
      </c>
      <c r="D1749" s="21"/>
    </row>
    <row r="1750" spans="1:4" ht="11.25" customHeight="1" x14ac:dyDescent="0.25">
      <c r="A1750" s="22" t="s">
        <v>1787</v>
      </c>
      <c r="B1750" s="20">
        <f ca="1">INDIRECT(ADDRESS(MATCH(A1750,Raw!$A:$A,0),2,1,1,"Raw"))</f>
        <v>0</v>
      </c>
      <c r="C1750" s="20">
        <f>INDEX(Raw!$C:$C,MATCH(A1750,Raw!$A:$A,0))</f>
        <v>0</v>
      </c>
      <c r="D1750" s="21"/>
    </row>
    <row r="1751" spans="1:4" ht="11.25" customHeight="1" x14ac:dyDescent="0.25">
      <c r="A1751" s="22" t="s">
        <v>1788</v>
      </c>
      <c r="B1751" s="20">
        <f ca="1">INDIRECT(ADDRESS(MATCH(A1751,Raw!$A:$A,0),2,1,1,"Raw"))</f>
        <v>0</v>
      </c>
      <c r="C1751" s="20">
        <f>INDEX(Raw!$C:$C,MATCH(A1751,Raw!$A:$A,0))</f>
        <v>0</v>
      </c>
      <c r="D1751" s="21"/>
    </row>
    <row r="1752" spans="1:4" ht="11.25" customHeight="1" x14ac:dyDescent="0.25">
      <c r="A1752" s="22" t="s">
        <v>1789</v>
      </c>
      <c r="B1752" s="20">
        <f ca="1">INDIRECT(ADDRESS(MATCH(A1752,Raw!$A:$A,0),2,1,1,"Raw"))</f>
        <v>0</v>
      </c>
      <c r="C1752" s="20">
        <f>INDEX(Raw!$C:$C,MATCH(A1752,Raw!$A:$A,0))</f>
        <v>0</v>
      </c>
      <c r="D1752" s="21"/>
    </row>
    <row r="1753" spans="1:4" ht="11.25" customHeight="1" x14ac:dyDescent="0.25">
      <c r="A1753" s="22" t="s">
        <v>1790</v>
      </c>
      <c r="B1753" s="20">
        <f ca="1">INDIRECT(ADDRESS(MATCH(A1753,Raw!$A:$A,0),2,1,1,"Raw"))</f>
        <v>0</v>
      </c>
      <c r="C1753" s="20">
        <f>INDEX(Raw!$C:$C,MATCH(A1753,Raw!$A:$A,0))</f>
        <v>0</v>
      </c>
      <c r="D1753" s="21"/>
    </row>
    <row r="1754" spans="1:4" ht="11.25" customHeight="1" x14ac:dyDescent="0.25">
      <c r="A1754" s="22" t="s">
        <v>1791</v>
      </c>
      <c r="B1754" s="20">
        <f ca="1">INDIRECT(ADDRESS(MATCH(A1754,Raw!$A:$A,0),2,1,1,"Raw"))</f>
        <v>0</v>
      </c>
      <c r="C1754" s="20">
        <f>INDEX(Raw!$C:$C,MATCH(A1754,Raw!$A:$A,0))</f>
        <v>0</v>
      </c>
      <c r="D1754" s="21"/>
    </row>
    <row r="1755" spans="1:4" ht="11.25" customHeight="1" x14ac:dyDescent="0.25">
      <c r="A1755" s="22" t="s">
        <v>1792</v>
      </c>
      <c r="B1755" s="20">
        <f ca="1">INDIRECT(ADDRESS(MATCH(A1755,Raw!$A:$A,0),2,1,1,"Raw"))</f>
        <v>0</v>
      </c>
      <c r="C1755" s="20">
        <f>INDEX(Raw!$C:$C,MATCH(A1755,Raw!$A:$A,0))</f>
        <v>0</v>
      </c>
      <c r="D1755" s="21"/>
    </row>
    <row r="1756" spans="1:4" ht="11.25" customHeight="1" x14ac:dyDescent="0.25">
      <c r="A1756" s="22" t="s">
        <v>1793</v>
      </c>
      <c r="B1756" s="20">
        <f ca="1">INDIRECT(ADDRESS(MATCH(A1756,Raw!$A:$A,0),2,1,1,"Raw"))</f>
        <v>0</v>
      </c>
      <c r="C1756" s="20">
        <f>INDEX(Raw!$C:$C,MATCH(A1756,Raw!$A:$A,0))</f>
        <v>0</v>
      </c>
      <c r="D1756" s="21"/>
    </row>
    <row r="1757" spans="1:4" ht="11.25" customHeight="1" x14ac:dyDescent="0.25">
      <c r="A1757" s="22" t="s">
        <v>1794</v>
      </c>
      <c r="B1757" s="20">
        <f ca="1">INDIRECT(ADDRESS(MATCH(A1757,Raw!$A:$A,0),2,1,1,"Raw"))</f>
        <v>0</v>
      </c>
      <c r="C1757" s="20">
        <f>INDEX(Raw!$C:$C,MATCH(A1757,Raw!$A:$A,0))</f>
        <v>0</v>
      </c>
      <c r="D1757" s="21"/>
    </row>
    <row r="1758" spans="1:4" ht="11.25" customHeight="1" x14ac:dyDescent="0.25">
      <c r="A1758" s="22" t="s">
        <v>1795</v>
      </c>
      <c r="B1758" s="20">
        <f ca="1">INDIRECT(ADDRESS(MATCH(A1758,Raw!$A:$A,0),2,1,1,"Raw"))</f>
        <v>0</v>
      </c>
      <c r="C1758" s="20">
        <f>INDEX(Raw!$C:$C,MATCH(A1758,Raw!$A:$A,0))</f>
        <v>0</v>
      </c>
      <c r="D1758" s="21"/>
    </row>
    <row r="1759" spans="1:4" ht="11.25" customHeight="1" x14ac:dyDescent="0.25">
      <c r="A1759" s="22" t="s">
        <v>1796</v>
      </c>
      <c r="B1759" s="20">
        <f ca="1">INDIRECT(ADDRESS(MATCH(A1759,Raw!$A:$A,0),2,1,1,"Raw"))</f>
        <v>0</v>
      </c>
      <c r="C1759" s="20">
        <f>INDEX(Raw!$C:$C,MATCH(A1759,Raw!$A:$A,0))</f>
        <v>0</v>
      </c>
      <c r="D1759" s="21"/>
    </row>
    <row r="1760" spans="1:4" ht="11.25" customHeight="1" x14ac:dyDescent="0.25">
      <c r="A1760" s="22" t="s">
        <v>1797</v>
      </c>
      <c r="B1760" s="20">
        <f ca="1">INDIRECT(ADDRESS(MATCH(A1760,Raw!$A:$A,0),2,1,1,"Raw"))</f>
        <v>0</v>
      </c>
      <c r="C1760" s="20">
        <f>INDEX(Raw!$C:$C,MATCH(A1760,Raw!$A:$A,0))</f>
        <v>0</v>
      </c>
      <c r="D1760" s="21"/>
    </row>
    <row r="1761" spans="1:4" ht="11.25" customHeight="1" x14ac:dyDescent="0.25">
      <c r="A1761" s="22" t="s">
        <v>1798</v>
      </c>
      <c r="B1761" s="20">
        <f ca="1">INDIRECT(ADDRESS(MATCH(A1761,Raw!$A:$A,0),2,1,1,"Raw"))</f>
        <v>0</v>
      </c>
      <c r="C1761" s="20">
        <f>INDEX(Raw!$C:$C,MATCH(A1761,Raw!$A:$A,0))</f>
        <v>0</v>
      </c>
      <c r="D1761" s="21"/>
    </row>
    <row r="1762" spans="1:4" ht="11.25" customHeight="1" x14ac:dyDescent="0.25">
      <c r="A1762" s="22" t="s">
        <v>1799</v>
      </c>
      <c r="B1762" s="20">
        <f ca="1">INDIRECT(ADDRESS(MATCH(A1762,Raw!$A:$A,0),2,1,1,"Raw"))</f>
        <v>0</v>
      </c>
      <c r="C1762" s="20">
        <f>INDEX(Raw!$C:$C,MATCH(A1762,Raw!$A:$A,0))</f>
        <v>0</v>
      </c>
      <c r="D1762" s="21"/>
    </row>
    <row r="1763" spans="1:4" ht="11.25" customHeight="1" x14ac:dyDescent="0.25">
      <c r="A1763" s="22" t="s">
        <v>1800</v>
      </c>
      <c r="B1763" s="20">
        <f ca="1">INDIRECT(ADDRESS(MATCH(A1763,Raw!$A:$A,0),2,1,1,"Raw"))</f>
        <v>0</v>
      </c>
      <c r="C1763" s="20">
        <f>INDEX(Raw!$C:$C,MATCH(A1763,Raw!$A:$A,0))</f>
        <v>0</v>
      </c>
      <c r="D1763" s="21"/>
    </row>
    <row r="1764" spans="1:4" ht="11.25" customHeight="1" x14ac:dyDescent="0.25">
      <c r="A1764" s="22" t="s">
        <v>1801</v>
      </c>
      <c r="B1764" s="20">
        <f ca="1">INDIRECT(ADDRESS(MATCH(A1764,Raw!$A:$A,0),2,1,1,"Raw"))</f>
        <v>0</v>
      </c>
      <c r="C1764" s="20">
        <f>INDEX(Raw!$C:$C,MATCH(A1764,Raw!$A:$A,0))</f>
        <v>0</v>
      </c>
      <c r="D1764" s="21"/>
    </row>
    <row r="1765" spans="1:4" ht="11.25" customHeight="1" x14ac:dyDescent="0.25">
      <c r="A1765" s="22" t="s">
        <v>1802</v>
      </c>
      <c r="B1765" s="20">
        <f ca="1">INDIRECT(ADDRESS(MATCH(A1765,Raw!$A:$A,0),2,1,1,"Raw"))</f>
        <v>0</v>
      </c>
      <c r="C1765" s="20">
        <f>INDEX(Raw!$C:$C,MATCH(A1765,Raw!$A:$A,0))</f>
        <v>0</v>
      </c>
      <c r="D1765" s="21"/>
    </row>
    <row r="1766" spans="1:4" ht="11.25" customHeight="1" x14ac:dyDescent="0.25">
      <c r="A1766" s="22" t="s">
        <v>1803</v>
      </c>
      <c r="B1766" s="20">
        <f ca="1">INDIRECT(ADDRESS(MATCH(A1766,Raw!$A:$A,0),2,1,1,"Raw"))</f>
        <v>0</v>
      </c>
      <c r="C1766" s="20">
        <f>INDEX(Raw!$C:$C,MATCH(A1766,Raw!$A:$A,0))</f>
        <v>0</v>
      </c>
      <c r="D1766" s="21"/>
    </row>
    <row r="1767" spans="1:4" ht="11.25" customHeight="1" x14ac:dyDescent="0.25">
      <c r="A1767" s="22" t="s">
        <v>1804</v>
      </c>
      <c r="B1767" s="20">
        <f ca="1">INDIRECT(ADDRESS(MATCH(A1767,Raw!$A:$A,0),2,1,1,"Raw"))</f>
        <v>0</v>
      </c>
      <c r="C1767" s="20">
        <f>INDEX(Raw!$C:$C,MATCH(A1767,Raw!$A:$A,0))</f>
        <v>0</v>
      </c>
      <c r="D1767" s="21"/>
    </row>
    <row r="1768" spans="1:4" ht="11.25" customHeight="1" x14ac:dyDescent="0.25">
      <c r="A1768" s="22" t="s">
        <v>1805</v>
      </c>
      <c r="B1768" s="20">
        <f ca="1">INDIRECT(ADDRESS(MATCH(A1768,Raw!$A:$A,0),2,1,1,"Raw"))</f>
        <v>0</v>
      </c>
      <c r="C1768" s="20">
        <f>INDEX(Raw!$C:$C,MATCH(A1768,Raw!$A:$A,0))</f>
        <v>0</v>
      </c>
      <c r="D1768" s="21"/>
    </row>
    <row r="1769" spans="1:4" ht="11.25" customHeight="1" x14ac:dyDescent="0.25">
      <c r="A1769" s="22" t="s">
        <v>1806</v>
      </c>
      <c r="B1769" s="20">
        <f ca="1">INDIRECT(ADDRESS(MATCH(A1769,Raw!$A:$A,0),2,1,1,"Raw"))</f>
        <v>0</v>
      </c>
      <c r="C1769" s="20">
        <f>INDEX(Raw!$C:$C,MATCH(A1769,Raw!$A:$A,0))</f>
        <v>0</v>
      </c>
      <c r="D1769" s="21"/>
    </row>
    <row r="1770" spans="1:4" ht="11.25" customHeight="1" x14ac:dyDescent="0.25">
      <c r="A1770" s="22" t="s">
        <v>1807</v>
      </c>
      <c r="B1770" s="20">
        <f ca="1">INDIRECT(ADDRESS(MATCH(A1770,Raw!$A:$A,0),2,1,1,"Raw"))</f>
        <v>0</v>
      </c>
      <c r="C1770" s="20">
        <f>INDEX(Raw!$C:$C,MATCH(A1770,Raw!$A:$A,0))</f>
        <v>0</v>
      </c>
      <c r="D1770" s="21"/>
    </row>
    <row r="1771" spans="1:4" ht="11.25" customHeight="1" x14ac:dyDescent="0.25">
      <c r="A1771" s="22" t="s">
        <v>1808</v>
      </c>
      <c r="B1771" s="20">
        <f ca="1">INDIRECT(ADDRESS(MATCH(A1771,Raw!$A:$A,0),2,1,1,"Raw"))</f>
        <v>0</v>
      </c>
      <c r="C1771" s="20">
        <f>INDEX(Raw!$C:$C,MATCH(A1771,Raw!$A:$A,0))</f>
        <v>0</v>
      </c>
      <c r="D1771" s="21"/>
    </row>
    <row r="1772" spans="1:4" ht="11.25" customHeight="1" x14ac:dyDescent="0.25">
      <c r="A1772" s="22" t="s">
        <v>1809</v>
      </c>
      <c r="B1772" s="20">
        <f ca="1">INDIRECT(ADDRESS(MATCH(A1772,Raw!$A:$A,0),2,1,1,"Raw"))</f>
        <v>0</v>
      </c>
      <c r="C1772" s="20">
        <f>INDEX(Raw!$C:$C,MATCH(A1772,Raw!$A:$A,0))</f>
        <v>0</v>
      </c>
      <c r="D1772" s="21"/>
    </row>
    <row r="1773" spans="1:4" ht="11.25" customHeight="1" x14ac:dyDescent="0.25">
      <c r="A1773" s="22" t="s">
        <v>1810</v>
      </c>
      <c r="B1773" s="20">
        <f ca="1">INDIRECT(ADDRESS(MATCH(A1773,Raw!$A:$A,0),2,1,1,"Raw"))</f>
        <v>0</v>
      </c>
      <c r="C1773" s="20">
        <f>INDEX(Raw!$C:$C,MATCH(A1773,Raw!$A:$A,0))</f>
        <v>0</v>
      </c>
      <c r="D1773" s="21"/>
    </row>
    <row r="1774" spans="1:4" ht="11.25" customHeight="1" x14ac:dyDescent="0.25">
      <c r="A1774" s="22" t="s">
        <v>1811</v>
      </c>
      <c r="B1774" s="20">
        <f ca="1">INDIRECT(ADDRESS(MATCH(A1774,Raw!$A:$A,0),2,1,1,"Raw"))</f>
        <v>0</v>
      </c>
      <c r="C1774" s="20">
        <f>INDEX(Raw!$C:$C,MATCH(A1774,Raw!$A:$A,0))</f>
        <v>0</v>
      </c>
      <c r="D1774" s="21"/>
    </row>
    <row r="1775" spans="1:4" ht="11.25" customHeight="1" x14ac:dyDescent="0.25">
      <c r="A1775" s="22" t="s">
        <v>1812</v>
      </c>
      <c r="B1775" s="20">
        <f ca="1">INDIRECT(ADDRESS(MATCH(A1775,Raw!$A:$A,0),2,1,1,"Raw"))</f>
        <v>0</v>
      </c>
      <c r="C1775" s="20">
        <f>INDEX(Raw!$C:$C,MATCH(A1775,Raw!$A:$A,0))</f>
        <v>0</v>
      </c>
      <c r="D1775" s="21"/>
    </row>
    <row r="1776" spans="1:4" ht="11.25" customHeight="1" x14ac:dyDescent="0.25">
      <c r="A1776" s="22" t="s">
        <v>1813</v>
      </c>
      <c r="B1776" s="20">
        <f ca="1">INDIRECT(ADDRESS(MATCH(A1776,Raw!$A:$A,0),2,1,1,"Raw"))</f>
        <v>0</v>
      </c>
      <c r="C1776" s="20">
        <f>INDEX(Raw!$C:$C,MATCH(A1776,Raw!$A:$A,0))</f>
        <v>0</v>
      </c>
      <c r="D1776" s="21"/>
    </row>
    <row r="1777" spans="1:4" ht="11.25" customHeight="1" x14ac:dyDescent="0.25">
      <c r="A1777" s="22" t="s">
        <v>1814</v>
      </c>
      <c r="B1777" s="20">
        <f ca="1">INDIRECT(ADDRESS(MATCH(A1777,Raw!$A:$A,0),2,1,1,"Raw"))</f>
        <v>0</v>
      </c>
      <c r="C1777" s="20">
        <f>INDEX(Raw!$C:$C,MATCH(A1777,Raw!$A:$A,0))</f>
        <v>0</v>
      </c>
      <c r="D1777" s="21"/>
    </row>
    <row r="1778" spans="1:4" ht="11.25" customHeight="1" x14ac:dyDescent="0.25">
      <c r="A1778" s="22" t="s">
        <v>1815</v>
      </c>
      <c r="B1778" s="20">
        <f ca="1">INDIRECT(ADDRESS(MATCH(A1778,Raw!$A:$A,0),2,1,1,"Raw"))</f>
        <v>0</v>
      </c>
      <c r="C1778" s="20">
        <f>INDEX(Raw!$C:$C,MATCH(A1778,Raw!$A:$A,0))</f>
        <v>0</v>
      </c>
      <c r="D1778" s="21"/>
    </row>
    <row r="1779" spans="1:4" ht="11.25" customHeight="1" x14ac:dyDescent="0.25">
      <c r="A1779" s="22" t="s">
        <v>1816</v>
      </c>
      <c r="B1779" s="20">
        <f ca="1">INDIRECT(ADDRESS(MATCH(A1779,Raw!$A:$A,0),2,1,1,"Raw"))</f>
        <v>0</v>
      </c>
      <c r="C1779" s="20">
        <f>INDEX(Raw!$C:$C,MATCH(A1779,Raw!$A:$A,0))</f>
        <v>0</v>
      </c>
      <c r="D1779" s="21"/>
    </row>
    <row r="1780" spans="1:4" ht="11.25" customHeight="1" x14ac:dyDescent="0.25">
      <c r="A1780" s="22" t="s">
        <v>1817</v>
      </c>
      <c r="B1780" s="20">
        <f ca="1">INDIRECT(ADDRESS(MATCH(A1780,Raw!$A:$A,0),2,1,1,"Raw"))</f>
        <v>0</v>
      </c>
      <c r="C1780" s="20">
        <f>INDEX(Raw!$C:$C,MATCH(A1780,Raw!$A:$A,0))</f>
        <v>0</v>
      </c>
      <c r="D1780" s="21"/>
    </row>
    <row r="1781" spans="1:4" ht="11.25" customHeight="1" x14ac:dyDescent="0.25">
      <c r="A1781" s="22" t="s">
        <v>1818</v>
      </c>
      <c r="B1781" s="20">
        <f ca="1">INDIRECT(ADDRESS(MATCH(A1781,Raw!$A:$A,0),2,1,1,"Raw"))</f>
        <v>0</v>
      </c>
      <c r="C1781" s="20">
        <f>INDEX(Raw!$C:$C,MATCH(A1781,Raw!$A:$A,0))</f>
        <v>0</v>
      </c>
      <c r="D1781" s="21"/>
    </row>
    <row r="1782" spans="1:4" ht="11.25" customHeight="1" x14ac:dyDescent="0.25">
      <c r="A1782" s="22" t="s">
        <v>1819</v>
      </c>
      <c r="B1782" s="20">
        <f ca="1">INDIRECT(ADDRESS(MATCH(A1782,Raw!$A:$A,0),2,1,1,"Raw"))</f>
        <v>0</v>
      </c>
      <c r="C1782" s="20">
        <f>INDEX(Raw!$C:$C,MATCH(A1782,Raw!$A:$A,0))</f>
        <v>0</v>
      </c>
      <c r="D1782" s="21"/>
    </row>
    <row r="1783" spans="1:4" ht="11.25" customHeight="1" x14ac:dyDescent="0.25">
      <c r="A1783" s="22" t="s">
        <v>1820</v>
      </c>
      <c r="B1783" s="20">
        <f ca="1">INDIRECT(ADDRESS(MATCH(A1783,Raw!$A:$A,0),2,1,1,"Raw"))</f>
        <v>0</v>
      </c>
      <c r="C1783" s="20">
        <f>INDEX(Raw!$C:$C,MATCH(A1783,Raw!$A:$A,0))</f>
        <v>0</v>
      </c>
      <c r="D1783" s="21"/>
    </row>
    <row r="1784" spans="1:4" ht="11.25" customHeight="1" x14ac:dyDescent="0.25">
      <c r="A1784" s="22" t="s">
        <v>1821</v>
      </c>
      <c r="B1784" s="20">
        <f ca="1">INDIRECT(ADDRESS(MATCH(A1784,Raw!$A:$A,0),2,1,1,"Raw"))</f>
        <v>0</v>
      </c>
      <c r="C1784" s="20">
        <f>INDEX(Raw!$C:$C,MATCH(A1784,Raw!$A:$A,0))</f>
        <v>0</v>
      </c>
      <c r="D1784" s="21"/>
    </row>
    <row r="1785" spans="1:4" ht="11.25" customHeight="1" x14ac:dyDescent="0.25">
      <c r="A1785" s="22" t="s">
        <v>1822</v>
      </c>
      <c r="B1785" s="20">
        <f ca="1">INDIRECT(ADDRESS(MATCH(A1785,Raw!$A:$A,0),2,1,1,"Raw"))</f>
        <v>0</v>
      </c>
      <c r="C1785" s="20">
        <f>INDEX(Raw!$C:$C,MATCH(A1785,Raw!$A:$A,0))</f>
        <v>0</v>
      </c>
      <c r="D1785" s="21"/>
    </row>
    <row r="1786" spans="1:4" ht="11.25" customHeight="1" x14ac:dyDescent="0.25">
      <c r="A1786" s="22" t="s">
        <v>1823</v>
      </c>
      <c r="B1786" s="20">
        <f ca="1">INDIRECT(ADDRESS(MATCH(A1786,Raw!$A:$A,0),2,1,1,"Raw"))</f>
        <v>0</v>
      </c>
      <c r="C1786" s="20">
        <f>INDEX(Raw!$C:$C,MATCH(A1786,Raw!$A:$A,0))</f>
        <v>0</v>
      </c>
      <c r="D1786" s="21"/>
    </row>
    <row r="1787" spans="1:4" ht="11.25" customHeight="1" x14ac:dyDescent="0.25">
      <c r="A1787" s="22" t="s">
        <v>1824</v>
      </c>
      <c r="B1787" s="20">
        <f ca="1">INDIRECT(ADDRESS(MATCH(A1787,Raw!$A:$A,0),2,1,1,"Raw"))</f>
        <v>0</v>
      </c>
      <c r="C1787" s="20">
        <f>INDEX(Raw!$C:$C,MATCH(A1787,Raw!$A:$A,0))</f>
        <v>0</v>
      </c>
      <c r="D1787" s="21"/>
    </row>
    <row r="1788" spans="1:4" ht="11.25" customHeight="1" x14ac:dyDescent="0.25">
      <c r="A1788" s="22" t="s">
        <v>1825</v>
      </c>
      <c r="B1788" s="20">
        <f ca="1">INDIRECT(ADDRESS(MATCH(A1788,Raw!$A:$A,0),2,1,1,"Raw"))</f>
        <v>0</v>
      </c>
      <c r="C1788" s="20">
        <f>INDEX(Raw!$C:$C,MATCH(A1788,Raw!$A:$A,0))</f>
        <v>0</v>
      </c>
      <c r="D1788" s="21"/>
    </row>
    <row r="1789" spans="1:4" ht="11.25" customHeight="1" x14ac:dyDescent="0.25">
      <c r="A1789" s="22" t="s">
        <v>1826</v>
      </c>
      <c r="B1789" s="20">
        <f ca="1">INDIRECT(ADDRESS(MATCH(A1789,Raw!$A:$A,0),2,1,1,"Raw"))</f>
        <v>0</v>
      </c>
      <c r="C1789" s="20">
        <f>INDEX(Raw!$C:$C,MATCH(A1789,Raw!$A:$A,0))</f>
        <v>0</v>
      </c>
      <c r="D1789" s="21"/>
    </row>
    <row r="1790" spans="1:4" ht="11.25" customHeight="1" x14ac:dyDescent="0.25">
      <c r="A1790" s="22" t="s">
        <v>1827</v>
      </c>
      <c r="B1790" s="20">
        <f ca="1">INDIRECT(ADDRESS(MATCH(A1790,Raw!$A:$A,0),2,1,1,"Raw"))</f>
        <v>0</v>
      </c>
      <c r="C1790" s="20">
        <f>INDEX(Raw!$C:$C,MATCH(A1790,Raw!$A:$A,0))</f>
        <v>0</v>
      </c>
      <c r="D1790" s="21"/>
    </row>
    <row r="1791" spans="1:4" ht="11.25" customHeight="1" x14ac:dyDescent="0.25">
      <c r="A1791" s="22" t="s">
        <v>1828</v>
      </c>
      <c r="B1791" s="20">
        <f ca="1">INDIRECT(ADDRESS(MATCH(A1791,Raw!$A:$A,0),2,1,1,"Raw"))</f>
        <v>0</v>
      </c>
      <c r="C1791" s="20">
        <f>INDEX(Raw!$C:$C,MATCH(A1791,Raw!$A:$A,0))</f>
        <v>0</v>
      </c>
      <c r="D1791" s="21"/>
    </row>
    <row r="1792" spans="1:4" ht="11.25" customHeight="1" x14ac:dyDescent="0.25">
      <c r="A1792" s="22" t="s">
        <v>1829</v>
      </c>
      <c r="B1792" s="20">
        <f ca="1">INDIRECT(ADDRESS(MATCH(A1792,Raw!$A:$A,0),2,1,1,"Raw"))</f>
        <v>0</v>
      </c>
      <c r="C1792" s="20">
        <f>INDEX(Raw!$C:$C,MATCH(A1792,Raw!$A:$A,0))</f>
        <v>0</v>
      </c>
      <c r="D1792" s="21"/>
    </row>
    <row r="1793" spans="1:4" ht="11.25" customHeight="1" x14ac:dyDescent="0.25">
      <c r="A1793" s="22" t="s">
        <v>1830</v>
      </c>
      <c r="B1793" s="20">
        <f ca="1">INDIRECT(ADDRESS(MATCH(A1793,Raw!$A:$A,0),2,1,1,"Raw"))</f>
        <v>0</v>
      </c>
      <c r="C1793" s="20">
        <f>INDEX(Raw!$C:$C,MATCH(A1793,Raw!$A:$A,0))</f>
        <v>0</v>
      </c>
      <c r="D1793" s="21"/>
    </row>
    <row r="1794" spans="1:4" ht="11.25" customHeight="1" x14ac:dyDescent="0.25">
      <c r="A1794" s="22" t="s">
        <v>1831</v>
      </c>
      <c r="B1794" s="20">
        <f ca="1">INDIRECT(ADDRESS(MATCH(A1794,Raw!$A:$A,0),2,1,1,"Raw"))</f>
        <v>0</v>
      </c>
      <c r="C1794" s="20">
        <f>INDEX(Raw!$C:$C,MATCH(A1794,Raw!$A:$A,0))</f>
        <v>0</v>
      </c>
      <c r="D1794" s="21"/>
    </row>
    <row r="1795" spans="1:4" ht="11.25" customHeight="1" x14ac:dyDescent="0.25">
      <c r="A1795" s="22" t="s">
        <v>1832</v>
      </c>
      <c r="B1795" s="20">
        <f ca="1">INDIRECT(ADDRESS(MATCH(A1795,Raw!$A:$A,0),2,1,1,"Raw"))</f>
        <v>0</v>
      </c>
      <c r="C1795" s="20">
        <f>INDEX(Raw!$C:$C,MATCH(A1795,Raw!$A:$A,0))</f>
        <v>0</v>
      </c>
      <c r="D1795" s="21"/>
    </row>
    <row r="1796" spans="1:4" ht="11.25" customHeight="1" x14ac:dyDescent="0.25">
      <c r="A1796" s="22" t="s">
        <v>1833</v>
      </c>
      <c r="B1796" s="20">
        <f ca="1">INDIRECT(ADDRESS(MATCH(A1796,Raw!$A:$A,0),2,1,1,"Raw"))</f>
        <v>0</v>
      </c>
      <c r="C1796" s="20">
        <f>INDEX(Raw!$C:$C,MATCH(A1796,Raw!$A:$A,0))</f>
        <v>0</v>
      </c>
      <c r="D1796" s="21"/>
    </row>
    <row r="1797" spans="1:4" ht="11.25" customHeight="1" x14ac:dyDescent="0.25">
      <c r="A1797" s="22" t="s">
        <v>1834</v>
      </c>
      <c r="B1797" s="20">
        <f ca="1">INDIRECT(ADDRESS(MATCH(A1797,Raw!$A:$A,0),2,1,1,"Raw"))</f>
        <v>0</v>
      </c>
      <c r="C1797" s="20">
        <f>INDEX(Raw!$C:$C,MATCH(A1797,Raw!$A:$A,0))</f>
        <v>0</v>
      </c>
      <c r="D1797" s="21"/>
    </row>
    <row r="1798" spans="1:4" ht="11.25" customHeight="1" x14ac:dyDescent="0.25">
      <c r="A1798" s="22" t="s">
        <v>1835</v>
      </c>
      <c r="B1798" s="20">
        <f ca="1">INDIRECT(ADDRESS(MATCH(A1798,Raw!$A:$A,0),2,1,1,"Raw"))</f>
        <v>0</v>
      </c>
      <c r="C1798" s="20">
        <f>INDEX(Raw!$C:$C,MATCH(A1798,Raw!$A:$A,0))</f>
        <v>0</v>
      </c>
      <c r="D1798" s="21"/>
    </row>
    <row r="1799" spans="1:4" ht="11.25" customHeight="1" x14ac:dyDescent="0.25">
      <c r="A1799" s="22" t="s">
        <v>1836</v>
      </c>
      <c r="B1799" s="20">
        <f ca="1">INDIRECT(ADDRESS(MATCH(A1799,Raw!$A:$A,0),2,1,1,"Raw"))</f>
        <v>0</v>
      </c>
      <c r="C1799" s="20">
        <f>INDEX(Raw!$C:$C,MATCH(A1799,Raw!$A:$A,0))</f>
        <v>0</v>
      </c>
      <c r="D1799" s="21"/>
    </row>
    <row r="1800" spans="1:4" ht="11.25" customHeight="1" x14ac:dyDescent="0.25">
      <c r="A1800" s="22" t="s">
        <v>1837</v>
      </c>
      <c r="B1800" s="20">
        <f ca="1">INDIRECT(ADDRESS(MATCH(A1800,Raw!$A:$A,0),2,1,1,"Raw"))</f>
        <v>0</v>
      </c>
      <c r="C1800" s="20">
        <f>INDEX(Raw!$C:$C,MATCH(A1800,Raw!$A:$A,0))</f>
        <v>0</v>
      </c>
      <c r="D1800" s="21"/>
    </row>
    <row r="1801" spans="1:4" ht="11.25" customHeight="1" x14ac:dyDescent="0.25">
      <c r="A1801" s="22" t="s">
        <v>1838</v>
      </c>
      <c r="B1801" s="20">
        <f ca="1">INDIRECT(ADDRESS(MATCH(A1801,Raw!$A:$A,0),2,1,1,"Raw"))</f>
        <v>0</v>
      </c>
      <c r="C1801" s="20">
        <f>INDEX(Raw!$C:$C,MATCH(A1801,Raw!$A:$A,0))</f>
        <v>0</v>
      </c>
      <c r="D1801" s="21"/>
    </row>
    <row r="1802" spans="1:4" ht="11.25" customHeight="1" x14ac:dyDescent="0.25">
      <c r="A1802" s="22" t="s">
        <v>1839</v>
      </c>
      <c r="B1802" s="20">
        <f ca="1">INDIRECT(ADDRESS(MATCH(A1802,Raw!$A:$A,0),2,1,1,"Raw"))</f>
        <v>0</v>
      </c>
      <c r="C1802" s="20">
        <f>INDEX(Raw!$C:$C,MATCH(A1802,Raw!$A:$A,0))</f>
        <v>0</v>
      </c>
      <c r="D1802" s="21"/>
    </row>
    <row r="1803" spans="1:4" ht="11.25" customHeight="1" x14ac:dyDescent="0.25">
      <c r="A1803" s="22" t="s">
        <v>1840</v>
      </c>
      <c r="B1803" s="20">
        <f ca="1">INDIRECT(ADDRESS(MATCH(A1803,Raw!$A:$A,0),2,1,1,"Raw"))</f>
        <v>0</v>
      </c>
      <c r="C1803" s="20">
        <f>INDEX(Raw!$C:$C,MATCH(A1803,Raw!$A:$A,0))</f>
        <v>0</v>
      </c>
      <c r="D1803" s="21"/>
    </row>
    <row r="1804" spans="1:4" ht="11.25" customHeight="1" x14ac:dyDescent="0.25">
      <c r="A1804" s="22" t="s">
        <v>1841</v>
      </c>
      <c r="B1804" s="20">
        <f ca="1">INDIRECT(ADDRESS(MATCH(A1804,Raw!$A:$A,0),2,1,1,"Raw"))</f>
        <v>0</v>
      </c>
      <c r="C1804" s="20">
        <f>INDEX(Raw!$C:$C,MATCH(A1804,Raw!$A:$A,0))</f>
        <v>0</v>
      </c>
      <c r="D1804" s="21"/>
    </row>
    <row r="1805" spans="1:4" ht="11.25" customHeight="1" x14ac:dyDescent="0.25">
      <c r="A1805" s="22" t="s">
        <v>1842</v>
      </c>
      <c r="B1805" s="20">
        <f ca="1">INDIRECT(ADDRESS(MATCH(A1805,Raw!$A:$A,0),2,1,1,"Raw"))</f>
        <v>0</v>
      </c>
      <c r="C1805" s="20">
        <f>INDEX(Raw!$C:$C,MATCH(A1805,Raw!$A:$A,0))</f>
        <v>0</v>
      </c>
      <c r="D1805" s="21"/>
    </row>
    <row r="1806" spans="1:4" ht="11.25" customHeight="1" x14ac:dyDescent="0.25">
      <c r="A1806" s="22" t="s">
        <v>1843</v>
      </c>
      <c r="B1806" s="20">
        <f ca="1">INDIRECT(ADDRESS(MATCH(A1806,Raw!$A:$A,0),2,1,1,"Raw"))</f>
        <v>0</v>
      </c>
      <c r="C1806" s="20">
        <f>INDEX(Raw!$C:$C,MATCH(A1806,Raw!$A:$A,0))</f>
        <v>0</v>
      </c>
      <c r="D1806" s="21"/>
    </row>
    <row r="1807" spans="1:4" ht="11.25" customHeight="1" x14ac:dyDescent="0.25">
      <c r="A1807" s="22" t="s">
        <v>1844</v>
      </c>
      <c r="B1807" s="20">
        <f ca="1">INDIRECT(ADDRESS(MATCH(A1807,Raw!$A:$A,0),2,1,1,"Raw"))</f>
        <v>0</v>
      </c>
      <c r="C1807" s="20">
        <f>INDEX(Raw!$C:$C,MATCH(A1807,Raw!$A:$A,0))</f>
        <v>0</v>
      </c>
      <c r="D1807" s="21"/>
    </row>
    <row r="1808" spans="1:4" ht="11.25" customHeight="1" x14ac:dyDescent="0.25">
      <c r="A1808" s="22" t="s">
        <v>1845</v>
      </c>
      <c r="B1808" s="20">
        <f ca="1">INDIRECT(ADDRESS(MATCH(A1808,Raw!$A:$A,0),2,1,1,"Raw"))</f>
        <v>0</v>
      </c>
      <c r="C1808" s="20">
        <f>INDEX(Raw!$C:$C,MATCH(A1808,Raw!$A:$A,0))</f>
        <v>0</v>
      </c>
      <c r="D1808" s="21"/>
    </row>
    <row r="1809" spans="1:4" ht="11.25" customHeight="1" x14ac:dyDescent="0.25">
      <c r="A1809" s="22" t="s">
        <v>1846</v>
      </c>
      <c r="B1809" s="20">
        <f ca="1">INDIRECT(ADDRESS(MATCH(A1809,Raw!$A:$A,0),2,1,1,"Raw"))</f>
        <v>0</v>
      </c>
      <c r="C1809" s="20">
        <f>INDEX(Raw!$C:$C,MATCH(A1809,Raw!$A:$A,0))</f>
        <v>0</v>
      </c>
      <c r="D1809" s="21"/>
    </row>
    <row r="1810" spans="1:4" ht="11.25" customHeight="1" x14ac:dyDescent="0.25">
      <c r="A1810" s="22" t="s">
        <v>1847</v>
      </c>
      <c r="B1810" s="20">
        <f ca="1">INDIRECT(ADDRESS(MATCH(A1810,Raw!$A:$A,0),2,1,1,"Raw"))</f>
        <v>0</v>
      </c>
      <c r="C1810" s="20">
        <f>INDEX(Raw!$C:$C,MATCH(A1810,Raw!$A:$A,0))</f>
        <v>0</v>
      </c>
      <c r="D1810" s="21"/>
    </row>
    <row r="1811" spans="1:4" ht="11.25" customHeight="1" x14ac:dyDescent="0.25">
      <c r="A1811" s="22" t="s">
        <v>1848</v>
      </c>
      <c r="B1811" s="20">
        <f ca="1">INDIRECT(ADDRESS(MATCH(A1811,Raw!$A:$A,0),2,1,1,"Raw"))</f>
        <v>0</v>
      </c>
      <c r="C1811" s="20">
        <f>INDEX(Raw!$C:$C,MATCH(A1811,Raw!$A:$A,0))</f>
        <v>0</v>
      </c>
      <c r="D1811" s="21"/>
    </row>
    <row r="1812" spans="1:4" ht="11.25" customHeight="1" x14ac:dyDescent="0.25">
      <c r="A1812" s="22" t="s">
        <v>1849</v>
      </c>
      <c r="B1812" s="20">
        <f ca="1">INDIRECT(ADDRESS(MATCH(A1812,Raw!$A:$A,0),2,1,1,"Raw"))</f>
        <v>0</v>
      </c>
      <c r="C1812" s="20">
        <f>INDEX(Raw!$C:$C,MATCH(A1812,Raw!$A:$A,0))</f>
        <v>0</v>
      </c>
      <c r="D1812" s="21"/>
    </row>
    <row r="1813" spans="1:4" ht="11.25" customHeight="1" x14ac:dyDescent="0.25">
      <c r="A1813" s="22" t="s">
        <v>1850</v>
      </c>
      <c r="B1813" s="20">
        <f ca="1">INDIRECT(ADDRESS(MATCH(A1813,Raw!$A:$A,0),2,1,1,"Raw"))</f>
        <v>0</v>
      </c>
      <c r="C1813" s="20">
        <f>INDEX(Raw!$C:$C,MATCH(A1813,Raw!$A:$A,0))</f>
        <v>0</v>
      </c>
      <c r="D1813" s="21"/>
    </row>
    <row r="1814" spans="1:4" ht="11.25" customHeight="1" x14ac:dyDescent="0.25">
      <c r="A1814" s="22" t="s">
        <v>1851</v>
      </c>
      <c r="B1814" s="20">
        <f ca="1">INDIRECT(ADDRESS(MATCH(A1814,Raw!$A:$A,0),2,1,1,"Raw"))</f>
        <v>0</v>
      </c>
      <c r="C1814" s="20">
        <f>INDEX(Raw!$C:$C,MATCH(A1814,Raw!$A:$A,0))</f>
        <v>0</v>
      </c>
      <c r="D1814" s="21"/>
    </row>
    <row r="1815" spans="1:4" ht="11.25" customHeight="1" x14ac:dyDescent="0.25">
      <c r="A1815" s="22" t="s">
        <v>1852</v>
      </c>
      <c r="B1815" s="20">
        <f ca="1">INDIRECT(ADDRESS(MATCH(A1815,Raw!$A:$A,0),2,1,1,"Raw"))</f>
        <v>0</v>
      </c>
      <c r="C1815" s="20">
        <f>INDEX(Raw!$C:$C,MATCH(A1815,Raw!$A:$A,0))</f>
        <v>0</v>
      </c>
      <c r="D1815" s="21"/>
    </row>
    <row r="1816" spans="1:4" ht="11.25" customHeight="1" x14ac:dyDescent="0.25">
      <c r="A1816" s="22" t="s">
        <v>1853</v>
      </c>
      <c r="B1816" s="20">
        <f ca="1">INDIRECT(ADDRESS(MATCH(A1816,Raw!$A:$A,0),2,1,1,"Raw"))</f>
        <v>0</v>
      </c>
      <c r="C1816" s="20">
        <f>INDEX(Raw!$C:$C,MATCH(A1816,Raw!$A:$A,0))</f>
        <v>0</v>
      </c>
      <c r="D1816" s="21"/>
    </row>
    <row r="1817" spans="1:4" ht="11.25" customHeight="1" x14ac:dyDescent="0.25">
      <c r="A1817" s="22" t="s">
        <v>1854</v>
      </c>
      <c r="B1817" s="20">
        <f ca="1">INDIRECT(ADDRESS(MATCH(A1817,Raw!$A:$A,0),2,1,1,"Raw"))</f>
        <v>0</v>
      </c>
      <c r="C1817" s="20">
        <f>INDEX(Raw!$C:$C,MATCH(A1817,Raw!$A:$A,0))</f>
        <v>0</v>
      </c>
      <c r="D1817" s="21"/>
    </row>
    <row r="1818" spans="1:4" ht="11.25" customHeight="1" x14ac:dyDescent="0.25">
      <c r="A1818" s="22" t="s">
        <v>1855</v>
      </c>
      <c r="B1818" s="20">
        <f ca="1">INDIRECT(ADDRESS(MATCH(A1818,Raw!$A:$A,0),2,1,1,"Raw"))</f>
        <v>0</v>
      </c>
      <c r="C1818" s="20">
        <f>INDEX(Raw!$C:$C,MATCH(A1818,Raw!$A:$A,0))</f>
        <v>0</v>
      </c>
      <c r="D1818" s="21"/>
    </row>
    <row r="1819" spans="1:4" ht="11.25" customHeight="1" x14ac:dyDescent="0.25">
      <c r="A1819" s="22" t="s">
        <v>1856</v>
      </c>
      <c r="B1819" s="20">
        <f ca="1">INDIRECT(ADDRESS(MATCH(A1819,Raw!$A:$A,0),2,1,1,"Raw"))</f>
        <v>0</v>
      </c>
      <c r="C1819" s="20">
        <f>INDEX(Raw!$C:$C,MATCH(A1819,Raw!$A:$A,0))</f>
        <v>0</v>
      </c>
      <c r="D1819" s="21"/>
    </row>
    <row r="1820" spans="1:4" ht="11.25" customHeight="1" x14ac:dyDescent="0.25">
      <c r="A1820" s="22" t="s">
        <v>1857</v>
      </c>
      <c r="B1820" s="20">
        <f ca="1">INDIRECT(ADDRESS(MATCH(A1820,Raw!$A:$A,0),2,1,1,"Raw"))</f>
        <v>0</v>
      </c>
      <c r="C1820" s="20">
        <f>INDEX(Raw!$C:$C,MATCH(A1820,Raw!$A:$A,0))</f>
        <v>0</v>
      </c>
      <c r="D1820" s="21"/>
    </row>
    <row r="1821" spans="1:4" ht="11.25" customHeight="1" x14ac:dyDescent="0.25">
      <c r="A1821" s="22" t="s">
        <v>1858</v>
      </c>
      <c r="B1821" s="20">
        <f ca="1">INDIRECT(ADDRESS(MATCH(A1821,Raw!$A:$A,0),2,1,1,"Raw"))</f>
        <v>0</v>
      </c>
      <c r="C1821" s="20">
        <f>INDEX(Raw!$C:$C,MATCH(A1821,Raw!$A:$A,0))</f>
        <v>0</v>
      </c>
      <c r="D1821" s="21"/>
    </row>
    <row r="1822" spans="1:4" ht="11.25" customHeight="1" x14ac:dyDescent="0.25">
      <c r="A1822" s="22" t="s">
        <v>1859</v>
      </c>
      <c r="B1822" s="20">
        <f ca="1">INDIRECT(ADDRESS(MATCH(A1822,Raw!$A:$A,0),2,1,1,"Raw"))</f>
        <v>0</v>
      </c>
      <c r="C1822" s="20">
        <f>INDEX(Raw!$C:$C,MATCH(A1822,Raw!$A:$A,0))</f>
        <v>0</v>
      </c>
      <c r="D1822" s="21"/>
    </row>
    <row r="1823" spans="1:4" ht="11.25" customHeight="1" x14ac:dyDescent="0.25">
      <c r="A1823" s="22" t="s">
        <v>1860</v>
      </c>
      <c r="B1823" s="20">
        <f ca="1">INDIRECT(ADDRESS(MATCH(A1823,Raw!$A:$A,0),2,1,1,"Raw"))</f>
        <v>0</v>
      </c>
      <c r="C1823" s="20">
        <f>INDEX(Raw!$C:$C,MATCH(A1823,Raw!$A:$A,0))</f>
        <v>0</v>
      </c>
      <c r="D1823" s="21"/>
    </row>
    <row r="1824" spans="1:4" ht="11.25" customHeight="1" x14ac:dyDescent="0.25">
      <c r="A1824" s="22" t="s">
        <v>1861</v>
      </c>
      <c r="B1824" s="20">
        <f ca="1">INDIRECT(ADDRESS(MATCH(A1824,Raw!$A:$A,0),2,1,1,"Raw"))</f>
        <v>0</v>
      </c>
      <c r="C1824" s="20">
        <f>INDEX(Raw!$C:$C,MATCH(A1824,Raw!$A:$A,0))</f>
        <v>0</v>
      </c>
      <c r="D1824" s="21"/>
    </row>
    <row r="1825" spans="1:4" ht="11.25" customHeight="1" x14ac:dyDescent="0.25">
      <c r="A1825" s="22" t="s">
        <v>1862</v>
      </c>
      <c r="B1825" s="20">
        <f ca="1">INDIRECT(ADDRESS(MATCH(A1825,Raw!$A:$A,0),2,1,1,"Raw"))</f>
        <v>0</v>
      </c>
      <c r="C1825" s="20">
        <f>INDEX(Raw!$C:$C,MATCH(A1825,Raw!$A:$A,0))</f>
        <v>0</v>
      </c>
      <c r="D1825" s="21"/>
    </row>
    <row r="1826" spans="1:4" ht="11.25" customHeight="1" x14ac:dyDescent="0.25">
      <c r="A1826" s="22" t="s">
        <v>1863</v>
      </c>
      <c r="B1826" s="20">
        <f ca="1">INDIRECT(ADDRESS(MATCH(A1826,Raw!$A:$A,0),2,1,1,"Raw"))</f>
        <v>0</v>
      </c>
      <c r="C1826" s="20">
        <f>INDEX(Raw!$C:$C,MATCH(A1826,Raw!$A:$A,0))</f>
        <v>0</v>
      </c>
      <c r="D1826" s="21"/>
    </row>
    <row r="1827" spans="1:4" ht="11.25" customHeight="1" x14ac:dyDescent="0.25">
      <c r="A1827" s="22" t="s">
        <v>1864</v>
      </c>
      <c r="B1827" s="20">
        <f ca="1">INDIRECT(ADDRESS(MATCH(A1827,Raw!$A:$A,0),2,1,1,"Raw"))</f>
        <v>0</v>
      </c>
      <c r="C1827" s="20">
        <f>INDEX(Raw!$C:$C,MATCH(A1827,Raw!$A:$A,0))</f>
        <v>0</v>
      </c>
      <c r="D1827" s="21"/>
    </row>
    <row r="1828" spans="1:4" ht="11.25" customHeight="1" x14ac:dyDescent="0.25">
      <c r="A1828" s="22" t="s">
        <v>1865</v>
      </c>
      <c r="B1828" s="20">
        <f ca="1">INDIRECT(ADDRESS(MATCH(A1828,Raw!$A:$A,0),2,1,1,"Raw"))</f>
        <v>0</v>
      </c>
      <c r="C1828" s="20">
        <f>INDEX(Raw!$C:$C,MATCH(A1828,Raw!$A:$A,0))</f>
        <v>0</v>
      </c>
      <c r="D1828" s="21"/>
    </row>
    <row r="1829" spans="1:4" ht="11.25" customHeight="1" x14ac:dyDescent="0.25">
      <c r="A1829" s="22" t="s">
        <v>1866</v>
      </c>
      <c r="B1829" s="20">
        <f ca="1">INDIRECT(ADDRESS(MATCH(A1829,Raw!$A:$A,0),2,1,1,"Raw"))</f>
        <v>0</v>
      </c>
      <c r="C1829" s="20">
        <f>INDEX(Raw!$C:$C,MATCH(A1829,Raw!$A:$A,0))</f>
        <v>0</v>
      </c>
      <c r="D1829" s="21"/>
    </row>
    <row r="1830" spans="1:4" ht="11.25" customHeight="1" x14ac:dyDescent="0.25">
      <c r="A1830" s="22" t="s">
        <v>1867</v>
      </c>
      <c r="B1830" s="20">
        <f ca="1">INDIRECT(ADDRESS(MATCH(A1830,Raw!$A:$A,0),2,1,1,"Raw"))</f>
        <v>0</v>
      </c>
      <c r="C1830" s="20">
        <f>INDEX(Raw!$C:$C,MATCH(A1830,Raw!$A:$A,0))</f>
        <v>0</v>
      </c>
      <c r="D1830" s="21"/>
    </row>
    <row r="1831" spans="1:4" ht="11.25" customHeight="1" x14ac:dyDescent="0.25">
      <c r="A1831" s="22" t="s">
        <v>1868</v>
      </c>
      <c r="B1831" s="20">
        <f ca="1">INDIRECT(ADDRESS(MATCH(A1831,Raw!$A:$A,0),2,1,1,"Raw"))</f>
        <v>0</v>
      </c>
      <c r="C1831" s="20">
        <f>INDEX(Raw!$C:$C,MATCH(A1831,Raw!$A:$A,0))</f>
        <v>0</v>
      </c>
      <c r="D1831" s="21"/>
    </row>
    <row r="1832" spans="1:4" ht="11.25" customHeight="1" x14ac:dyDescent="0.25">
      <c r="A1832" s="22" t="s">
        <v>1869</v>
      </c>
      <c r="B1832" s="20">
        <f ca="1">INDIRECT(ADDRESS(MATCH(A1832,Raw!$A:$A,0),2,1,1,"Raw"))</f>
        <v>0</v>
      </c>
      <c r="C1832" s="20">
        <f>INDEX(Raw!$C:$C,MATCH(A1832,Raw!$A:$A,0))</f>
        <v>0</v>
      </c>
      <c r="D1832" s="21"/>
    </row>
    <row r="1833" spans="1:4" ht="11.25" customHeight="1" x14ac:dyDescent="0.25">
      <c r="A1833" s="22" t="s">
        <v>1870</v>
      </c>
      <c r="B1833" s="20">
        <f ca="1">INDIRECT(ADDRESS(MATCH(A1833,Raw!$A:$A,0),2,1,1,"Raw"))</f>
        <v>0</v>
      </c>
      <c r="C1833" s="20">
        <f>INDEX(Raw!$C:$C,MATCH(A1833,Raw!$A:$A,0))</f>
        <v>0</v>
      </c>
      <c r="D1833" s="21"/>
    </row>
    <row r="1834" spans="1:4" ht="11.25" customHeight="1" x14ac:dyDescent="0.25">
      <c r="A1834" s="22" t="s">
        <v>1871</v>
      </c>
      <c r="B1834" s="20">
        <f ca="1">INDIRECT(ADDRESS(MATCH(A1834,Raw!$A:$A,0),2,1,1,"Raw"))</f>
        <v>0</v>
      </c>
      <c r="C1834" s="20">
        <f>INDEX(Raw!$C:$C,MATCH(A1834,Raw!$A:$A,0))</f>
        <v>0</v>
      </c>
      <c r="D1834" s="21"/>
    </row>
    <row r="1835" spans="1:4" ht="11.25" customHeight="1" x14ac:dyDescent="0.25">
      <c r="A1835" s="22" t="s">
        <v>1872</v>
      </c>
      <c r="B1835" s="20">
        <f ca="1">INDIRECT(ADDRESS(MATCH(A1835,Raw!$A:$A,0),2,1,1,"Raw"))</f>
        <v>0</v>
      </c>
      <c r="C1835" s="20">
        <f>INDEX(Raw!$C:$C,MATCH(A1835,Raw!$A:$A,0))</f>
        <v>0</v>
      </c>
      <c r="D1835" s="21"/>
    </row>
    <row r="1836" spans="1:4" ht="11.25" customHeight="1" x14ac:dyDescent="0.25">
      <c r="A1836" s="22" t="s">
        <v>1873</v>
      </c>
      <c r="B1836" s="20">
        <f ca="1">INDIRECT(ADDRESS(MATCH(A1836,Raw!$A:$A,0),2,1,1,"Raw"))</f>
        <v>0</v>
      </c>
      <c r="C1836" s="20">
        <f>INDEX(Raw!$C:$C,MATCH(A1836,Raw!$A:$A,0))</f>
        <v>0</v>
      </c>
      <c r="D1836" s="21"/>
    </row>
    <row r="1837" spans="1:4" ht="11.25" customHeight="1" x14ac:dyDescent="0.25">
      <c r="A1837" s="22" t="s">
        <v>1874</v>
      </c>
      <c r="B1837" s="20">
        <f ca="1">INDIRECT(ADDRESS(MATCH(A1837,Raw!$A:$A,0),2,1,1,"Raw"))</f>
        <v>0</v>
      </c>
      <c r="C1837" s="20">
        <f>INDEX(Raw!$C:$C,MATCH(A1837,Raw!$A:$A,0))</f>
        <v>0</v>
      </c>
      <c r="D1837" s="21"/>
    </row>
    <row r="1838" spans="1:4" ht="11.25" customHeight="1" x14ac:dyDescent="0.25">
      <c r="A1838" s="22" t="s">
        <v>1875</v>
      </c>
      <c r="B1838" s="20">
        <f ca="1">INDIRECT(ADDRESS(MATCH(A1838,Raw!$A:$A,0),2,1,1,"Raw"))</f>
        <v>0</v>
      </c>
      <c r="C1838" s="20">
        <f>INDEX(Raw!$C:$C,MATCH(A1838,Raw!$A:$A,0))</f>
        <v>0</v>
      </c>
      <c r="D1838" s="21"/>
    </row>
    <row r="1839" spans="1:4" ht="11.25" customHeight="1" x14ac:dyDescent="0.25">
      <c r="A1839" s="22" t="s">
        <v>1876</v>
      </c>
      <c r="B1839" s="20">
        <f ca="1">INDIRECT(ADDRESS(MATCH(A1839,Raw!$A:$A,0),2,1,1,"Raw"))</f>
        <v>0</v>
      </c>
      <c r="C1839" s="20">
        <f>INDEX(Raw!$C:$C,MATCH(A1839,Raw!$A:$A,0))</f>
        <v>0</v>
      </c>
      <c r="D1839" s="21"/>
    </row>
    <row r="1840" spans="1:4" ht="11.25" customHeight="1" x14ac:dyDescent="0.25">
      <c r="A1840" s="22" t="s">
        <v>1877</v>
      </c>
      <c r="B1840" s="20">
        <f ca="1">INDIRECT(ADDRESS(MATCH(A1840,Raw!$A:$A,0),2,1,1,"Raw"))</f>
        <v>0</v>
      </c>
      <c r="C1840" s="20">
        <f>INDEX(Raw!$C:$C,MATCH(A1840,Raw!$A:$A,0))</f>
        <v>0</v>
      </c>
      <c r="D1840" s="21"/>
    </row>
    <row r="1841" spans="1:4" ht="11.25" customHeight="1" x14ac:dyDescent="0.25">
      <c r="A1841" s="22" t="s">
        <v>1878</v>
      </c>
      <c r="B1841" s="20">
        <f ca="1">INDIRECT(ADDRESS(MATCH(A1841,Raw!$A:$A,0),2,1,1,"Raw"))</f>
        <v>0</v>
      </c>
      <c r="C1841" s="20">
        <f>INDEX(Raw!$C:$C,MATCH(A1841,Raw!$A:$A,0))</f>
        <v>0</v>
      </c>
      <c r="D1841" s="21"/>
    </row>
    <row r="1842" spans="1:4" ht="11.25" customHeight="1" x14ac:dyDescent="0.25">
      <c r="A1842" s="22" t="s">
        <v>1879</v>
      </c>
      <c r="B1842" s="20">
        <f ca="1">INDIRECT(ADDRESS(MATCH(A1842,Raw!$A:$A,0),2,1,1,"Raw"))</f>
        <v>0</v>
      </c>
      <c r="C1842" s="20">
        <f>INDEX(Raw!$C:$C,MATCH(A1842,Raw!$A:$A,0))</f>
        <v>0</v>
      </c>
      <c r="D1842" s="21"/>
    </row>
    <row r="1843" spans="1:4" ht="11.25" customHeight="1" x14ac:dyDescent="0.25">
      <c r="A1843" s="22" t="s">
        <v>1880</v>
      </c>
      <c r="B1843" s="20">
        <f ca="1">INDIRECT(ADDRESS(MATCH(A1843,Raw!$A:$A,0),2,1,1,"Raw"))</f>
        <v>0</v>
      </c>
      <c r="C1843" s="20">
        <f>INDEX(Raw!$C:$C,MATCH(A1843,Raw!$A:$A,0))</f>
        <v>0</v>
      </c>
      <c r="D1843" s="21"/>
    </row>
    <row r="1844" spans="1:4" ht="11.25" customHeight="1" x14ac:dyDescent="0.25">
      <c r="A1844" s="22" t="s">
        <v>1881</v>
      </c>
      <c r="B1844" s="20">
        <f ca="1">INDIRECT(ADDRESS(MATCH(A1844,Raw!$A:$A,0),2,1,1,"Raw"))</f>
        <v>0</v>
      </c>
      <c r="C1844" s="20">
        <f>INDEX(Raw!$C:$C,MATCH(A1844,Raw!$A:$A,0))</f>
        <v>0</v>
      </c>
      <c r="D1844" s="21"/>
    </row>
    <row r="1845" spans="1:4" ht="11.25" customHeight="1" x14ac:dyDescent="0.25">
      <c r="A1845" s="22" t="s">
        <v>1882</v>
      </c>
      <c r="B1845" s="20">
        <f ca="1">INDIRECT(ADDRESS(MATCH(A1845,Raw!$A:$A,0),2,1,1,"Raw"))</f>
        <v>0</v>
      </c>
      <c r="C1845" s="20">
        <f>INDEX(Raw!$C:$C,MATCH(A1845,Raw!$A:$A,0))</f>
        <v>0</v>
      </c>
      <c r="D1845" s="21"/>
    </row>
    <row r="1846" spans="1:4" ht="11.25" customHeight="1" x14ac:dyDescent="0.25">
      <c r="A1846" s="22" t="s">
        <v>1883</v>
      </c>
      <c r="B1846" s="20">
        <f ca="1">INDIRECT(ADDRESS(MATCH(A1846,Raw!$A:$A,0),2,1,1,"Raw"))</f>
        <v>0</v>
      </c>
      <c r="C1846" s="20">
        <f>INDEX(Raw!$C:$C,MATCH(A1846,Raw!$A:$A,0))</f>
        <v>0</v>
      </c>
      <c r="D1846" s="21"/>
    </row>
    <row r="1847" spans="1:4" ht="11.25" customHeight="1" x14ac:dyDescent="0.25">
      <c r="A1847" s="22" t="s">
        <v>1884</v>
      </c>
      <c r="B1847" s="20">
        <f ca="1">INDIRECT(ADDRESS(MATCH(A1847,Raw!$A:$A,0),2,1,1,"Raw"))</f>
        <v>0</v>
      </c>
      <c r="C1847" s="20">
        <f>INDEX(Raw!$C:$C,MATCH(A1847,Raw!$A:$A,0))</f>
        <v>0</v>
      </c>
      <c r="D1847" s="21"/>
    </row>
    <row r="1848" spans="1:4" ht="11.25" customHeight="1" x14ac:dyDescent="0.25">
      <c r="A1848" s="22" t="s">
        <v>1885</v>
      </c>
      <c r="B1848" s="20">
        <f ca="1">INDIRECT(ADDRESS(MATCH(A1848,Raw!$A:$A,0),2,1,1,"Raw"))</f>
        <v>0</v>
      </c>
      <c r="C1848" s="20">
        <f>INDEX(Raw!$C:$C,MATCH(A1848,Raw!$A:$A,0))</f>
        <v>0</v>
      </c>
      <c r="D1848" s="21"/>
    </row>
    <row r="1849" spans="1:4" ht="11.25" customHeight="1" x14ac:dyDescent="0.25">
      <c r="A1849" s="22" t="s">
        <v>1886</v>
      </c>
      <c r="B1849" s="20">
        <f ca="1">INDIRECT(ADDRESS(MATCH(A1849,Raw!$A:$A,0),2,1,1,"Raw"))</f>
        <v>0</v>
      </c>
      <c r="C1849" s="20">
        <f>INDEX(Raw!$C:$C,MATCH(A1849,Raw!$A:$A,0))</f>
        <v>0</v>
      </c>
      <c r="D1849" s="21"/>
    </row>
    <row r="1850" spans="1:4" ht="11.25" customHeight="1" x14ac:dyDescent="0.25">
      <c r="A1850" s="22" t="s">
        <v>1887</v>
      </c>
      <c r="B1850" s="20">
        <f ca="1">INDIRECT(ADDRESS(MATCH(A1850,Raw!$A:$A,0),2,1,1,"Raw"))</f>
        <v>0</v>
      </c>
      <c r="C1850" s="20">
        <f>INDEX(Raw!$C:$C,MATCH(A1850,Raw!$A:$A,0))</f>
        <v>0</v>
      </c>
      <c r="D1850" s="21"/>
    </row>
    <row r="1851" spans="1:4" ht="11.25" customHeight="1" x14ac:dyDescent="0.25">
      <c r="A1851" s="22" t="s">
        <v>1888</v>
      </c>
      <c r="B1851" s="20">
        <f ca="1">INDIRECT(ADDRESS(MATCH(A1851,Raw!$A:$A,0),2,1,1,"Raw"))</f>
        <v>0</v>
      </c>
      <c r="C1851" s="20">
        <f>INDEX(Raw!$C:$C,MATCH(A1851,Raw!$A:$A,0))</f>
        <v>0</v>
      </c>
      <c r="D1851" s="21"/>
    </row>
    <row r="1852" spans="1:4" ht="11.25" customHeight="1" x14ac:dyDescent="0.25">
      <c r="A1852" s="22" t="s">
        <v>1889</v>
      </c>
      <c r="B1852" s="20">
        <f ca="1">INDIRECT(ADDRESS(MATCH(A1852,Raw!$A:$A,0),2,1,1,"Raw"))</f>
        <v>0</v>
      </c>
      <c r="C1852" s="20">
        <f>INDEX(Raw!$C:$C,MATCH(A1852,Raw!$A:$A,0))</f>
        <v>0</v>
      </c>
      <c r="D1852" s="21"/>
    </row>
    <row r="1853" spans="1:4" ht="11.25" customHeight="1" x14ac:dyDescent="0.25">
      <c r="A1853" s="22" t="s">
        <v>1890</v>
      </c>
      <c r="B1853" s="20">
        <f ca="1">INDIRECT(ADDRESS(MATCH(A1853,Raw!$A:$A,0),2,1,1,"Raw"))</f>
        <v>0</v>
      </c>
      <c r="C1853" s="20">
        <f>INDEX(Raw!$C:$C,MATCH(A1853,Raw!$A:$A,0))</f>
        <v>0</v>
      </c>
      <c r="D1853" s="21"/>
    </row>
    <row r="1854" spans="1:4" ht="11.25" customHeight="1" x14ac:dyDescent="0.25">
      <c r="A1854" s="22" t="s">
        <v>1891</v>
      </c>
      <c r="B1854" s="20">
        <f ca="1">INDIRECT(ADDRESS(MATCH(A1854,Raw!$A:$A,0),2,1,1,"Raw"))</f>
        <v>0</v>
      </c>
      <c r="C1854" s="20">
        <f>INDEX(Raw!$C:$C,MATCH(A1854,Raw!$A:$A,0))</f>
        <v>0</v>
      </c>
      <c r="D1854" s="21"/>
    </row>
    <row r="1855" spans="1:4" ht="11.25" customHeight="1" x14ac:dyDescent="0.25">
      <c r="A1855" s="22" t="s">
        <v>1892</v>
      </c>
      <c r="B1855" s="20">
        <f ca="1">INDIRECT(ADDRESS(MATCH(A1855,Raw!$A:$A,0),2,1,1,"Raw"))</f>
        <v>0</v>
      </c>
      <c r="C1855" s="20">
        <f>INDEX(Raw!$C:$C,MATCH(A1855,Raw!$A:$A,0))</f>
        <v>0</v>
      </c>
      <c r="D1855" s="21"/>
    </row>
    <row r="1856" spans="1:4" ht="11.25" customHeight="1" x14ac:dyDescent="0.25">
      <c r="A1856" s="22" t="s">
        <v>1893</v>
      </c>
      <c r="B1856" s="20">
        <f ca="1">INDIRECT(ADDRESS(MATCH(A1856,Raw!$A:$A,0),2,1,1,"Raw"))</f>
        <v>0</v>
      </c>
      <c r="C1856" s="20">
        <f>INDEX(Raw!$C:$C,MATCH(A1856,Raw!$A:$A,0))</f>
        <v>0</v>
      </c>
      <c r="D1856" s="21"/>
    </row>
    <row r="1857" spans="1:4" ht="11.25" customHeight="1" x14ac:dyDescent="0.25">
      <c r="A1857" s="22" t="s">
        <v>1894</v>
      </c>
      <c r="B1857" s="20">
        <f ca="1">INDIRECT(ADDRESS(MATCH(A1857,Raw!$A:$A,0),2,1,1,"Raw"))</f>
        <v>0</v>
      </c>
      <c r="C1857" s="20">
        <f>INDEX(Raw!$C:$C,MATCH(A1857,Raw!$A:$A,0))</f>
        <v>0</v>
      </c>
      <c r="D1857" s="21"/>
    </row>
    <row r="1858" spans="1:4" ht="11.25" customHeight="1" x14ac:dyDescent="0.25">
      <c r="A1858" s="22" t="s">
        <v>1895</v>
      </c>
      <c r="B1858" s="20">
        <f ca="1">INDIRECT(ADDRESS(MATCH(A1858,Raw!$A:$A,0),2,1,1,"Raw"))</f>
        <v>0</v>
      </c>
      <c r="C1858" s="20">
        <f>INDEX(Raw!$C:$C,MATCH(A1858,Raw!$A:$A,0))</f>
        <v>0</v>
      </c>
      <c r="D1858" s="21"/>
    </row>
    <row r="1859" spans="1:4" ht="11.25" customHeight="1" x14ac:dyDescent="0.25">
      <c r="A1859" s="22" t="s">
        <v>1896</v>
      </c>
      <c r="B1859" s="20">
        <f ca="1">INDIRECT(ADDRESS(MATCH(A1859,Raw!$A:$A,0),2,1,1,"Raw"))</f>
        <v>0</v>
      </c>
      <c r="C1859" s="20">
        <f>INDEX(Raw!$C:$C,MATCH(A1859,Raw!$A:$A,0))</f>
        <v>0</v>
      </c>
      <c r="D1859" s="21"/>
    </row>
    <row r="1860" spans="1:4" ht="11.25" customHeight="1" x14ac:dyDescent="0.25">
      <c r="A1860" s="22" t="s">
        <v>1897</v>
      </c>
      <c r="B1860" s="20">
        <f ca="1">INDIRECT(ADDRESS(MATCH(A1860,Raw!$A:$A,0),2,1,1,"Raw"))</f>
        <v>0</v>
      </c>
      <c r="C1860" s="20">
        <f>INDEX(Raw!$C:$C,MATCH(A1860,Raw!$A:$A,0))</f>
        <v>0</v>
      </c>
      <c r="D1860" s="21"/>
    </row>
    <row r="1861" spans="1:4" ht="11.25" customHeight="1" x14ac:dyDescent="0.25">
      <c r="A1861" s="22" t="s">
        <v>1898</v>
      </c>
      <c r="B1861" s="20">
        <f ca="1">INDIRECT(ADDRESS(MATCH(A1861,Raw!$A:$A,0),2,1,1,"Raw"))</f>
        <v>0</v>
      </c>
      <c r="C1861" s="20">
        <f>INDEX(Raw!$C:$C,MATCH(A1861,Raw!$A:$A,0))</f>
        <v>0</v>
      </c>
      <c r="D1861" s="21"/>
    </row>
    <row r="1862" spans="1:4" ht="11.25" customHeight="1" x14ac:dyDescent="0.25">
      <c r="A1862" s="22" t="s">
        <v>1899</v>
      </c>
      <c r="B1862" s="20">
        <f ca="1">INDIRECT(ADDRESS(MATCH(A1862,Raw!$A:$A,0),2,1,1,"Raw"))</f>
        <v>0</v>
      </c>
      <c r="C1862" s="20">
        <f>INDEX(Raw!$C:$C,MATCH(A1862,Raw!$A:$A,0))</f>
        <v>0</v>
      </c>
      <c r="D1862" s="21"/>
    </row>
    <row r="1863" spans="1:4" ht="11.25" customHeight="1" x14ac:dyDescent="0.25">
      <c r="A1863" s="22" t="s">
        <v>1900</v>
      </c>
      <c r="B1863" s="20">
        <f ca="1">INDIRECT(ADDRESS(MATCH(A1863,Raw!$A:$A,0),2,1,1,"Raw"))</f>
        <v>0</v>
      </c>
      <c r="C1863" s="20">
        <f>INDEX(Raw!$C:$C,MATCH(A1863,Raw!$A:$A,0))</f>
        <v>0</v>
      </c>
      <c r="D1863" s="21"/>
    </row>
    <row r="1864" spans="1:4" ht="11.25" customHeight="1" x14ac:dyDescent="0.25">
      <c r="A1864" s="22" t="s">
        <v>1901</v>
      </c>
      <c r="B1864" s="20">
        <f ca="1">INDIRECT(ADDRESS(MATCH(A1864,Raw!$A:$A,0),2,1,1,"Raw"))</f>
        <v>0</v>
      </c>
      <c r="C1864" s="20">
        <f>INDEX(Raw!$C:$C,MATCH(A1864,Raw!$A:$A,0))</f>
        <v>0</v>
      </c>
      <c r="D1864" s="21"/>
    </row>
    <row r="1865" spans="1:4" ht="11.25" customHeight="1" x14ac:dyDescent="0.25">
      <c r="A1865" s="22" t="s">
        <v>1902</v>
      </c>
      <c r="B1865" s="20">
        <f ca="1">INDIRECT(ADDRESS(MATCH(A1865,Raw!$A:$A,0),2,1,1,"Raw"))</f>
        <v>0</v>
      </c>
      <c r="C1865" s="20">
        <f>INDEX(Raw!$C:$C,MATCH(A1865,Raw!$A:$A,0))</f>
        <v>0</v>
      </c>
      <c r="D1865" s="21"/>
    </row>
    <row r="1866" spans="1:4" ht="11.25" customHeight="1" x14ac:dyDescent="0.25">
      <c r="A1866" s="22" t="s">
        <v>1903</v>
      </c>
      <c r="B1866" s="20">
        <f ca="1">INDIRECT(ADDRESS(MATCH(A1866,Raw!$A:$A,0),2,1,1,"Raw"))</f>
        <v>0</v>
      </c>
      <c r="C1866" s="20">
        <f>INDEX(Raw!$C:$C,MATCH(A1866,Raw!$A:$A,0))</f>
        <v>0</v>
      </c>
      <c r="D1866" s="21"/>
    </row>
    <row r="1867" spans="1:4" ht="11.25" customHeight="1" x14ac:dyDescent="0.25">
      <c r="A1867" s="22" t="s">
        <v>1904</v>
      </c>
      <c r="B1867" s="20">
        <f ca="1">INDIRECT(ADDRESS(MATCH(A1867,Raw!$A:$A,0),2,1,1,"Raw"))</f>
        <v>0</v>
      </c>
      <c r="C1867" s="20">
        <f>INDEX(Raw!$C:$C,MATCH(A1867,Raw!$A:$A,0))</f>
        <v>0</v>
      </c>
      <c r="D1867" s="21"/>
    </row>
    <row r="1868" spans="1:4" ht="11.25" customHeight="1" x14ac:dyDescent="0.25">
      <c r="A1868" s="22" t="s">
        <v>1905</v>
      </c>
      <c r="B1868" s="20">
        <f ca="1">INDIRECT(ADDRESS(MATCH(A1868,Raw!$A:$A,0),2,1,1,"Raw"))</f>
        <v>0</v>
      </c>
      <c r="C1868" s="20">
        <f>INDEX(Raw!$C:$C,MATCH(A1868,Raw!$A:$A,0))</f>
        <v>0</v>
      </c>
      <c r="D1868" s="21"/>
    </row>
    <row r="1869" spans="1:4" ht="11.25" customHeight="1" x14ac:dyDescent="0.25">
      <c r="A1869" s="22" t="s">
        <v>1906</v>
      </c>
      <c r="B1869" s="20">
        <f ca="1">INDIRECT(ADDRESS(MATCH(A1869,Raw!$A:$A,0),2,1,1,"Raw"))</f>
        <v>0</v>
      </c>
      <c r="C1869" s="20">
        <f>INDEX(Raw!$C:$C,MATCH(A1869,Raw!$A:$A,0))</f>
        <v>0</v>
      </c>
      <c r="D1869" s="21"/>
    </row>
    <row r="1870" spans="1:4" ht="11.25" customHeight="1" x14ac:dyDescent="0.25">
      <c r="A1870" s="22" t="s">
        <v>1907</v>
      </c>
      <c r="B1870" s="20">
        <f ca="1">INDIRECT(ADDRESS(MATCH(A1870,Raw!$A:$A,0),2,1,1,"Raw"))</f>
        <v>0</v>
      </c>
      <c r="C1870" s="20">
        <f>INDEX(Raw!$C:$C,MATCH(A1870,Raw!$A:$A,0))</f>
        <v>0</v>
      </c>
      <c r="D1870" s="21"/>
    </row>
    <row r="1871" spans="1:4" ht="11.25" customHeight="1" x14ac:dyDescent="0.25">
      <c r="A1871" s="22" t="s">
        <v>1908</v>
      </c>
      <c r="B1871" s="20">
        <f ca="1">INDIRECT(ADDRESS(MATCH(A1871,Raw!$A:$A,0),2,1,1,"Raw"))</f>
        <v>0</v>
      </c>
      <c r="C1871" s="20">
        <f>INDEX(Raw!$C:$C,MATCH(A1871,Raw!$A:$A,0))</f>
        <v>0</v>
      </c>
      <c r="D1871" s="21"/>
    </row>
    <row r="1872" spans="1:4" ht="11.25" customHeight="1" x14ac:dyDescent="0.25">
      <c r="A1872" s="22" t="s">
        <v>1909</v>
      </c>
      <c r="B1872" s="20">
        <f ca="1">INDIRECT(ADDRESS(MATCH(A1872,Raw!$A:$A,0),2,1,1,"Raw"))</f>
        <v>0</v>
      </c>
      <c r="C1872" s="20">
        <f>INDEX(Raw!$C:$C,MATCH(A1872,Raw!$A:$A,0))</f>
        <v>0</v>
      </c>
      <c r="D1872" s="21"/>
    </row>
    <row r="1873" spans="1:4" ht="11.25" customHeight="1" x14ac:dyDescent="0.25">
      <c r="A1873" s="22" t="s">
        <v>1910</v>
      </c>
      <c r="B1873" s="20">
        <f ca="1">INDIRECT(ADDRESS(MATCH(A1873,Raw!$A:$A,0),2,1,1,"Raw"))</f>
        <v>0</v>
      </c>
      <c r="C1873" s="20">
        <f>INDEX(Raw!$C:$C,MATCH(A1873,Raw!$A:$A,0))</f>
        <v>0</v>
      </c>
      <c r="D1873" s="21"/>
    </row>
    <row r="1874" spans="1:4" ht="11.25" customHeight="1" x14ac:dyDescent="0.25">
      <c r="A1874" s="22" t="s">
        <v>1911</v>
      </c>
      <c r="B1874" s="20">
        <f ca="1">INDIRECT(ADDRESS(MATCH(A1874,Raw!$A:$A,0),2,1,1,"Raw"))</f>
        <v>0</v>
      </c>
      <c r="C1874" s="20">
        <f>INDEX(Raw!$C:$C,MATCH(A1874,Raw!$A:$A,0))</f>
        <v>0</v>
      </c>
      <c r="D1874" s="21"/>
    </row>
    <row r="1875" spans="1:4" ht="11.25" customHeight="1" x14ac:dyDescent="0.25">
      <c r="A1875" s="22" t="s">
        <v>1912</v>
      </c>
      <c r="B1875" s="20">
        <f ca="1">INDIRECT(ADDRESS(MATCH(A1875,Raw!$A:$A,0),2,1,1,"Raw"))</f>
        <v>0</v>
      </c>
      <c r="C1875" s="20">
        <f>INDEX(Raw!$C:$C,MATCH(A1875,Raw!$A:$A,0))</f>
        <v>0</v>
      </c>
      <c r="D1875" s="21"/>
    </row>
    <row r="1876" spans="1:4" ht="11.25" customHeight="1" x14ac:dyDescent="0.25">
      <c r="A1876" s="22" t="s">
        <v>1913</v>
      </c>
      <c r="B1876" s="20">
        <f ca="1">INDIRECT(ADDRESS(MATCH(A1876,Raw!$A:$A,0),2,1,1,"Raw"))</f>
        <v>0</v>
      </c>
      <c r="C1876" s="20">
        <f>INDEX(Raw!$C:$C,MATCH(A1876,Raw!$A:$A,0))</f>
        <v>0</v>
      </c>
      <c r="D1876" s="21"/>
    </row>
    <row r="1877" spans="1:4" ht="11.25" customHeight="1" x14ac:dyDescent="0.25">
      <c r="A1877" s="22" t="s">
        <v>1914</v>
      </c>
      <c r="B1877" s="20">
        <f ca="1">INDIRECT(ADDRESS(MATCH(A1877,Raw!$A:$A,0),2,1,1,"Raw"))</f>
        <v>0</v>
      </c>
      <c r="C1877" s="20">
        <f>INDEX(Raw!$C:$C,MATCH(A1877,Raw!$A:$A,0))</f>
        <v>0</v>
      </c>
      <c r="D1877" s="21"/>
    </row>
    <row r="1878" spans="1:4" ht="11.25" customHeight="1" x14ac:dyDescent="0.25">
      <c r="A1878" s="22" t="s">
        <v>1915</v>
      </c>
      <c r="B1878" s="20">
        <f ca="1">INDIRECT(ADDRESS(MATCH(A1878,Raw!$A:$A,0),2,1,1,"Raw"))</f>
        <v>0</v>
      </c>
      <c r="C1878" s="20">
        <f>INDEX(Raw!$C:$C,MATCH(A1878,Raw!$A:$A,0))</f>
        <v>0</v>
      </c>
      <c r="D1878" s="21"/>
    </row>
    <row r="1879" spans="1:4" ht="11.25" customHeight="1" x14ac:dyDescent="0.25">
      <c r="A1879" s="22" t="s">
        <v>1916</v>
      </c>
      <c r="B1879" s="20">
        <f ca="1">INDIRECT(ADDRESS(MATCH(A1879,Raw!$A:$A,0),2,1,1,"Raw"))</f>
        <v>0</v>
      </c>
      <c r="C1879" s="20">
        <f>INDEX(Raw!$C:$C,MATCH(A1879,Raw!$A:$A,0))</f>
        <v>0</v>
      </c>
      <c r="D1879" s="21"/>
    </row>
    <row r="1880" spans="1:4" ht="11.25" customHeight="1" x14ac:dyDescent="0.25">
      <c r="A1880" s="22" t="s">
        <v>1917</v>
      </c>
      <c r="B1880" s="20">
        <f ca="1">INDIRECT(ADDRESS(MATCH(A1880,Raw!$A:$A,0),2,1,1,"Raw"))</f>
        <v>0</v>
      </c>
      <c r="C1880" s="20">
        <f>INDEX(Raw!$C:$C,MATCH(A1880,Raw!$A:$A,0))</f>
        <v>0</v>
      </c>
      <c r="D1880" s="21"/>
    </row>
    <row r="1881" spans="1:4" ht="11.25" customHeight="1" x14ac:dyDescent="0.25">
      <c r="A1881" s="22" t="s">
        <v>1918</v>
      </c>
      <c r="B1881" s="20">
        <f ca="1">INDIRECT(ADDRESS(MATCH(A1881,Raw!$A:$A,0),2,1,1,"Raw"))</f>
        <v>0</v>
      </c>
      <c r="C1881" s="20">
        <f>INDEX(Raw!$C:$C,MATCH(A1881,Raw!$A:$A,0))</f>
        <v>0</v>
      </c>
      <c r="D1881" s="21"/>
    </row>
    <row r="1882" spans="1:4" ht="11.25" customHeight="1" x14ac:dyDescent="0.25">
      <c r="A1882" s="22" t="s">
        <v>1919</v>
      </c>
      <c r="B1882" s="20">
        <f ca="1">INDIRECT(ADDRESS(MATCH(A1882,Raw!$A:$A,0),2,1,1,"Raw"))</f>
        <v>0</v>
      </c>
      <c r="C1882" s="20">
        <f>INDEX(Raw!$C:$C,MATCH(A1882,Raw!$A:$A,0))</f>
        <v>0</v>
      </c>
      <c r="D1882" s="21"/>
    </row>
    <row r="1883" spans="1:4" ht="11.25" customHeight="1" x14ac:dyDescent="0.25">
      <c r="A1883" s="22" t="s">
        <v>1920</v>
      </c>
      <c r="B1883" s="20">
        <f ca="1">INDIRECT(ADDRESS(MATCH(A1883,Raw!$A:$A,0),2,1,1,"Raw"))</f>
        <v>0</v>
      </c>
      <c r="C1883" s="20">
        <f>INDEX(Raw!$C:$C,MATCH(A1883,Raw!$A:$A,0))</f>
        <v>0</v>
      </c>
      <c r="D1883" s="21"/>
    </row>
    <row r="1884" spans="1:4" ht="11.25" customHeight="1" x14ac:dyDescent="0.25">
      <c r="A1884" s="22" t="s">
        <v>1921</v>
      </c>
      <c r="B1884" s="20">
        <f ca="1">INDIRECT(ADDRESS(MATCH(A1884,Raw!$A:$A,0),2,1,1,"Raw"))</f>
        <v>0</v>
      </c>
      <c r="C1884" s="20">
        <f>INDEX(Raw!$C:$C,MATCH(A1884,Raw!$A:$A,0))</f>
        <v>0</v>
      </c>
      <c r="D1884" s="21"/>
    </row>
    <row r="1885" spans="1:4" ht="11.25" customHeight="1" x14ac:dyDescent="0.25">
      <c r="A1885" s="22" t="s">
        <v>1922</v>
      </c>
      <c r="B1885" s="20">
        <f ca="1">INDIRECT(ADDRESS(MATCH(A1885,Raw!$A:$A,0),2,1,1,"Raw"))</f>
        <v>0</v>
      </c>
      <c r="C1885" s="20">
        <f>INDEX(Raw!$C:$C,MATCH(A1885,Raw!$A:$A,0))</f>
        <v>0</v>
      </c>
      <c r="D1885" s="21"/>
    </row>
    <row r="1886" spans="1:4" ht="11.25" customHeight="1" x14ac:dyDescent="0.25">
      <c r="A1886" s="22" t="s">
        <v>1923</v>
      </c>
      <c r="B1886" s="20">
        <f ca="1">INDIRECT(ADDRESS(MATCH(A1886,Raw!$A:$A,0),2,1,1,"Raw"))</f>
        <v>0</v>
      </c>
      <c r="C1886" s="20">
        <f>INDEX(Raw!$C:$C,MATCH(A1886,Raw!$A:$A,0))</f>
        <v>0</v>
      </c>
      <c r="D1886" s="21"/>
    </row>
    <row r="1887" spans="1:4" ht="11.25" customHeight="1" x14ac:dyDescent="0.25">
      <c r="A1887" s="22" t="s">
        <v>1924</v>
      </c>
      <c r="B1887" s="20">
        <f ca="1">INDIRECT(ADDRESS(MATCH(A1887,Raw!$A:$A,0),2,1,1,"Raw"))</f>
        <v>0</v>
      </c>
      <c r="C1887" s="20">
        <f>INDEX(Raw!$C:$C,MATCH(A1887,Raw!$A:$A,0))</f>
        <v>0</v>
      </c>
      <c r="D1887" s="21"/>
    </row>
    <row r="1888" spans="1:4" ht="11.25" customHeight="1" x14ac:dyDescent="0.25">
      <c r="A1888" s="22" t="s">
        <v>1925</v>
      </c>
      <c r="B1888" s="20">
        <f ca="1">INDIRECT(ADDRESS(MATCH(A1888,Raw!$A:$A,0),2,1,1,"Raw"))</f>
        <v>0</v>
      </c>
      <c r="C1888" s="20">
        <f>INDEX(Raw!$C:$C,MATCH(A1888,Raw!$A:$A,0))</f>
        <v>0</v>
      </c>
      <c r="D1888" s="21"/>
    </row>
    <row r="1889" spans="1:4" ht="11.25" customHeight="1" x14ac:dyDescent="0.25">
      <c r="A1889" s="22" t="s">
        <v>1926</v>
      </c>
      <c r="B1889" s="20">
        <f ca="1">INDIRECT(ADDRESS(MATCH(A1889,Raw!$A:$A,0),2,1,1,"Raw"))</f>
        <v>0</v>
      </c>
      <c r="C1889" s="20">
        <f>INDEX(Raw!$C:$C,MATCH(A1889,Raw!$A:$A,0))</f>
        <v>0</v>
      </c>
      <c r="D1889" s="21"/>
    </row>
    <row r="1890" spans="1:4" ht="11.25" customHeight="1" x14ac:dyDescent="0.25">
      <c r="A1890" s="22" t="s">
        <v>1927</v>
      </c>
      <c r="B1890" s="20">
        <f ca="1">INDIRECT(ADDRESS(MATCH(A1890,Raw!$A:$A,0),2,1,1,"Raw"))</f>
        <v>0</v>
      </c>
      <c r="C1890" s="20">
        <f>INDEX(Raw!$C:$C,MATCH(A1890,Raw!$A:$A,0))</f>
        <v>0</v>
      </c>
      <c r="D1890" s="21"/>
    </row>
    <row r="1891" spans="1:4" ht="11.25" customHeight="1" x14ac:dyDescent="0.25">
      <c r="A1891" s="22" t="s">
        <v>1928</v>
      </c>
      <c r="B1891" s="20">
        <f ca="1">INDIRECT(ADDRESS(MATCH(A1891,Raw!$A:$A,0),2,1,1,"Raw"))</f>
        <v>0</v>
      </c>
      <c r="C1891" s="20">
        <f>INDEX(Raw!$C:$C,MATCH(A1891,Raw!$A:$A,0))</f>
        <v>0</v>
      </c>
      <c r="D1891" s="21"/>
    </row>
    <row r="1892" spans="1:4" ht="11.25" customHeight="1" x14ac:dyDescent="0.25">
      <c r="A1892" s="22" t="s">
        <v>1929</v>
      </c>
      <c r="B1892" s="20">
        <f ca="1">INDIRECT(ADDRESS(MATCH(A1892,Raw!$A:$A,0),2,1,1,"Raw"))</f>
        <v>0</v>
      </c>
      <c r="C1892" s="20">
        <f>INDEX(Raw!$C:$C,MATCH(A1892,Raw!$A:$A,0))</f>
        <v>0</v>
      </c>
      <c r="D1892" s="21"/>
    </row>
    <row r="1893" spans="1:4" ht="11.25" customHeight="1" x14ac:dyDescent="0.25">
      <c r="A1893" s="22" t="s">
        <v>1930</v>
      </c>
      <c r="B1893" s="20">
        <f ca="1">INDIRECT(ADDRESS(MATCH(A1893,Raw!$A:$A,0),2,1,1,"Raw"))</f>
        <v>0</v>
      </c>
      <c r="C1893" s="20">
        <f>INDEX(Raw!$C:$C,MATCH(A1893,Raw!$A:$A,0))</f>
        <v>0</v>
      </c>
      <c r="D1893" s="21"/>
    </row>
    <row r="1894" spans="1:4" ht="11.25" customHeight="1" x14ac:dyDescent="0.25">
      <c r="A1894" s="22" t="s">
        <v>1931</v>
      </c>
      <c r="B1894" s="20">
        <f ca="1">INDIRECT(ADDRESS(MATCH(A1894,Raw!$A:$A,0),2,1,1,"Raw"))</f>
        <v>0</v>
      </c>
      <c r="C1894" s="20">
        <f>INDEX(Raw!$C:$C,MATCH(A1894,Raw!$A:$A,0))</f>
        <v>0</v>
      </c>
      <c r="D1894" s="21"/>
    </row>
    <row r="1895" spans="1:4" ht="11.25" customHeight="1" x14ac:dyDescent="0.25">
      <c r="A1895" s="22" t="s">
        <v>1932</v>
      </c>
      <c r="B1895" s="20">
        <f ca="1">INDIRECT(ADDRESS(MATCH(A1895,Raw!$A:$A,0),2,1,1,"Raw"))</f>
        <v>0</v>
      </c>
      <c r="C1895" s="20">
        <f>INDEX(Raw!$C:$C,MATCH(A1895,Raw!$A:$A,0))</f>
        <v>0</v>
      </c>
      <c r="D1895" s="21"/>
    </row>
    <row r="1896" spans="1:4" ht="11.25" customHeight="1" x14ac:dyDescent="0.25">
      <c r="A1896" s="22" t="s">
        <v>1933</v>
      </c>
      <c r="B1896" s="20">
        <f ca="1">INDIRECT(ADDRESS(MATCH(A1896,Raw!$A:$A,0),2,1,1,"Raw"))</f>
        <v>0</v>
      </c>
      <c r="C1896" s="20">
        <f>INDEX(Raw!$C:$C,MATCH(A1896,Raw!$A:$A,0))</f>
        <v>0</v>
      </c>
      <c r="D1896" s="21"/>
    </row>
    <row r="1897" spans="1:4" ht="11.25" customHeight="1" x14ac:dyDescent="0.25">
      <c r="A1897" s="22" t="s">
        <v>1934</v>
      </c>
      <c r="B1897" s="20">
        <f ca="1">INDIRECT(ADDRESS(MATCH(A1897,Raw!$A:$A,0),2,1,1,"Raw"))</f>
        <v>0</v>
      </c>
      <c r="C1897" s="20">
        <f>INDEX(Raw!$C:$C,MATCH(A1897,Raw!$A:$A,0))</f>
        <v>0</v>
      </c>
      <c r="D1897" s="21"/>
    </row>
    <row r="1898" spans="1:4" ht="11.25" customHeight="1" x14ac:dyDescent="0.25">
      <c r="A1898" s="22" t="s">
        <v>1935</v>
      </c>
      <c r="B1898" s="20">
        <f ca="1">INDIRECT(ADDRESS(MATCH(A1898,Raw!$A:$A,0),2,1,1,"Raw"))</f>
        <v>0</v>
      </c>
      <c r="C1898" s="20">
        <f>INDEX(Raw!$C:$C,MATCH(A1898,Raw!$A:$A,0))</f>
        <v>0</v>
      </c>
      <c r="D1898" s="21"/>
    </row>
    <row r="1899" spans="1:4" ht="11.25" customHeight="1" x14ac:dyDescent="0.25">
      <c r="A1899" s="22" t="s">
        <v>1936</v>
      </c>
      <c r="B1899" s="20">
        <f ca="1">INDIRECT(ADDRESS(MATCH(A1899,Raw!$A:$A,0),2,1,1,"Raw"))</f>
        <v>0</v>
      </c>
      <c r="C1899" s="20">
        <f>INDEX(Raw!$C:$C,MATCH(A1899,Raw!$A:$A,0))</f>
        <v>0</v>
      </c>
      <c r="D1899" s="21"/>
    </row>
    <row r="1900" spans="1:4" ht="11.25" customHeight="1" x14ac:dyDescent="0.25">
      <c r="A1900" s="22" t="s">
        <v>1937</v>
      </c>
      <c r="B1900" s="20">
        <f ca="1">INDIRECT(ADDRESS(MATCH(A1900,Raw!$A:$A,0),2,1,1,"Raw"))</f>
        <v>0</v>
      </c>
      <c r="C1900" s="20">
        <f>INDEX(Raw!$C:$C,MATCH(A1900,Raw!$A:$A,0))</f>
        <v>0</v>
      </c>
      <c r="D1900" s="21"/>
    </row>
    <row r="1901" spans="1:4" ht="11.25" customHeight="1" x14ac:dyDescent="0.25">
      <c r="A1901" s="22" t="s">
        <v>1938</v>
      </c>
      <c r="B1901" s="20">
        <f ca="1">INDIRECT(ADDRESS(MATCH(A1901,Raw!$A:$A,0),2,1,1,"Raw"))</f>
        <v>0</v>
      </c>
      <c r="C1901" s="20">
        <f>INDEX(Raw!$C:$C,MATCH(A1901,Raw!$A:$A,0))</f>
        <v>0</v>
      </c>
      <c r="D1901" s="21"/>
    </row>
    <row r="1902" spans="1:4" ht="11.25" customHeight="1" x14ac:dyDescent="0.25">
      <c r="A1902" s="22" t="s">
        <v>1939</v>
      </c>
      <c r="B1902" s="20">
        <f ca="1">INDIRECT(ADDRESS(MATCH(A1902,Raw!$A:$A,0),2,1,1,"Raw"))</f>
        <v>0</v>
      </c>
      <c r="C1902" s="20">
        <f>INDEX(Raw!$C:$C,MATCH(A1902,Raw!$A:$A,0))</f>
        <v>0</v>
      </c>
      <c r="D1902" s="21"/>
    </row>
    <row r="1903" spans="1:4" ht="11.25" customHeight="1" x14ac:dyDescent="0.25">
      <c r="A1903" s="22" t="s">
        <v>1940</v>
      </c>
      <c r="B1903" s="20">
        <f ca="1">INDIRECT(ADDRESS(MATCH(A1903,Raw!$A:$A,0),2,1,1,"Raw"))</f>
        <v>0</v>
      </c>
      <c r="C1903" s="20">
        <f>INDEX(Raw!$C:$C,MATCH(A1903,Raw!$A:$A,0))</f>
        <v>0</v>
      </c>
      <c r="D1903" s="21"/>
    </row>
    <row r="1904" spans="1:4" ht="11.25" customHeight="1" x14ac:dyDescent="0.25">
      <c r="A1904" s="22" t="s">
        <v>1941</v>
      </c>
      <c r="B1904" s="20">
        <f ca="1">INDIRECT(ADDRESS(MATCH(A1904,Raw!$A:$A,0),2,1,1,"Raw"))</f>
        <v>0</v>
      </c>
      <c r="C1904" s="20">
        <f>INDEX(Raw!$C:$C,MATCH(A1904,Raw!$A:$A,0))</f>
        <v>0</v>
      </c>
      <c r="D1904" s="21"/>
    </row>
    <row r="1905" spans="1:4" ht="11.25" customHeight="1" x14ac:dyDescent="0.25">
      <c r="A1905" s="22" t="s">
        <v>1942</v>
      </c>
      <c r="B1905" s="20">
        <f ca="1">INDIRECT(ADDRESS(MATCH(A1905,Raw!$A:$A,0),2,1,1,"Raw"))</f>
        <v>0</v>
      </c>
      <c r="C1905" s="20">
        <f>INDEX(Raw!$C:$C,MATCH(A1905,Raw!$A:$A,0))</f>
        <v>0</v>
      </c>
      <c r="D1905" s="21"/>
    </row>
    <row r="1906" spans="1:4" ht="11.25" customHeight="1" x14ac:dyDescent="0.25">
      <c r="A1906" s="22" t="s">
        <v>1943</v>
      </c>
      <c r="B1906" s="20">
        <f ca="1">INDIRECT(ADDRESS(MATCH(A1906,Raw!$A:$A,0),2,1,1,"Raw"))</f>
        <v>0</v>
      </c>
      <c r="C1906" s="20">
        <f>INDEX(Raw!$C:$C,MATCH(A1906,Raw!$A:$A,0))</f>
        <v>0</v>
      </c>
      <c r="D1906" s="21"/>
    </row>
    <row r="1907" spans="1:4" ht="11.25" customHeight="1" x14ac:dyDescent="0.25">
      <c r="A1907" s="22" t="s">
        <v>1944</v>
      </c>
      <c r="B1907" s="20">
        <f ca="1">INDIRECT(ADDRESS(MATCH(A1907,Raw!$A:$A,0),2,1,1,"Raw"))</f>
        <v>0</v>
      </c>
      <c r="C1907" s="20">
        <f>INDEX(Raw!$C:$C,MATCH(A1907,Raw!$A:$A,0))</f>
        <v>0</v>
      </c>
      <c r="D1907" s="21"/>
    </row>
    <row r="1908" spans="1:4" ht="11.25" customHeight="1" x14ac:dyDescent="0.25">
      <c r="A1908" s="22" t="s">
        <v>1945</v>
      </c>
      <c r="B1908" s="20">
        <f ca="1">INDIRECT(ADDRESS(MATCH(A1908,Raw!$A:$A,0),2,1,1,"Raw"))</f>
        <v>0</v>
      </c>
      <c r="C1908" s="20">
        <f>INDEX(Raw!$C:$C,MATCH(A1908,Raw!$A:$A,0))</f>
        <v>0</v>
      </c>
      <c r="D1908" s="21"/>
    </row>
    <row r="1909" spans="1:4" ht="11.25" customHeight="1" x14ac:dyDescent="0.25">
      <c r="A1909" s="22" t="s">
        <v>1946</v>
      </c>
      <c r="B1909" s="20">
        <f ca="1">INDIRECT(ADDRESS(MATCH(A1909,Raw!$A:$A,0),2,1,1,"Raw"))</f>
        <v>0</v>
      </c>
      <c r="C1909" s="20">
        <f>INDEX(Raw!$C:$C,MATCH(A1909,Raw!$A:$A,0))</f>
        <v>0</v>
      </c>
      <c r="D1909" s="21"/>
    </row>
    <row r="1910" spans="1:4" ht="11.25" customHeight="1" x14ac:dyDescent="0.25">
      <c r="A1910" s="22" t="s">
        <v>1947</v>
      </c>
      <c r="B1910" s="20">
        <f ca="1">INDIRECT(ADDRESS(MATCH(A1910,Raw!$A:$A,0),2,1,1,"Raw"))</f>
        <v>0</v>
      </c>
      <c r="C1910" s="20">
        <f>INDEX(Raw!$C:$C,MATCH(A1910,Raw!$A:$A,0))</f>
        <v>0</v>
      </c>
      <c r="D1910" s="21"/>
    </row>
    <row r="1911" spans="1:4" ht="11.25" customHeight="1" x14ac:dyDescent="0.25">
      <c r="A1911" s="22" t="s">
        <v>1948</v>
      </c>
      <c r="B1911" s="20">
        <f ca="1">INDIRECT(ADDRESS(MATCH(A1911,Raw!$A:$A,0),2,1,1,"Raw"))</f>
        <v>0</v>
      </c>
      <c r="C1911" s="20">
        <f>INDEX(Raw!$C:$C,MATCH(A1911,Raw!$A:$A,0))</f>
        <v>0</v>
      </c>
      <c r="D1911" s="21"/>
    </row>
    <row r="1912" spans="1:4" ht="11.25" customHeight="1" x14ac:dyDescent="0.25">
      <c r="A1912" s="22" t="s">
        <v>1949</v>
      </c>
      <c r="B1912" s="20">
        <f ca="1">INDIRECT(ADDRESS(MATCH(A1912,Raw!$A:$A,0),2,1,1,"Raw"))</f>
        <v>0</v>
      </c>
      <c r="C1912" s="20">
        <f>INDEX(Raw!$C:$C,MATCH(A1912,Raw!$A:$A,0))</f>
        <v>0</v>
      </c>
      <c r="D1912" s="21"/>
    </row>
    <row r="1913" spans="1:4" ht="11.25" customHeight="1" x14ac:dyDescent="0.25">
      <c r="A1913" s="22" t="s">
        <v>1950</v>
      </c>
      <c r="B1913" s="20">
        <f ca="1">INDIRECT(ADDRESS(MATCH(A1913,Raw!$A:$A,0),2,1,1,"Raw"))</f>
        <v>0</v>
      </c>
      <c r="C1913" s="20">
        <f>INDEX(Raw!$C:$C,MATCH(A1913,Raw!$A:$A,0))</f>
        <v>0</v>
      </c>
      <c r="D1913" s="21"/>
    </row>
    <row r="1914" spans="1:4" ht="11.25" customHeight="1" x14ac:dyDescent="0.25">
      <c r="A1914" s="22" t="s">
        <v>1951</v>
      </c>
      <c r="B1914" s="20">
        <f ca="1">INDIRECT(ADDRESS(MATCH(A1914,Raw!$A:$A,0),2,1,1,"Raw"))</f>
        <v>0</v>
      </c>
      <c r="C1914" s="20">
        <f>INDEX(Raw!$C:$C,MATCH(A1914,Raw!$A:$A,0))</f>
        <v>0</v>
      </c>
      <c r="D1914" s="21"/>
    </row>
    <row r="1915" spans="1:4" ht="11.25" customHeight="1" x14ac:dyDescent="0.25">
      <c r="A1915" s="22" t="s">
        <v>1952</v>
      </c>
      <c r="B1915" s="20">
        <f ca="1">INDIRECT(ADDRESS(MATCH(A1915,Raw!$A:$A,0),2,1,1,"Raw"))</f>
        <v>0</v>
      </c>
      <c r="C1915" s="20">
        <f>INDEX(Raw!$C:$C,MATCH(A1915,Raw!$A:$A,0))</f>
        <v>0</v>
      </c>
      <c r="D1915" s="21"/>
    </row>
    <row r="1916" spans="1:4" ht="11.25" customHeight="1" x14ac:dyDescent="0.25">
      <c r="A1916" s="22" t="s">
        <v>1953</v>
      </c>
      <c r="B1916" s="20">
        <f ca="1">INDIRECT(ADDRESS(MATCH(A1916,Raw!$A:$A,0),2,1,1,"Raw"))</f>
        <v>0</v>
      </c>
      <c r="C1916" s="20">
        <f>INDEX(Raw!$C:$C,MATCH(A1916,Raw!$A:$A,0))</f>
        <v>0</v>
      </c>
      <c r="D1916" s="21"/>
    </row>
    <row r="1917" spans="1:4" ht="11.25" customHeight="1" x14ac:dyDescent="0.25">
      <c r="A1917" s="22" t="s">
        <v>1954</v>
      </c>
      <c r="B1917" s="20">
        <f ca="1">INDIRECT(ADDRESS(MATCH(A1917,Raw!$A:$A,0),2,1,1,"Raw"))</f>
        <v>0</v>
      </c>
      <c r="C1917" s="20">
        <f>INDEX(Raw!$C:$C,MATCH(A1917,Raw!$A:$A,0))</f>
        <v>0</v>
      </c>
      <c r="D1917" s="21"/>
    </row>
    <row r="1918" spans="1:4" ht="11.25" customHeight="1" x14ac:dyDescent="0.25">
      <c r="A1918" s="22" t="s">
        <v>1955</v>
      </c>
      <c r="B1918" s="20">
        <f ca="1">INDIRECT(ADDRESS(MATCH(A1918,Raw!$A:$A,0),2,1,1,"Raw"))</f>
        <v>0</v>
      </c>
      <c r="C1918" s="20">
        <f>INDEX(Raw!$C:$C,MATCH(A1918,Raw!$A:$A,0))</f>
        <v>0</v>
      </c>
      <c r="D1918" s="21"/>
    </row>
    <row r="1919" spans="1:4" ht="11.25" customHeight="1" x14ac:dyDescent="0.25">
      <c r="A1919" s="22" t="s">
        <v>1956</v>
      </c>
      <c r="B1919" s="20">
        <f ca="1">INDIRECT(ADDRESS(MATCH(A1919,Raw!$A:$A,0),2,1,1,"Raw"))</f>
        <v>0</v>
      </c>
      <c r="C1919" s="20">
        <f>INDEX(Raw!$C:$C,MATCH(A1919,Raw!$A:$A,0))</f>
        <v>0</v>
      </c>
      <c r="D1919" s="21"/>
    </row>
    <row r="1920" spans="1:4" ht="11.25" customHeight="1" x14ac:dyDescent="0.25">
      <c r="A1920" s="22" t="s">
        <v>1957</v>
      </c>
      <c r="B1920" s="20">
        <f ca="1">INDIRECT(ADDRESS(MATCH(A1920,Raw!$A:$A,0),2,1,1,"Raw"))</f>
        <v>0</v>
      </c>
      <c r="C1920" s="20">
        <f>INDEX(Raw!$C:$C,MATCH(A1920,Raw!$A:$A,0))</f>
        <v>0</v>
      </c>
      <c r="D1920" s="21"/>
    </row>
    <row r="1921" spans="1:4" ht="11.25" customHeight="1" x14ac:dyDescent="0.25">
      <c r="A1921" s="22" t="s">
        <v>1958</v>
      </c>
      <c r="B1921" s="20">
        <f ca="1">INDIRECT(ADDRESS(MATCH(A1921,Raw!$A:$A,0),2,1,1,"Raw"))</f>
        <v>0</v>
      </c>
      <c r="C1921" s="20">
        <f>INDEX(Raw!$C:$C,MATCH(A1921,Raw!$A:$A,0))</f>
        <v>0</v>
      </c>
      <c r="D1921" s="21"/>
    </row>
    <row r="1922" spans="1:4" ht="11.25" customHeight="1" x14ac:dyDescent="0.25">
      <c r="A1922" s="22" t="s">
        <v>1959</v>
      </c>
      <c r="B1922" s="20">
        <f ca="1">INDIRECT(ADDRESS(MATCH(A1922,Raw!$A:$A,0),2,1,1,"Raw"))</f>
        <v>0</v>
      </c>
      <c r="C1922" s="20">
        <f>INDEX(Raw!$C:$C,MATCH(A1922,Raw!$A:$A,0))</f>
        <v>0</v>
      </c>
      <c r="D1922" s="21"/>
    </row>
    <row r="1923" spans="1:4" ht="11.25" customHeight="1" x14ac:dyDescent="0.25">
      <c r="A1923" s="22" t="s">
        <v>1960</v>
      </c>
      <c r="B1923" s="20">
        <f ca="1">INDIRECT(ADDRESS(MATCH(A1923,Raw!$A:$A,0),2,1,1,"Raw"))</f>
        <v>0</v>
      </c>
      <c r="C1923" s="20">
        <f>INDEX(Raw!$C:$C,MATCH(A1923,Raw!$A:$A,0))</f>
        <v>0</v>
      </c>
      <c r="D1923" s="21"/>
    </row>
    <row r="1924" spans="1:4" ht="11.25" customHeight="1" x14ac:dyDescent="0.25">
      <c r="A1924" s="22" t="s">
        <v>1961</v>
      </c>
      <c r="B1924" s="20">
        <f ca="1">INDIRECT(ADDRESS(MATCH(A1924,Raw!$A:$A,0),2,1,1,"Raw"))</f>
        <v>0</v>
      </c>
      <c r="C1924" s="20">
        <f>INDEX(Raw!$C:$C,MATCH(A1924,Raw!$A:$A,0))</f>
        <v>0</v>
      </c>
      <c r="D1924" s="21"/>
    </row>
    <row r="1925" spans="1:4" ht="11.25" customHeight="1" x14ac:dyDescent="0.25">
      <c r="A1925" s="22" t="s">
        <v>1962</v>
      </c>
      <c r="B1925" s="20">
        <f ca="1">INDIRECT(ADDRESS(MATCH(A1925,Raw!$A:$A,0),2,1,1,"Raw"))</f>
        <v>0</v>
      </c>
      <c r="C1925" s="20">
        <f>INDEX(Raw!$C:$C,MATCH(A1925,Raw!$A:$A,0))</f>
        <v>0</v>
      </c>
      <c r="D1925" s="21"/>
    </row>
    <row r="1926" spans="1:4" ht="11.25" customHeight="1" x14ac:dyDescent="0.25">
      <c r="A1926" s="22" t="s">
        <v>1963</v>
      </c>
      <c r="B1926" s="20">
        <f ca="1">INDIRECT(ADDRESS(MATCH(A1926,Raw!$A:$A,0),2,1,1,"Raw"))</f>
        <v>0</v>
      </c>
      <c r="C1926" s="20">
        <f>INDEX(Raw!$C:$C,MATCH(A1926,Raw!$A:$A,0))</f>
        <v>0</v>
      </c>
      <c r="D1926" s="21"/>
    </row>
    <row r="1927" spans="1:4" ht="11.25" customHeight="1" x14ac:dyDescent="0.25">
      <c r="A1927" s="22" t="s">
        <v>1964</v>
      </c>
      <c r="B1927" s="20">
        <f ca="1">INDIRECT(ADDRESS(MATCH(A1927,Raw!$A:$A,0),2,1,1,"Raw"))</f>
        <v>0</v>
      </c>
      <c r="C1927" s="20">
        <f>INDEX(Raw!$C:$C,MATCH(A1927,Raw!$A:$A,0))</f>
        <v>0</v>
      </c>
      <c r="D1927" s="21"/>
    </row>
    <row r="1928" spans="1:4" ht="11.25" customHeight="1" x14ac:dyDescent="0.25">
      <c r="A1928" s="22" t="s">
        <v>1965</v>
      </c>
      <c r="B1928" s="20">
        <f ca="1">INDIRECT(ADDRESS(MATCH(A1928,Raw!$A:$A,0),2,1,1,"Raw"))</f>
        <v>0</v>
      </c>
      <c r="C1928" s="20">
        <f>INDEX(Raw!$C:$C,MATCH(A1928,Raw!$A:$A,0))</f>
        <v>0</v>
      </c>
      <c r="D1928" s="21"/>
    </row>
    <row r="1929" spans="1:4" ht="11.25" customHeight="1" x14ac:dyDescent="0.25">
      <c r="A1929" s="22" t="s">
        <v>1966</v>
      </c>
      <c r="B1929" s="20">
        <f ca="1">INDIRECT(ADDRESS(MATCH(A1929,Raw!$A:$A,0),2,1,1,"Raw"))</f>
        <v>0</v>
      </c>
      <c r="C1929" s="20">
        <f>INDEX(Raw!$C:$C,MATCH(A1929,Raw!$A:$A,0))</f>
        <v>0</v>
      </c>
      <c r="D1929" s="21"/>
    </row>
    <row r="1930" spans="1:4" ht="11.25" customHeight="1" x14ac:dyDescent="0.25">
      <c r="A1930" s="22" t="s">
        <v>1967</v>
      </c>
      <c r="B1930" s="20">
        <f ca="1">INDIRECT(ADDRESS(MATCH(A1930,Raw!$A:$A,0),2,1,1,"Raw"))</f>
        <v>0</v>
      </c>
      <c r="C1930" s="20">
        <f>INDEX(Raw!$C:$C,MATCH(A1930,Raw!$A:$A,0))</f>
        <v>0</v>
      </c>
      <c r="D1930" s="21"/>
    </row>
    <row r="1931" spans="1:4" ht="11.25" customHeight="1" x14ac:dyDescent="0.25">
      <c r="A1931" s="22" t="s">
        <v>1968</v>
      </c>
      <c r="B1931" s="20">
        <f ca="1">INDIRECT(ADDRESS(MATCH(A1931,Raw!$A:$A,0),2,1,1,"Raw"))</f>
        <v>0</v>
      </c>
      <c r="C1931" s="20">
        <f>INDEX(Raw!$C:$C,MATCH(A1931,Raw!$A:$A,0))</f>
        <v>0</v>
      </c>
      <c r="D1931" s="21"/>
    </row>
    <row r="1932" spans="1:4" ht="11.25" customHeight="1" x14ac:dyDescent="0.25">
      <c r="A1932" s="22" t="s">
        <v>1969</v>
      </c>
      <c r="B1932" s="20">
        <f ca="1">INDIRECT(ADDRESS(MATCH(A1932,Raw!$A:$A,0),2,1,1,"Raw"))</f>
        <v>0</v>
      </c>
      <c r="C1932" s="20">
        <f>INDEX(Raw!$C:$C,MATCH(A1932,Raw!$A:$A,0))</f>
        <v>0</v>
      </c>
      <c r="D1932" s="21"/>
    </row>
    <row r="1933" spans="1:4" ht="11.25" customHeight="1" x14ac:dyDescent="0.25">
      <c r="A1933" s="22" t="s">
        <v>1970</v>
      </c>
      <c r="B1933" s="20">
        <f ca="1">INDIRECT(ADDRESS(MATCH(A1933,Raw!$A:$A,0),2,1,1,"Raw"))</f>
        <v>0</v>
      </c>
      <c r="C1933" s="20">
        <f>INDEX(Raw!$C:$C,MATCH(A1933,Raw!$A:$A,0))</f>
        <v>0</v>
      </c>
      <c r="D1933" s="21"/>
    </row>
    <row r="1934" spans="1:4" ht="11.25" customHeight="1" x14ac:dyDescent="0.25">
      <c r="A1934" s="22" t="s">
        <v>1971</v>
      </c>
      <c r="B1934" s="20">
        <f ca="1">INDIRECT(ADDRESS(MATCH(A1934,Raw!$A:$A,0),2,1,1,"Raw"))</f>
        <v>0</v>
      </c>
      <c r="C1934" s="20">
        <f>INDEX(Raw!$C:$C,MATCH(A1934,Raw!$A:$A,0))</f>
        <v>0</v>
      </c>
      <c r="D1934" s="21"/>
    </row>
    <row r="1935" spans="1:4" ht="11.25" customHeight="1" x14ac:dyDescent="0.25">
      <c r="A1935" s="22" t="s">
        <v>1972</v>
      </c>
      <c r="B1935" s="20">
        <f ca="1">INDIRECT(ADDRESS(MATCH(A1935,Raw!$A:$A,0),2,1,1,"Raw"))</f>
        <v>0</v>
      </c>
      <c r="C1935" s="20">
        <f>INDEX(Raw!$C:$C,MATCH(A1935,Raw!$A:$A,0))</f>
        <v>0</v>
      </c>
      <c r="D1935" s="21"/>
    </row>
    <row r="1936" spans="1:4" ht="11.25" customHeight="1" x14ac:dyDescent="0.25">
      <c r="A1936" s="22" t="s">
        <v>1973</v>
      </c>
      <c r="B1936" s="20">
        <f ca="1">INDIRECT(ADDRESS(MATCH(A1936,Raw!$A:$A,0),2,1,1,"Raw"))</f>
        <v>0</v>
      </c>
      <c r="C1936" s="20">
        <f>INDEX(Raw!$C:$C,MATCH(A1936,Raw!$A:$A,0))</f>
        <v>0</v>
      </c>
      <c r="D1936" s="21"/>
    </row>
    <row r="1937" spans="1:4" ht="11.25" customHeight="1" x14ac:dyDescent="0.25">
      <c r="A1937" s="22" t="s">
        <v>1974</v>
      </c>
      <c r="B1937" s="20">
        <f ca="1">INDIRECT(ADDRESS(MATCH(A1937,Raw!$A:$A,0),2,1,1,"Raw"))</f>
        <v>0</v>
      </c>
      <c r="C1937" s="20">
        <f>INDEX(Raw!$C:$C,MATCH(A1937,Raw!$A:$A,0))</f>
        <v>0</v>
      </c>
      <c r="D1937" s="21"/>
    </row>
    <row r="1938" spans="1:4" ht="11.25" customHeight="1" x14ac:dyDescent="0.25">
      <c r="A1938" s="22" t="s">
        <v>1975</v>
      </c>
      <c r="B1938" s="20">
        <f ca="1">INDIRECT(ADDRESS(MATCH(A1938,Raw!$A:$A,0),2,1,1,"Raw"))</f>
        <v>0</v>
      </c>
      <c r="C1938" s="20">
        <f>INDEX(Raw!$C:$C,MATCH(A1938,Raw!$A:$A,0))</f>
        <v>0</v>
      </c>
      <c r="D1938" s="21"/>
    </row>
    <row r="1939" spans="1:4" ht="11.25" customHeight="1" x14ac:dyDescent="0.25">
      <c r="A1939" s="22" t="s">
        <v>1976</v>
      </c>
      <c r="B1939" s="20">
        <f ca="1">INDIRECT(ADDRESS(MATCH(A1939,Raw!$A:$A,0),2,1,1,"Raw"))</f>
        <v>0</v>
      </c>
      <c r="C1939" s="20">
        <f>INDEX(Raw!$C:$C,MATCH(A1939,Raw!$A:$A,0))</f>
        <v>0</v>
      </c>
      <c r="D1939" s="21"/>
    </row>
    <row r="1940" spans="1:4" ht="11.25" customHeight="1" x14ac:dyDescent="0.25">
      <c r="A1940" s="22" t="s">
        <v>1977</v>
      </c>
      <c r="B1940" s="20">
        <f ca="1">INDIRECT(ADDRESS(MATCH(A1940,Raw!$A:$A,0),2,1,1,"Raw"))</f>
        <v>0</v>
      </c>
      <c r="C1940" s="20">
        <f>INDEX(Raw!$C:$C,MATCH(A1940,Raw!$A:$A,0))</f>
        <v>0</v>
      </c>
      <c r="D1940" s="21"/>
    </row>
    <row r="1941" spans="1:4" ht="11.25" customHeight="1" x14ac:dyDescent="0.25">
      <c r="A1941" s="22" t="s">
        <v>1978</v>
      </c>
      <c r="B1941" s="20">
        <f ca="1">INDIRECT(ADDRESS(MATCH(A1941,Raw!$A:$A,0),2,1,1,"Raw"))</f>
        <v>0</v>
      </c>
      <c r="C1941" s="20">
        <f>INDEX(Raw!$C:$C,MATCH(A1941,Raw!$A:$A,0))</f>
        <v>0</v>
      </c>
      <c r="D1941" s="21"/>
    </row>
    <row r="1942" spans="1:4" ht="11.25" customHeight="1" x14ac:dyDescent="0.25">
      <c r="A1942" s="22" t="s">
        <v>1979</v>
      </c>
      <c r="B1942" s="20">
        <f ca="1">INDIRECT(ADDRESS(MATCH(A1942,Raw!$A:$A,0),2,1,1,"Raw"))</f>
        <v>0</v>
      </c>
      <c r="C1942" s="20">
        <f>INDEX(Raw!$C:$C,MATCH(A1942,Raw!$A:$A,0))</f>
        <v>0</v>
      </c>
      <c r="D1942" s="21"/>
    </row>
    <row r="1943" spans="1:4" ht="11.25" customHeight="1" x14ac:dyDescent="0.25">
      <c r="A1943" s="22" t="s">
        <v>1980</v>
      </c>
      <c r="B1943" s="20">
        <f ca="1">INDIRECT(ADDRESS(MATCH(A1943,Raw!$A:$A,0),2,1,1,"Raw"))</f>
        <v>0</v>
      </c>
      <c r="C1943" s="20">
        <f>INDEX(Raw!$C:$C,MATCH(A1943,Raw!$A:$A,0))</f>
        <v>0</v>
      </c>
      <c r="D1943" s="21"/>
    </row>
    <row r="1944" spans="1:4" ht="11.25" customHeight="1" x14ac:dyDescent="0.25">
      <c r="A1944" s="22" t="s">
        <v>1981</v>
      </c>
      <c r="B1944" s="20">
        <f ca="1">INDIRECT(ADDRESS(MATCH(A1944,Raw!$A:$A,0),2,1,1,"Raw"))</f>
        <v>0</v>
      </c>
      <c r="C1944" s="20">
        <f>INDEX(Raw!$C:$C,MATCH(A1944,Raw!$A:$A,0))</f>
        <v>0</v>
      </c>
      <c r="D1944" s="21"/>
    </row>
    <row r="1945" spans="1:4" ht="11.25" customHeight="1" x14ac:dyDescent="0.25">
      <c r="A1945" s="22" t="s">
        <v>1982</v>
      </c>
      <c r="B1945" s="20">
        <f ca="1">INDIRECT(ADDRESS(MATCH(A1945,Raw!$A:$A,0),2,1,1,"Raw"))</f>
        <v>0</v>
      </c>
      <c r="C1945" s="20">
        <f>INDEX(Raw!$C:$C,MATCH(A1945,Raw!$A:$A,0))</f>
        <v>0</v>
      </c>
      <c r="D1945" s="21"/>
    </row>
    <row r="1946" spans="1:4" ht="11.25" customHeight="1" x14ac:dyDescent="0.25">
      <c r="A1946" s="22" t="s">
        <v>1983</v>
      </c>
      <c r="B1946" s="20">
        <f ca="1">INDIRECT(ADDRESS(MATCH(A1946,Raw!$A:$A,0),2,1,1,"Raw"))</f>
        <v>0</v>
      </c>
      <c r="C1946" s="20">
        <f>INDEX(Raw!$C:$C,MATCH(A1946,Raw!$A:$A,0))</f>
        <v>0</v>
      </c>
      <c r="D1946" s="21"/>
    </row>
    <row r="1947" spans="1:4" ht="11.25" customHeight="1" x14ac:dyDescent="0.25">
      <c r="A1947" s="22" t="s">
        <v>1984</v>
      </c>
      <c r="B1947" s="20">
        <f ca="1">INDIRECT(ADDRESS(MATCH(A1947,Raw!$A:$A,0),2,1,1,"Raw"))</f>
        <v>0</v>
      </c>
      <c r="C1947" s="20">
        <f>INDEX(Raw!$C:$C,MATCH(A1947,Raw!$A:$A,0))</f>
        <v>0</v>
      </c>
      <c r="D1947" s="21"/>
    </row>
    <row r="1948" spans="1:4" ht="11.25" customHeight="1" x14ac:dyDescent="0.25">
      <c r="A1948" s="22" t="s">
        <v>1985</v>
      </c>
      <c r="B1948" s="20">
        <f ca="1">INDIRECT(ADDRESS(MATCH(A1948,Raw!$A:$A,0),2,1,1,"Raw"))</f>
        <v>0</v>
      </c>
      <c r="C1948" s="20">
        <f>INDEX(Raw!$C:$C,MATCH(A1948,Raw!$A:$A,0))</f>
        <v>0</v>
      </c>
      <c r="D1948" s="21"/>
    </row>
    <row r="1949" spans="1:4" ht="11.25" customHeight="1" x14ac:dyDescent="0.25">
      <c r="A1949" s="22" t="s">
        <v>1986</v>
      </c>
      <c r="B1949" s="20">
        <f ca="1">INDIRECT(ADDRESS(MATCH(A1949,Raw!$A:$A,0),2,1,1,"Raw"))</f>
        <v>0</v>
      </c>
      <c r="C1949" s="20">
        <f>INDEX(Raw!$C:$C,MATCH(A1949,Raw!$A:$A,0))</f>
        <v>0</v>
      </c>
      <c r="D1949" s="21"/>
    </row>
    <row r="1950" spans="1:4" ht="11.25" customHeight="1" x14ac:dyDescent="0.25">
      <c r="A1950" s="22" t="s">
        <v>1987</v>
      </c>
      <c r="B1950" s="20">
        <f ca="1">INDIRECT(ADDRESS(MATCH(A1950,Raw!$A:$A,0),2,1,1,"Raw"))</f>
        <v>0</v>
      </c>
      <c r="C1950" s="20">
        <f>INDEX(Raw!$C:$C,MATCH(A1950,Raw!$A:$A,0))</f>
        <v>0</v>
      </c>
      <c r="D1950" s="21"/>
    </row>
    <row r="1951" spans="1:4" ht="11.25" customHeight="1" x14ac:dyDescent="0.25">
      <c r="A1951" s="22" t="s">
        <v>1988</v>
      </c>
      <c r="B1951" s="20">
        <f ca="1">INDIRECT(ADDRESS(MATCH(A1951,Raw!$A:$A,0),2,1,1,"Raw"))</f>
        <v>0</v>
      </c>
      <c r="C1951" s="20">
        <f>INDEX(Raw!$C:$C,MATCH(A1951,Raw!$A:$A,0))</f>
        <v>0</v>
      </c>
      <c r="D1951" s="21"/>
    </row>
    <row r="1952" spans="1:4" ht="11.25" customHeight="1" x14ac:dyDescent="0.25">
      <c r="A1952" s="22" t="s">
        <v>1989</v>
      </c>
      <c r="B1952" s="20">
        <f ca="1">INDIRECT(ADDRESS(MATCH(A1952,Raw!$A:$A,0),2,1,1,"Raw"))</f>
        <v>0</v>
      </c>
      <c r="C1952" s="20">
        <f>INDEX(Raw!$C:$C,MATCH(A1952,Raw!$A:$A,0))</f>
        <v>0</v>
      </c>
      <c r="D1952" s="21"/>
    </row>
    <row r="1953" spans="1:4" ht="11.25" customHeight="1" x14ac:dyDescent="0.25">
      <c r="A1953" s="22" t="s">
        <v>1990</v>
      </c>
      <c r="B1953" s="20">
        <f ca="1">INDIRECT(ADDRESS(MATCH(A1953,Raw!$A:$A,0),2,1,1,"Raw"))</f>
        <v>0</v>
      </c>
      <c r="C1953" s="20">
        <f>INDEX(Raw!$C:$C,MATCH(A1953,Raw!$A:$A,0))</f>
        <v>0</v>
      </c>
      <c r="D1953" s="21"/>
    </row>
    <row r="1954" spans="1:4" ht="11.25" customHeight="1" x14ac:dyDescent="0.25">
      <c r="A1954" s="22" t="s">
        <v>1991</v>
      </c>
      <c r="B1954" s="20">
        <f ca="1">INDIRECT(ADDRESS(MATCH(A1954,Raw!$A:$A,0),2,1,1,"Raw"))</f>
        <v>0</v>
      </c>
      <c r="C1954" s="20">
        <f>INDEX(Raw!$C:$C,MATCH(A1954,Raw!$A:$A,0))</f>
        <v>0</v>
      </c>
      <c r="D1954" s="21"/>
    </row>
    <row r="1955" spans="1:4" ht="11.25" customHeight="1" x14ac:dyDescent="0.25">
      <c r="A1955" s="22" t="s">
        <v>1992</v>
      </c>
      <c r="B1955" s="20">
        <f ca="1">INDIRECT(ADDRESS(MATCH(A1955,Raw!$A:$A,0),2,1,1,"Raw"))</f>
        <v>0</v>
      </c>
      <c r="C1955" s="20">
        <f>INDEX(Raw!$C:$C,MATCH(A1955,Raw!$A:$A,0))</f>
        <v>0</v>
      </c>
      <c r="D1955" s="21"/>
    </row>
    <row r="1956" spans="1:4" ht="11.25" customHeight="1" x14ac:dyDescent="0.25">
      <c r="A1956" s="22" t="s">
        <v>1993</v>
      </c>
      <c r="B1956" s="20">
        <f ca="1">INDIRECT(ADDRESS(MATCH(A1956,Raw!$A:$A,0),2,1,1,"Raw"))</f>
        <v>0</v>
      </c>
      <c r="C1956" s="20">
        <f>INDEX(Raw!$C:$C,MATCH(A1956,Raw!$A:$A,0))</f>
        <v>0</v>
      </c>
      <c r="D1956" s="21"/>
    </row>
    <row r="1957" spans="1:4" ht="11.25" customHeight="1" x14ac:dyDescent="0.25">
      <c r="A1957" s="22" t="s">
        <v>1994</v>
      </c>
      <c r="B1957" s="20">
        <f ca="1">INDIRECT(ADDRESS(MATCH(A1957,Raw!$A:$A,0),2,1,1,"Raw"))</f>
        <v>0</v>
      </c>
      <c r="C1957" s="20">
        <f>INDEX(Raw!$C:$C,MATCH(A1957,Raw!$A:$A,0))</f>
        <v>0</v>
      </c>
      <c r="D1957" s="21"/>
    </row>
    <row r="1958" spans="1:4" ht="11.25" customHeight="1" x14ac:dyDescent="0.25">
      <c r="A1958" s="22" t="s">
        <v>1995</v>
      </c>
      <c r="B1958" s="20">
        <f ca="1">INDIRECT(ADDRESS(MATCH(A1958,Raw!$A:$A,0),2,1,1,"Raw"))</f>
        <v>0</v>
      </c>
      <c r="C1958" s="20">
        <f>INDEX(Raw!$C:$C,MATCH(A1958,Raw!$A:$A,0))</f>
        <v>0</v>
      </c>
      <c r="D1958" s="21"/>
    </row>
    <row r="1959" spans="1:4" ht="11.25" customHeight="1" x14ac:dyDescent="0.25">
      <c r="A1959" s="22" t="s">
        <v>1996</v>
      </c>
      <c r="B1959" s="20">
        <f ca="1">INDIRECT(ADDRESS(MATCH(A1959,Raw!$A:$A,0),2,1,1,"Raw"))</f>
        <v>0</v>
      </c>
      <c r="C1959" s="20">
        <f>INDEX(Raw!$C:$C,MATCH(A1959,Raw!$A:$A,0))</f>
        <v>0</v>
      </c>
      <c r="D1959" s="21"/>
    </row>
    <row r="1960" spans="1:4" ht="11.25" customHeight="1" x14ac:dyDescent="0.25">
      <c r="A1960" s="22" t="s">
        <v>1997</v>
      </c>
      <c r="B1960" s="20">
        <f ca="1">INDIRECT(ADDRESS(MATCH(A1960,Raw!$A:$A,0),2,1,1,"Raw"))</f>
        <v>0</v>
      </c>
      <c r="C1960" s="20">
        <f>INDEX(Raw!$C:$C,MATCH(A1960,Raw!$A:$A,0))</f>
        <v>0</v>
      </c>
      <c r="D1960" s="21"/>
    </row>
    <row r="1961" spans="1:4" ht="11.25" customHeight="1" x14ac:dyDescent="0.25">
      <c r="A1961" s="22" t="s">
        <v>1998</v>
      </c>
      <c r="B1961" s="20">
        <f ca="1">INDIRECT(ADDRESS(MATCH(A1961,Raw!$A:$A,0),2,1,1,"Raw"))</f>
        <v>0</v>
      </c>
      <c r="C1961" s="20">
        <f>INDEX(Raw!$C:$C,MATCH(A1961,Raw!$A:$A,0))</f>
        <v>0</v>
      </c>
      <c r="D1961" s="21"/>
    </row>
    <row r="1962" spans="1:4" ht="11.25" customHeight="1" x14ac:dyDescent="0.25">
      <c r="A1962" s="22" t="s">
        <v>1999</v>
      </c>
      <c r="B1962" s="20">
        <f ca="1">INDIRECT(ADDRESS(MATCH(A1962,Raw!$A:$A,0),2,1,1,"Raw"))</f>
        <v>0</v>
      </c>
      <c r="C1962" s="20">
        <f>INDEX(Raw!$C:$C,MATCH(A1962,Raw!$A:$A,0))</f>
        <v>0</v>
      </c>
      <c r="D1962" s="21"/>
    </row>
    <row r="1963" spans="1:4" ht="11.25" customHeight="1" x14ac:dyDescent="0.25">
      <c r="A1963" s="22" t="s">
        <v>2000</v>
      </c>
      <c r="B1963" s="20">
        <f ca="1">INDIRECT(ADDRESS(MATCH(A1963,Raw!$A:$A,0),2,1,1,"Raw"))</f>
        <v>0</v>
      </c>
      <c r="C1963" s="20">
        <f>INDEX(Raw!$C:$C,MATCH(A1963,Raw!$A:$A,0))</f>
        <v>0</v>
      </c>
      <c r="D1963" s="21"/>
    </row>
    <row r="1964" spans="1:4" ht="11.25" customHeight="1" x14ac:dyDescent="0.25">
      <c r="A1964" s="22" t="s">
        <v>2001</v>
      </c>
      <c r="B1964" s="20">
        <f ca="1">INDIRECT(ADDRESS(MATCH(A1964,Raw!$A:$A,0),2,1,1,"Raw"))</f>
        <v>0</v>
      </c>
      <c r="C1964" s="20">
        <f>INDEX(Raw!$C:$C,MATCH(A1964,Raw!$A:$A,0))</f>
        <v>0</v>
      </c>
      <c r="D1964" s="21"/>
    </row>
    <row r="1965" spans="1:4" ht="11.25" customHeight="1" x14ac:dyDescent="0.25">
      <c r="A1965" s="22" t="s">
        <v>2002</v>
      </c>
      <c r="B1965" s="20">
        <f ca="1">INDIRECT(ADDRESS(MATCH(A1965,Raw!$A:$A,0),2,1,1,"Raw"))</f>
        <v>0</v>
      </c>
      <c r="C1965" s="20">
        <f>INDEX(Raw!$C:$C,MATCH(A1965,Raw!$A:$A,0))</f>
        <v>0</v>
      </c>
      <c r="D1965" s="21"/>
    </row>
    <row r="1966" spans="1:4" ht="11.25" customHeight="1" x14ac:dyDescent="0.25">
      <c r="A1966" s="22" t="s">
        <v>2003</v>
      </c>
      <c r="B1966" s="20">
        <f ca="1">INDIRECT(ADDRESS(MATCH(A1966,Raw!$A:$A,0),2,1,1,"Raw"))</f>
        <v>0</v>
      </c>
      <c r="C1966" s="20">
        <f>INDEX(Raw!$C:$C,MATCH(A1966,Raw!$A:$A,0))</f>
        <v>0</v>
      </c>
      <c r="D1966" s="21"/>
    </row>
    <row r="1967" spans="1:4" ht="11.25" customHeight="1" x14ac:dyDescent="0.25">
      <c r="A1967" s="22" t="s">
        <v>2004</v>
      </c>
      <c r="B1967" s="20">
        <f ca="1">INDIRECT(ADDRESS(MATCH(A1967,Raw!$A:$A,0),2,1,1,"Raw"))</f>
        <v>0</v>
      </c>
      <c r="C1967" s="20">
        <f>INDEX(Raw!$C:$C,MATCH(A1967,Raw!$A:$A,0))</f>
        <v>0</v>
      </c>
      <c r="D1967" s="21"/>
    </row>
    <row r="1968" spans="1:4" ht="11.25" customHeight="1" x14ac:dyDescent="0.25">
      <c r="A1968" s="22" t="s">
        <v>2005</v>
      </c>
      <c r="B1968" s="20">
        <f ca="1">INDIRECT(ADDRESS(MATCH(A1968,Raw!$A:$A,0),2,1,1,"Raw"))</f>
        <v>0</v>
      </c>
      <c r="C1968" s="20">
        <f>INDEX(Raw!$C:$C,MATCH(A1968,Raw!$A:$A,0))</f>
        <v>0</v>
      </c>
      <c r="D1968" s="21"/>
    </row>
    <row r="1969" spans="1:4" ht="11.25" customHeight="1" x14ac:dyDescent="0.25">
      <c r="A1969" s="22" t="s">
        <v>2006</v>
      </c>
      <c r="B1969" s="20">
        <f ca="1">INDIRECT(ADDRESS(MATCH(A1969,Raw!$A:$A,0),2,1,1,"Raw"))</f>
        <v>0</v>
      </c>
      <c r="C1969" s="20">
        <f>INDEX(Raw!$C:$C,MATCH(A1969,Raw!$A:$A,0))</f>
        <v>0</v>
      </c>
      <c r="D1969" s="21"/>
    </row>
    <row r="1970" spans="1:4" ht="11.25" customHeight="1" x14ac:dyDescent="0.25">
      <c r="A1970" s="22" t="s">
        <v>2007</v>
      </c>
      <c r="B1970" s="20">
        <f ca="1">INDIRECT(ADDRESS(MATCH(A1970,Raw!$A:$A,0),2,1,1,"Raw"))</f>
        <v>0</v>
      </c>
      <c r="C1970" s="20">
        <f>INDEX(Raw!$C:$C,MATCH(A1970,Raw!$A:$A,0))</f>
        <v>0</v>
      </c>
      <c r="D1970" s="21"/>
    </row>
    <row r="1971" spans="1:4" ht="11.25" customHeight="1" x14ac:dyDescent="0.25">
      <c r="A1971" s="22" t="s">
        <v>2008</v>
      </c>
      <c r="B1971" s="20">
        <f ca="1">INDIRECT(ADDRESS(MATCH(A1971,Raw!$A:$A,0),2,1,1,"Raw"))</f>
        <v>0</v>
      </c>
      <c r="C1971" s="20">
        <f>INDEX(Raw!$C:$C,MATCH(A1971,Raw!$A:$A,0))</f>
        <v>0</v>
      </c>
      <c r="D1971" s="21"/>
    </row>
    <row r="1972" spans="1:4" ht="11.25" customHeight="1" x14ac:dyDescent="0.25">
      <c r="A1972" s="22" t="s">
        <v>2009</v>
      </c>
      <c r="B1972" s="20">
        <f ca="1">INDIRECT(ADDRESS(MATCH(A1972,Raw!$A:$A,0),2,1,1,"Raw"))</f>
        <v>0</v>
      </c>
      <c r="C1972" s="20">
        <f>INDEX(Raw!$C:$C,MATCH(A1972,Raw!$A:$A,0))</f>
        <v>0</v>
      </c>
      <c r="D1972" s="21"/>
    </row>
    <row r="1973" spans="1:4" ht="11.25" customHeight="1" x14ac:dyDescent="0.25">
      <c r="A1973" s="22" t="s">
        <v>2010</v>
      </c>
      <c r="B1973" s="20">
        <f ca="1">INDIRECT(ADDRESS(MATCH(A1973,Raw!$A:$A,0),2,1,1,"Raw"))</f>
        <v>0</v>
      </c>
      <c r="C1973" s="20">
        <f>INDEX(Raw!$C:$C,MATCH(A1973,Raw!$A:$A,0))</f>
        <v>0</v>
      </c>
      <c r="D1973" s="21"/>
    </row>
    <row r="1974" spans="1:4" ht="11.25" customHeight="1" x14ac:dyDescent="0.25">
      <c r="A1974" s="22" t="s">
        <v>2011</v>
      </c>
      <c r="B1974" s="20">
        <f ca="1">INDIRECT(ADDRESS(MATCH(A1974,Raw!$A:$A,0),2,1,1,"Raw"))</f>
        <v>0</v>
      </c>
      <c r="C1974" s="20">
        <f>INDEX(Raw!$C:$C,MATCH(A1974,Raw!$A:$A,0))</f>
        <v>0</v>
      </c>
      <c r="D1974" s="21"/>
    </row>
    <row r="1975" spans="1:4" ht="11.25" customHeight="1" x14ac:dyDescent="0.25">
      <c r="A1975" s="22" t="s">
        <v>2012</v>
      </c>
      <c r="B1975" s="20">
        <f ca="1">INDIRECT(ADDRESS(MATCH(A1975,Raw!$A:$A,0),2,1,1,"Raw"))</f>
        <v>0</v>
      </c>
      <c r="C1975" s="20">
        <f>INDEX(Raw!$C:$C,MATCH(A1975,Raw!$A:$A,0))</f>
        <v>0</v>
      </c>
      <c r="D1975" s="21"/>
    </row>
    <row r="1976" spans="1:4" ht="11.25" customHeight="1" x14ac:dyDescent="0.25">
      <c r="A1976" s="22" t="s">
        <v>2013</v>
      </c>
      <c r="B1976" s="20">
        <f ca="1">INDIRECT(ADDRESS(MATCH(A1976,Raw!$A:$A,0),2,1,1,"Raw"))</f>
        <v>0</v>
      </c>
      <c r="C1976" s="20">
        <f>INDEX(Raw!$C:$C,MATCH(A1976,Raw!$A:$A,0))</f>
        <v>0</v>
      </c>
      <c r="D1976" s="21"/>
    </row>
    <row r="1977" spans="1:4" ht="11.25" customHeight="1" x14ac:dyDescent="0.25">
      <c r="A1977" s="22" t="s">
        <v>2014</v>
      </c>
      <c r="B1977" s="20">
        <f ca="1">INDIRECT(ADDRESS(MATCH(A1977,Raw!$A:$A,0),2,1,1,"Raw"))</f>
        <v>0</v>
      </c>
      <c r="C1977" s="20">
        <f>INDEX(Raw!$C:$C,MATCH(A1977,Raw!$A:$A,0))</f>
        <v>0</v>
      </c>
      <c r="D1977" s="21"/>
    </row>
    <row r="1978" spans="1:4" ht="11.25" customHeight="1" x14ac:dyDescent="0.25">
      <c r="A1978" s="22" t="s">
        <v>2015</v>
      </c>
      <c r="B1978" s="20">
        <f ca="1">INDIRECT(ADDRESS(MATCH(A1978,Raw!$A:$A,0),2,1,1,"Raw"))</f>
        <v>0</v>
      </c>
      <c r="C1978" s="20">
        <f>INDEX(Raw!$C:$C,MATCH(A1978,Raw!$A:$A,0))</f>
        <v>0</v>
      </c>
      <c r="D1978" s="21"/>
    </row>
    <row r="1979" spans="1:4" ht="11.25" customHeight="1" x14ac:dyDescent="0.25">
      <c r="A1979" s="22" t="s">
        <v>2016</v>
      </c>
      <c r="B1979" s="20">
        <f ca="1">INDIRECT(ADDRESS(MATCH(A1979,Raw!$A:$A,0),2,1,1,"Raw"))</f>
        <v>0</v>
      </c>
      <c r="C1979" s="20">
        <f>INDEX(Raw!$C:$C,MATCH(A1979,Raw!$A:$A,0))</f>
        <v>0</v>
      </c>
      <c r="D1979" s="21"/>
    </row>
    <row r="1980" spans="1:4" ht="11.25" customHeight="1" x14ac:dyDescent="0.25">
      <c r="A1980" s="22" t="s">
        <v>2017</v>
      </c>
      <c r="B1980" s="20">
        <f ca="1">INDIRECT(ADDRESS(MATCH(A1980,Raw!$A:$A,0),2,1,1,"Raw"))</f>
        <v>0</v>
      </c>
      <c r="C1980" s="20">
        <f>INDEX(Raw!$C:$C,MATCH(A1980,Raw!$A:$A,0))</f>
        <v>0</v>
      </c>
      <c r="D1980" s="21"/>
    </row>
    <row r="1981" spans="1:4" ht="11.25" customHeight="1" x14ac:dyDescent="0.25">
      <c r="A1981" s="22" t="s">
        <v>2018</v>
      </c>
      <c r="B1981" s="20">
        <f ca="1">INDIRECT(ADDRESS(MATCH(A1981,Raw!$A:$A,0),2,1,1,"Raw"))</f>
        <v>0</v>
      </c>
      <c r="C1981" s="20">
        <f>INDEX(Raw!$C:$C,MATCH(A1981,Raw!$A:$A,0))</f>
        <v>0</v>
      </c>
      <c r="D1981" s="21"/>
    </row>
    <row r="1982" spans="1:4" ht="11.25" customHeight="1" x14ac:dyDescent="0.25">
      <c r="A1982" s="22" t="s">
        <v>2019</v>
      </c>
      <c r="B1982" s="20">
        <f ca="1">INDIRECT(ADDRESS(MATCH(A1982,Raw!$A:$A,0),2,1,1,"Raw"))</f>
        <v>0</v>
      </c>
      <c r="C1982" s="20">
        <f>INDEX(Raw!$C:$C,MATCH(A1982,Raw!$A:$A,0))</f>
        <v>0</v>
      </c>
      <c r="D1982" s="21"/>
    </row>
    <row r="1983" spans="1:4" ht="11.25" customHeight="1" x14ac:dyDescent="0.25">
      <c r="A1983" s="22" t="s">
        <v>2020</v>
      </c>
      <c r="B1983" s="20">
        <f ca="1">INDIRECT(ADDRESS(MATCH(A1983,Raw!$A:$A,0),2,1,1,"Raw"))</f>
        <v>0</v>
      </c>
      <c r="C1983" s="20">
        <f>INDEX(Raw!$C:$C,MATCH(A1983,Raw!$A:$A,0))</f>
        <v>0</v>
      </c>
      <c r="D1983" s="21"/>
    </row>
    <row r="1984" spans="1:4" ht="11.25" customHeight="1" x14ac:dyDescent="0.25">
      <c r="A1984" s="22" t="s">
        <v>2021</v>
      </c>
      <c r="B1984" s="20">
        <f ca="1">INDIRECT(ADDRESS(MATCH(A1984,Raw!$A:$A,0),2,1,1,"Raw"))</f>
        <v>0</v>
      </c>
      <c r="C1984" s="20">
        <f>INDEX(Raw!$C:$C,MATCH(A1984,Raw!$A:$A,0))</f>
        <v>0</v>
      </c>
      <c r="D1984" s="21"/>
    </row>
    <row r="1985" spans="1:4" ht="11.25" customHeight="1" x14ac:dyDescent="0.25">
      <c r="A1985" s="22" t="s">
        <v>2022</v>
      </c>
      <c r="B1985" s="20">
        <f ca="1">INDIRECT(ADDRESS(MATCH(A1985,Raw!$A:$A,0),2,1,1,"Raw"))</f>
        <v>0</v>
      </c>
      <c r="C1985" s="20">
        <f>INDEX(Raw!$C:$C,MATCH(A1985,Raw!$A:$A,0))</f>
        <v>0</v>
      </c>
      <c r="D1985" s="21"/>
    </row>
    <row r="1986" spans="1:4" ht="11.25" customHeight="1" x14ac:dyDescent="0.25">
      <c r="A1986" s="22" t="s">
        <v>2023</v>
      </c>
      <c r="B1986" s="20">
        <f ca="1">INDIRECT(ADDRESS(MATCH(A1986,Raw!$A:$A,0),2,1,1,"Raw"))</f>
        <v>0</v>
      </c>
      <c r="C1986" s="20">
        <f>INDEX(Raw!$C:$C,MATCH(A1986,Raw!$A:$A,0))</f>
        <v>0</v>
      </c>
      <c r="D1986" s="21"/>
    </row>
    <row r="1987" spans="1:4" ht="11.25" customHeight="1" x14ac:dyDescent="0.25">
      <c r="A1987" s="22" t="s">
        <v>2024</v>
      </c>
      <c r="B1987" s="20">
        <f ca="1">INDIRECT(ADDRESS(MATCH(A1987,Raw!$A:$A,0),2,1,1,"Raw"))</f>
        <v>0</v>
      </c>
      <c r="C1987" s="20">
        <f>INDEX(Raw!$C:$C,MATCH(A1987,Raw!$A:$A,0))</f>
        <v>0</v>
      </c>
      <c r="D1987" s="21"/>
    </row>
    <row r="1988" spans="1:4" ht="11.25" customHeight="1" x14ac:dyDescent="0.25">
      <c r="A1988" s="22" t="s">
        <v>2025</v>
      </c>
      <c r="B1988" s="20">
        <f ca="1">INDIRECT(ADDRESS(MATCH(A1988,Raw!$A:$A,0),2,1,1,"Raw"))</f>
        <v>0</v>
      </c>
      <c r="C1988" s="20">
        <f>INDEX(Raw!$C:$C,MATCH(A1988,Raw!$A:$A,0))</f>
        <v>0</v>
      </c>
      <c r="D1988" s="21"/>
    </row>
    <row r="1989" spans="1:4" ht="11.25" customHeight="1" x14ac:dyDescent="0.25">
      <c r="A1989" s="22" t="s">
        <v>2026</v>
      </c>
      <c r="B1989" s="20">
        <f ca="1">INDIRECT(ADDRESS(MATCH(A1989,Raw!$A:$A,0),2,1,1,"Raw"))</f>
        <v>0</v>
      </c>
      <c r="C1989" s="20">
        <f>INDEX(Raw!$C:$C,MATCH(A1989,Raw!$A:$A,0))</f>
        <v>0</v>
      </c>
      <c r="D1989" s="21"/>
    </row>
    <row r="1990" spans="1:4" ht="11.25" customHeight="1" x14ac:dyDescent="0.25">
      <c r="A1990" s="22" t="s">
        <v>2027</v>
      </c>
      <c r="B1990" s="20">
        <f ca="1">INDIRECT(ADDRESS(MATCH(A1990,Raw!$A:$A,0),2,1,1,"Raw"))</f>
        <v>0</v>
      </c>
      <c r="C1990" s="20">
        <f>INDEX(Raw!$C:$C,MATCH(A1990,Raw!$A:$A,0))</f>
        <v>0</v>
      </c>
      <c r="D1990" s="21"/>
    </row>
    <row r="1991" spans="1:4" ht="11.25" customHeight="1" x14ac:dyDescent="0.25">
      <c r="A1991" s="22" t="s">
        <v>2028</v>
      </c>
      <c r="B1991" s="20">
        <f ca="1">INDIRECT(ADDRESS(MATCH(A1991,Raw!$A:$A,0),2,1,1,"Raw"))</f>
        <v>0</v>
      </c>
      <c r="C1991" s="20">
        <f>INDEX(Raw!$C:$C,MATCH(A1991,Raw!$A:$A,0))</f>
        <v>0</v>
      </c>
      <c r="D1991" s="21"/>
    </row>
    <row r="1992" spans="1:4" ht="11.25" customHeight="1" x14ac:dyDescent="0.25">
      <c r="A1992" s="22" t="s">
        <v>2029</v>
      </c>
      <c r="B1992" s="20">
        <f ca="1">INDIRECT(ADDRESS(MATCH(A1992,Raw!$A:$A,0),2,1,1,"Raw"))</f>
        <v>0</v>
      </c>
      <c r="C1992" s="20">
        <f>INDEX(Raw!$C:$C,MATCH(A1992,Raw!$A:$A,0))</f>
        <v>0</v>
      </c>
      <c r="D1992" s="21"/>
    </row>
    <row r="1993" spans="1:4" ht="11.25" customHeight="1" x14ac:dyDescent="0.25">
      <c r="A1993" s="22" t="s">
        <v>2030</v>
      </c>
      <c r="B1993" s="20">
        <f ca="1">INDIRECT(ADDRESS(MATCH(A1993,Raw!$A:$A,0),2,1,1,"Raw"))</f>
        <v>0</v>
      </c>
      <c r="C1993" s="20">
        <f>INDEX(Raw!$C:$C,MATCH(A1993,Raw!$A:$A,0))</f>
        <v>0</v>
      </c>
      <c r="D1993" s="21"/>
    </row>
    <row r="1994" spans="1:4" ht="11.25" customHeight="1" x14ac:dyDescent="0.25">
      <c r="A1994" s="22" t="s">
        <v>2031</v>
      </c>
      <c r="B1994" s="20">
        <f ca="1">INDIRECT(ADDRESS(MATCH(A1994,Raw!$A:$A,0),2,1,1,"Raw"))</f>
        <v>0</v>
      </c>
      <c r="C1994" s="20">
        <f>INDEX(Raw!$C:$C,MATCH(A1994,Raw!$A:$A,0))</f>
        <v>0</v>
      </c>
      <c r="D1994" s="21"/>
    </row>
    <row r="1995" spans="1:4" ht="11.25" customHeight="1" x14ac:dyDescent="0.25">
      <c r="A1995" s="22" t="s">
        <v>2032</v>
      </c>
      <c r="B1995" s="20">
        <f ca="1">INDIRECT(ADDRESS(MATCH(A1995,Raw!$A:$A,0),2,1,1,"Raw"))</f>
        <v>0</v>
      </c>
      <c r="C1995" s="20">
        <f>INDEX(Raw!$C:$C,MATCH(A1995,Raw!$A:$A,0))</f>
        <v>0</v>
      </c>
      <c r="D1995" s="21"/>
    </row>
    <row r="1996" spans="1:4" ht="11.25" customHeight="1" x14ac:dyDescent="0.25">
      <c r="A1996" s="22" t="s">
        <v>2033</v>
      </c>
      <c r="B1996" s="20">
        <f ca="1">INDIRECT(ADDRESS(MATCH(A1996,Raw!$A:$A,0),2,1,1,"Raw"))</f>
        <v>0</v>
      </c>
      <c r="C1996" s="20">
        <f>INDEX(Raw!$C:$C,MATCH(A1996,Raw!$A:$A,0))</f>
        <v>0</v>
      </c>
      <c r="D1996" s="21"/>
    </row>
    <row r="1997" spans="1:4" ht="11.25" customHeight="1" x14ac:dyDescent="0.25">
      <c r="A1997" s="22" t="s">
        <v>2034</v>
      </c>
      <c r="B1997" s="20">
        <f ca="1">INDIRECT(ADDRESS(MATCH(A1997,Raw!$A:$A,0),2,1,1,"Raw"))</f>
        <v>0</v>
      </c>
      <c r="C1997" s="20">
        <f>INDEX(Raw!$C:$C,MATCH(A1997,Raw!$A:$A,0))</f>
        <v>0</v>
      </c>
      <c r="D1997" s="21"/>
    </row>
    <row r="1998" spans="1:4" ht="11.25" customHeight="1" x14ac:dyDescent="0.25">
      <c r="A1998" s="22" t="s">
        <v>2035</v>
      </c>
      <c r="B1998" s="20">
        <f ca="1">INDIRECT(ADDRESS(MATCH(A1998,Raw!$A:$A,0),2,1,1,"Raw"))</f>
        <v>0</v>
      </c>
      <c r="C1998" s="20">
        <f>INDEX(Raw!$C:$C,MATCH(A1998,Raw!$A:$A,0))</f>
        <v>0</v>
      </c>
      <c r="D1998" s="21"/>
    </row>
    <row r="1999" spans="1:4" ht="11.25" customHeight="1" x14ac:dyDescent="0.25">
      <c r="A1999" s="22" t="s">
        <v>2036</v>
      </c>
      <c r="B1999" s="20">
        <f ca="1">INDIRECT(ADDRESS(MATCH(A1999,Raw!$A:$A,0),2,1,1,"Raw"))</f>
        <v>0</v>
      </c>
      <c r="C1999" s="20">
        <f>INDEX(Raw!$C:$C,MATCH(A1999,Raw!$A:$A,0))</f>
        <v>0</v>
      </c>
      <c r="D1999" s="21"/>
    </row>
    <row r="2000" spans="1:4" ht="11.25" customHeight="1" x14ac:dyDescent="0.25">
      <c r="A2000" s="22" t="s">
        <v>2037</v>
      </c>
      <c r="B2000" s="20">
        <f ca="1">INDIRECT(ADDRESS(MATCH(A2000,Raw!$A:$A,0),2,1,1,"Raw"))</f>
        <v>0</v>
      </c>
      <c r="C2000" s="20">
        <f>INDEX(Raw!$C:$C,MATCH(A2000,Raw!$A:$A,0))</f>
        <v>0</v>
      </c>
      <c r="D2000" s="21"/>
    </row>
    <row r="2001" spans="1:4" ht="11.25" customHeight="1" x14ac:dyDescent="0.25">
      <c r="A2001" s="22" t="s">
        <v>2038</v>
      </c>
      <c r="B2001" s="20">
        <f ca="1">INDIRECT(ADDRESS(MATCH(A2001,Raw!$A:$A,0),2,1,1,"Raw"))</f>
        <v>0</v>
      </c>
      <c r="C2001" s="20">
        <f>INDEX(Raw!$C:$C,MATCH(A2001,Raw!$A:$A,0))</f>
        <v>0</v>
      </c>
      <c r="D2001" s="21"/>
    </row>
    <row r="2002" spans="1:4" ht="11.25" customHeight="1" x14ac:dyDescent="0.25">
      <c r="A2002" s="22" t="s">
        <v>2039</v>
      </c>
      <c r="B2002" s="20">
        <f ca="1">INDIRECT(ADDRESS(MATCH(A2002,Raw!$A:$A,0),2,1,1,"Raw"))</f>
        <v>0</v>
      </c>
      <c r="C2002" s="20">
        <f>INDEX(Raw!$C:$C,MATCH(A2002,Raw!$A:$A,0))</f>
        <v>0</v>
      </c>
      <c r="D2002" s="21"/>
    </row>
    <row r="2003" spans="1:4" ht="11.25" customHeight="1" x14ac:dyDescent="0.25">
      <c r="A2003" s="22" t="s">
        <v>2040</v>
      </c>
      <c r="B2003" s="20">
        <f ca="1">INDIRECT(ADDRESS(MATCH(A2003,Raw!$A:$A,0),2,1,1,"Raw"))</f>
        <v>0</v>
      </c>
      <c r="C2003" s="20">
        <f>INDEX(Raw!$C:$C,MATCH(A2003,Raw!$A:$A,0))</f>
        <v>0</v>
      </c>
      <c r="D2003" s="21"/>
    </row>
    <row r="2004" spans="1:4" ht="11.25" customHeight="1" x14ac:dyDescent="0.25">
      <c r="A2004" s="22" t="s">
        <v>2041</v>
      </c>
      <c r="B2004" s="20">
        <f ca="1">INDIRECT(ADDRESS(MATCH(A2004,Raw!$A:$A,0),2,1,1,"Raw"))</f>
        <v>0</v>
      </c>
      <c r="C2004" s="20">
        <f>INDEX(Raw!$C:$C,MATCH(A2004,Raw!$A:$A,0))</f>
        <v>0</v>
      </c>
      <c r="D2004" s="21"/>
    </row>
    <row r="2005" spans="1:4" ht="11.25" customHeight="1" x14ac:dyDescent="0.25">
      <c r="A2005" s="22" t="s">
        <v>2042</v>
      </c>
      <c r="B2005" s="20">
        <f ca="1">INDIRECT(ADDRESS(MATCH(A2005,Raw!$A:$A,0),2,1,1,"Raw"))</f>
        <v>0</v>
      </c>
      <c r="C2005" s="20">
        <f>INDEX(Raw!$C:$C,MATCH(A2005,Raw!$A:$A,0))</f>
        <v>0</v>
      </c>
      <c r="D2005" s="21"/>
    </row>
    <row r="2006" spans="1:4" ht="11.25" customHeight="1" x14ac:dyDescent="0.25">
      <c r="A2006" s="22" t="s">
        <v>2043</v>
      </c>
      <c r="B2006" s="20">
        <f ca="1">INDIRECT(ADDRESS(MATCH(A2006,Raw!$A:$A,0),2,1,1,"Raw"))</f>
        <v>0</v>
      </c>
      <c r="C2006" s="20">
        <f>INDEX(Raw!$C:$C,MATCH(A2006,Raw!$A:$A,0))</f>
        <v>0</v>
      </c>
      <c r="D2006" s="21"/>
    </row>
    <row r="2007" spans="1:4" ht="11.25" customHeight="1" x14ac:dyDescent="0.25">
      <c r="A2007" s="22" t="s">
        <v>2044</v>
      </c>
      <c r="B2007" s="20">
        <f ca="1">INDIRECT(ADDRESS(MATCH(A2007,Raw!$A:$A,0),2,1,1,"Raw"))</f>
        <v>0</v>
      </c>
      <c r="C2007" s="20">
        <f>INDEX(Raw!$C:$C,MATCH(A2007,Raw!$A:$A,0))</f>
        <v>0</v>
      </c>
      <c r="D2007" s="21"/>
    </row>
    <row r="2008" spans="1:4" ht="11.25" customHeight="1" x14ac:dyDescent="0.25">
      <c r="A2008" s="22" t="s">
        <v>2045</v>
      </c>
      <c r="B2008" s="20">
        <f ca="1">INDIRECT(ADDRESS(MATCH(A2008,Raw!$A:$A,0),2,1,1,"Raw"))</f>
        <v>0</v>
      </c>
      <c r="C2008" s="20">
        <f>INDEX(Raw!$C:$C,MATCH(A2008,Raw!$A:$A,0))</f>
        <v>0</v>
      </c>
      <c r="D2008" s="21"/>
    </row>
    <row r="2009" spans="1:4" ht="11.25" customHeight="1" x14ac:dyDescent="0.25">
      <c r="A2009" s="22" t="s">
        <v>2046</v>
      </c>
      <c r="B2009" s="20">
        <f ca="1">INDIRECT(ADDRESS(MATCH(A2009,Raw!$A:$A,0),2,1,1,"Raw"))</f>
        <v>0</v>
      </c>
      <c r="C2009" s="20">
        <f>INDEX(Raw!$C:$C,MATCH(A2009,Raw!$A:$A,0))</f>
        <v>0</v>
      </c>
      <c r="D2009" s="21"/>
    </row>
    <row r="2010" spans="1:4" ht="11.25" customHeight="1" x14ac:dyDescent="0.25">
      <c r="A2010" s="22" t="s">
        <v>2047</v>
      </c>
      <c r="B2010" s="20">
        <f ca="1">INDIRECT(ADDRESS(MATCH(A2010,Raw!$A:$A,0),2,1,1,"Raw"))</f>
        <v>0</v>
      </c>
      <c r="C2010" s="20">
        <f>INDEX(Raw!$C:$C,MATCH(A2010,Raw!$A:$A,0))</f>
        <v>0</v>
      </c>
      <c r="D2010" s="21"/>
    </row>
    <row r="2011" spans="1:4" ht="11.25" customHeight="1" x14ac:dyDescent="0.25">
      <c r="A2011" s="22" t="s">
        <v>2048</v>
      </c>
      <c r="B2011" s="20">
        <f ca="1">INDIRECT(ADDRESS(MATCH(A2011,Raw!$A:$A,0),2,1,1,"Raw"))</f>
        <v>0</v>
      </c>
      <c r="C2011" s="20">
        <f>INDEX(Raw!$C:$C,MATCH(A2011,Raw!$A:$A,0))</f>
        <v>0</v>
      </c>
      <c r="D2011" s="21"/>
    </row>
    <row r="2012" spans="1:4" ht="11.25" customHeight="1" x14ac:dyDescent="0.25">
      <c r="A2012" s="22" t="s">
        <v>2049</v>
      </c>
      <c r="B2012" s="20">
        <f ca="1">INDIRECT(ADDRESS(MATCH(A2012,Raw!$A:$A,0),2,1,1,"Raw"))</f>
        <v>0</v>
      </c>
      <c r="C2012" s="20">
        <f>INDEX(Raw!$C:$C,MATCH(A2012,Raw!$A:$A,0))</f>
        <v>0</v>
      </c>
      <c r="D2012" s="21"/>
    </row>
    <row r="2013" spans="1:4" ht="11.25" customHeight="1" x14ac:dyDescent="0.25">
      <c r="A2013" s="22" t="s">
        <v>2050</v>
      </c>
      <c r="B2013" s="20">
        <f ca="1">INDIRECT(ADDRESS(MATCH(A2013,Raw!$A:$A,0),2,1,1,"Raw"))</f>
        <v>0</v>
      </c>
      <c r="C2013" s="20">
        <f>INDEX(Raw!$C:$C,MATCH(A2013,Raw!$A:$A,0))</f>
        <v>0</v>
      </c>
      <c r="D2013" s="21"/>
    </row>
    <row r="2014" spans="1:4" ht="11.25" customHeight="1" x14ac:dyDescent="0.25">
      <c r="A2014" s="22" t="s">
        <v>2051</v>
      </c>
      <c r="B2014" s="20">
        <f ca="1">INDIRECT(ADDRESS(MATCH(A2014,Raw!$A:$A,0),2,1,1,"Raw"))</f>
        <v>0</v>
      </c>
      <c r="C2014" s="20">
        <f>INDEX(Raw!$C:$C,MATCH(A2014,Raw!$A:$A,0))</f>
        <v>0</v>
      </c>
      <c r="D2014" s="21"/>
    </row>
    <row r="2015" spans="1:4" ht="11.25" customHeight="1" x14ac:dyDescent="0.25">
      <c r="A2015" s="22" t="s">
        <v>2052</v>
      </c>
      <c r="B2015" s="20">
        <f ca="1">INDIRECT(ADDRESS(MATCH(A2015,Raw!$A:$A,0),2,1,1,"Raw"))</f>
        <v>0</v>
      </c>
      <c r="C2015" s="20">
        <f>INDEX(Raw!$C:$C,MATCH(A2015,Raw!$A:$A,0))</f>
        <v>0</v>
      </c>
      <c r="D2015" s="21"/>
    </row>
    <row r="2016" spans="1:4" ht="11.25" customHeight="1" x14ac:dyDescent="0.25">
      <c r="A2016" s="22" t="s">
        <v>2053</v>
      </c>
      <c r="B2016" s="20">
        <f ca="1">INDIRECT(ADDRESS(MATCH(A2016,Raw!$A:$A,0),2,1,1,"Raw"))</f>
        <v>0</v>
      </c>
      <c r="C2016" s="20">
        <f>INDEX(Raw!$C:$C,MATCH(A2016,Raw!$A:$A,0))</f>
        <v>0</v>
      </c>
      <c r="D2016" s="21"/>
    </row>
    <row r="2017" spans="1:4" ht="11.25" customHeight="1" x14ac:dyDescent="0.25">
      <c r="A2017" s="22" t="s">
        <v>2054</v>
      </c>
      <c r="B2017" s="20">
        <f ca="1">INDIRECT(ADDRESS(MATCH(A2017,Raw!$A:$A,0),2,1,1,"Raw"))</f>
        <v>0</v>
      </c>
      <c r="C2017" s="20">
        <f>INDEX(Raw!$C:$C,MATCH(A2017,Raw!$A:$A,0))</f>
        <v>0</v>
      </c>
      <c r="D2017" s="21"/>
    </row>
    <row r="2018" spans="1:4" ht="11.25" customHeight="1" x14ac:dyDescent="0.25">
      <c r="A2018" s="22" t="s">
        <v>2055</v>
      </c>
      <c r="B2018" s="20">
        <f ca="1">INDIRECT(ADDRESS(MATCH(A2018,Raw!$A:$A,0),2,1,1,"Raw"))</f>
        <v>0</v>
      </c>
      <c r="C2018" s="20">
        <f>INDEX(Raw!$C:$C,MATCH(A2018,Raw!$A:$A,0))</f>
        <v>0</v>
      </c>
      <c r="D2018" s="21"/>
    </row>
    <row r="2019" spans="1:4" ht="11.25" customHeight="1" x14ac:dyDescent="0.25">
      <c r="A2019" s="22" t="s">
        <v>2056</v>
      </c>
      <c r="B2019" s="20">
        <f ca="1">INDIRECT(ADDRESS(MATCH(A2019,Raw!$A:$A,0),2,1,1,"Raw"))</f>
        <v>0</v>
      </c>
      <c r="C2019" s="20">
        <f>INDEX(Raw!$C:$C,MATCH(A2019,Raw!$A:$A,0))</f>
        <v>0</v>
      </c>
      <c r="D2019" s="21"/>
    </row>
    <row r="2020" spans="1:4" ht="11.25" customHeight="1" x14ac:dyDescent="0.25">
      <c r="A2020" s="22" t="s">
        <v>2057</v>
      </c>
      <c r="B2020" s="20">
        <f ca="1">INDIRECT(ADDRESS(MATCH(A2020,Raw!$A:$A,0),2,1,1,"Raw"))</f>
        <v>0</v>
      </c>
      <c r="C2020" s="20">
        <f>INDEX(Raw!$C:$C,MATCH(A2020,Raw!$A:$A,0))</f>
        <v>0</v>
      </c>
      <c r="D2020" s="21"/>
    </row>
    <row r="2021" spans="1:4" ht="11.25" customHeight="1" x14ac:dyDescent="0.25">
      <c r="A2021" s="22" t="s">
        <v>2058</v>
      </c>
      <c r="B2021" s="20">
        <f ca="1">INDIRECT(ADDRESS(MATCH(A2021,Raw!$A:$A,0),2,1,1,"Raw"))</f>
        <v>0</v>
      </c>
      <c r="C2021" s="20">
        <f>INDEX(Raw!$C:$C,MATCH(A2021,Raw!$A:$A,0))</f>
        <v>0</v>
      </c>
      <c r="D2021" s="21"/>
    </row>
    <row r="2022" spans="1:4" ht="11.25" customHeight="1" x14ac:dyDescent="0.25">
      <c r="A2022" s="22" t="s">
        <v>2059</v>
      </c>
      <c r="B2022" s="20">
        <f ca="1">INDIRECT(ADDRESS(MATCH(A2022,Raw!$A:$A,0),2,1,1,"Raw"))</f>
        <v>0</v>
      </c>
      <c r="C2022" s="20">
        <f>INDEX(Raw!$C:$C,MATCH(A2022,Raw!$A:$A,0))</f>
        <v>0</v>
      </c>
      <c r="D2022" s="21"/>
    </row>
    <row r="2023" spans="1:4" ht="11.25" customHeight="1" x14ac:dyDescent="0.25">
      <c r="A2023" s="22" t="s">
        <v>2060</v>
      </c>
      <c r="B2023" s="20">
        <f ca="1">INDIRECT(ADDRESS(MATCH(A2023,Raw!$A:$A,0),2,1,1,"Raw"))</f>
        <v>0</v>
      </c>
      <c r="C2023" s="20">
        <f>INDEX(Raw!$C:$C,MATCH(A2023,Raw!$A:$A,0))</f>
        <v>0</v>
      </c>
      <c r="D2023" s="21"/>
    </row>
    <row r="2024" spans="1:4" ht="11.25" customHeight="1" x14ac:dyDescent="0.25">
      <c r="A2024" s="22" t="s">
        <v>2061</v>
      </c>
      <c r="B2024" s="20">
        <f ca="1">INDIRECT(ADDRESS(MATCH(A2024,Raw!$A:$A,0),2,1,1,"Raw"))</f>
        <v>0</v>
      </c>
      <c r="C2024" s="20">
        <f>INDEX(Raw!$C:$C,MATCH(A2024,Raw!$A:$A,0))</f>
        <v>0</v>
      </c>
      <c r="D2024" s="21"/>
    </row>
    <row r="2025" spans="1:4" ht="11.25" customHeight="1" x14ac:dyDescent="0.25">
      <c r="A2025" s="22" t="s">
        <v>2062</v>
      </c>
      <c r="B2025" s="20">
        <f ca="1">INDIRECT(ADDRESS(MATCH(A2025,Raw!$A:$A,0),2,1,1,"Raw"))</f>
        <v>0</v>
      </c>
      <c r="C2025" s="20">
        <f>INDEX(Raw!$C:$C,MATCH(A2025,Raw!$A:$A,0))</f>
        <v>0</v>
      </c>
      <c r="D2025" s="21"/>
    </row>
    <row r="2026" spans="1:4" ht="11.25" customHeight="1" x14ac:dyDescent="0.25">
      <c r="A2026" s="22" t="s">
        <v>2063</v>
      </c>
      <c r="B2026" s="20">
        <f ca="1">INDIRECT(ADDRESS(MATCH(A2026,Raw!$A:$A,0),2,1,1,"Raw"))</f>
        <v>0</v>
      </c>
      <c r="C2026" s="20">
        <f>INDEX(Raw!$C:$C,MATCH(A2026,Raw!$A:$A,0))</f>
        <v>0</v>
      </c>
      <c r="D2026" s="21"/>
    </row>
    <row r="2027" spans="1:4" ht="11.25" customHeight="1" x14ac:dyDescent="0.25">
      <c r="A2027" s="22" t="s">
        <v>2064</v>
      </c>
      <c r="B2027" s="20">
        <f ca="1">INDIRECT(ADDRESS(MATCH(A2027,Raw!$A:$A,0),2,1,1,"Raw"))</f>
        <v>0</v>
      </c>
      <c r="C2027" s="20">
        <f>INDEX(Raw!$C:$C,MATCH(A2027,Raw!$A:$A,0))</f>
        <v>0</v>
      </c>
      <c r="D2027" s="21"/>
    </row>
    <row r="2028" spans="1:4" ht="11.25" customHeight="1" x14ac:dyDescent="0.25">
      <c r="A2028" s="22" t="s">
        <v>2065</v>
      </c>
      <c r="B2028" s="20">
        <f ca="1">INDIRECT(ADDRESS(MATCH(A2028,Raw!$A:$A,0),2,1,1,"Raw"))</f>
        <v>0</v>
      </c>
      <c r="C2028" s="20">
        <f>INDEX(Raw!$C:$C,MATCH(A2028,Raw!$A:$A,0))</f>
        <v>0</v>
      </c>
      <c r="D2028" s="21"/>
    </row>
    <row r="2029" spans="1:4" ht="11.25" customHeight="1" x14ac:dyDescent="0.25">
      <c r="A2029" s="22" t="s">
        <v>2066</v>
      </c>
      <c r="B2029" s="20">
        <f ca="1">INDIRECT(ADDRESS(MATCH(A2029,Raw!$A:$A,0),2,1,1,"Raw"))</f>
        <v>0</v>
      </c>
      <c r="C2029" s="20">
        <f>INDEX(Raw!$C:$C,MATCH(A2029,Raw!$A:$A,0))</f>
        <v>0</v>
      </c>
      <c r="D2029" s="21"/>
    </row>
    <row r="2030" spans="1:4" ht="11.25" customHeight="1" x14ac:dyDescent="0.25">
      <c r="A2030" s="22" t="s">
        <v>2067</v>
      </c>
      <c r="B2030" s="20">
        <f ca="1">INDIRECT(ADDRESS(MATCH(A2030,Raw!$A:$A,0),2,1,1,"Raw"))</f>
        <v>0</v>
      </c>
      <c r="C2030" s="20">
        <f>INDEX(Raw!$C:$C,MATCH(A2030,Raw!$A:$A,0))</f>
        <v>0</v>
      </c>
      <c r="D2030" s="21"/>
    </row>
    <row r="2031" spans="1:4" ht="11.25" customHeight="1" x14ac:dyDescent="0.25">
      <c r="A2031" s="22" t="s">
        <v>2068</v>
      </c>
      <c r="B2031" s="20">
        <f ca="1">INDIRECT(ADDRESS(MATCH(A2031,Raw!$A:$A,0),2,1,1,"Raw"))</f>
        <v>0</v>
      </c>
      <c r="C2031" s="20">
        <f>INDEX(Raw!$C:$C,MATCH(A2031,Raw!$A:$A,0))</f>
        <v>0</v>
      </c>
      <c r="D2031" s="21"/>
    </row>
    <row r="2032" spans="1:4" ht="11.25" customHeight="1" x14ac:dyDescent="0.25">
      <c r="A2032" s="22" t="s">
        <v>2069</v>
      </c>
      <c r="B2032" s="20">
        <f ca="1">INDIRECT(ADDRESS(MATCH(A2032,Raw!$A:$A,0),2,1,1,"Raw"))</f>
        <v>0</v>
      </c>
      <c r="C2032" s="20">
        <f>INDEX(Raw!$C:$C,MATCH(A2032,Raw!$A:$A,0))</f>
        <v>0</v>
      </c>
      <c r="D2032" s="21"/>
    </row>
    <row r="2033" spans="1:4" ht="11.25" customHeight="1" x14ac:dyDescent="0.25">
      <c r="A2033" s="22" t="s">
        <v>2070</v>
      </c>
      <c r="B2033" s="20">
        <f ca="1">INDIRECT(ADDRESS(MATCH(A2033,Raw!$A:$A,0),2,1,1,"Raw"))</f>
        <v>0</v>
      </c>
      <c r="C2033" s="20">
        <f>INDEX(Raw!$C:$C,MATCH(A2033,Raw!$A:$A,0))</f>
        <v>0</v>
      </c>
      <c r="D2033" s="21"/>
    </row>
    <row r="2034" spans="1:4" ht="11.25" customHeight="1" x14ac:dyDescent="0.25">
      <c r="A2034" s="22" t="s">
        <v>2071</v>
      </c>
      <c r="B2034" s="20">
        <f ca="1">INDIRECT(ADDRESS(MATCH(A2034,Raw!$A:$A,0),2,1,1,"Raw"))</f>
        <v>0</v>
      </c>
      <c r="C2034" s="20">
        <f>INDEX(Raw!$C:$C,MATCH(A2034,Raw!$A:$A,0))</f>
        <v>0</v>
      </c>
      <c r="D2034" s="21"/>
    </row>
    <row r="2035" spans="1:4" ht="11.25" customHeight="1" x14ac:dyDescent="0.25">
      <c r="A2035" s="22" t="s">
        <v>2072</v>
      </c>
      <c r="B2035" s="20">
        <f ca="1">INDIRECT(ADDRESS(MATCH(A2035,Raw!$A:$A,0),2,1,1,"Raw"))</f>
        <v>0</v>
      </c>
      <c r="C2035" s="20">
        <f>INDEX(Raw!$C:$C,MATCH(A2035,Raw!$A:$A,0))</f>
        <v>0</v>
      </c>
      <c r="D2035" s="21"/>
    </row>
    <row r="2036" spans="1:4" ht="11.25" customHeight="1" x14ac:dyDescent="0.25">
      <c r="A2036" s="22" t="s">
        <v>2073</v>
      </c>
      <c r="B2036" s="20">
        <f ca="1">INDIRECT(ADDRESS(MATCH(A2036,Raw!$A:$A,0),2,1,1,"Raw"))</f>
        <v>0</v>
      </c>
      <c r="C2036" s="20">
        <f>INDEX(Raw!$C:$C,MATCH(A2036,Raw!$A:$A,0))</f>
        <v>0</v>
      </c>
      <c r="D2036" s="21"/>
    </row>
    <row r="2037" spans="1:4" ht="11.25" customHeight="1" x14ac:dyDescent="0.25">
      <c r="A2037" s="22" t="s">
        <v>2074</v>
      </c>
      <c r="B2037" s="20">
        <f ca="1">INDIRECT(ADDRESS(MATCH(A2037,Raw!$A:$A,0),2,1,1,"Raw"))</f>
        <v>0</v>
      </c>
      <c r="C2037" s="20">
        <f>INDEX(Raw!$C:$C,MATCH(A2037,Raw!$A:$A,0))</f>
        <v>0</v>
      </c>
      <c r="D2037" s="21"/>
    </row>
    <row r="2038" spans="1:4" ht="11.25" customHeight="1" x14ac:dyDescent="0.25">
      <c r="A2038" s="22" t="s">
        <v>2075</v>
      </c>
      <c r="B2038" s="20">
        <f ca="1">INDIRECT(ADDRESS(MATCH(A2038,Raw!$A:$A,0),2,1,1,"Raw"))</f>
        <v>0</v>
      </c>
      <c r="C2038" s="20">
        <f>INDEX(Raw!$C:$C,MATCH(A2038,Raw!$A:$A,0))</f>
        <v>0</v>
      </c>
      <c r="D2038" s="21"/>
    </row>
    <row r="2039" spans="1:4" ht="11.25" customHeight="1" x14ac:dyDescent="0.25">
      <c r="A2039" s="22" t="s">
        <v>2076</v>
      </c>
      <c r="B2039" s="20">
        <f ca="1">INDIRECT(ADDRESS(MATCH(A2039,Raw!$A:$A,0),2,1,1,"Raw"))</f>
        <v>0</v>
      </c>
      <c r="C2039" s="20">
        <f>INDEX(Raw!$C:$C,MATCH(A2039,Raw!$A:$A,0))</f>
        <v>0</v>
      </c>
      <c r="D2039" s="21"/>
    </row>
    <row r="2040" spans="1:4" ht="11.25" customHeight="1" x14ac:dyDescent="0.25">
      <c r="A2040" s="22" t="s">
        <v>2077</v>
      </c>
      <c r="B2040" s="20">
        <f ca="1">INDIRECT(ADDRESS(MATCH(A2040,Raw!$A:$A,0),2,1,1,"Raw"))</f>
        <v>0</v>
      </c>
      <c r="C2040" s="20">
        <f>INDEX(Raw!$C:$C,MATCH(A2040,Raw!$A:$A,0))</f>
        <v>0</v>
      </c>
      <c r="D2040" s="21"/>
    </row>
    <row r="2041" spans="1:4" ht="11.25" customHeight="1" x14ac:dyDescent="0.25">
      <c r="A2041" s="22" t="s">
        <v>2078</v>
      </c>
      <c r="B2041" s="20">
        <f ca="1">INDIRECT(ADDRESS(MATCH(A2041,Raw!$A:$A,0),2,1,1,"Raw"))</f>
        <v>0</v>
      </c>
      <c r="C2041" s="20">
        <f>INDEX(Raw!$C:$C,MATCH(A2041,Raw!$A:$A,0))</f>
        <v>0</v>
      </c>
      <c r="D2041" s="21"/>
    </row>
    <row r="2042" spans="1:4" ht="11.25" customHeight="1" x14ac:dyDescent="0.25">
      <c r="A2042" s="22" t="s">
        <v>2079</v>
      </c>
      <c r="B2042" s="20">
        <f ca="1">INDIRECT(ADDRESS(MATCH(A2042,Raw!$A:$A,0),2,1,1,"Raw"))</f>
        <v>0</v>
      </c>
      <c r="C2042" s="20">
        <f>INDEX(Raw!$C:$C,MATCH(A2042,Raw!$A:$A,0))</f>
        <v>0</v>
      </c>
      <c r="D2042" s="21"/>
    </row>
    <row r="2043" spans="1:4" ht="11.25" customHeight="1" x14ac:dyDescent="0.25">
      <c r="A2043" s="22" t="s">
        <v>2080</v>
      </c>
      <c r="B2043" s="20">
        <f ca="1">INDIRECT(ADDRESS(MATCH(A2043,Raw!$A:$A,0),2,1,1,"Raw"))</f>
        <v>0</v>
      </c>
      <c r="C2043" s="20">
        <f>INDEX(Raw!$C:$C,MATCH(A2043,Raw!$A:$A,0))</f>
        <v>0</v>
      </c>
      <c r="D2043" s="21"/>
    </row>
    <row r="2044" spans="1:4" ht="11.25" customHeight="1" x14ac:dyDescent="0.25">
      <c r="A2044" s="22" t="s">
        <v>2081</v>
      </c>
      <c r="B2044" s="20">
        <f ca="1">INDIRECT(ADDRESS(MATCH(A2044,Raw!$A:$A,0),2,1,1,"Raw"))</f>
        <v>0</v>
      </c>
      <c r="C2044" s="20">
        <f>INDEX(Raw!$C:$C,MATCH(A2044,Raw!$A:$A,0))</f>
        <v>0</v>
      </c>
      <c r="D2044" s="21"/>
    </row>
    <row r="2045" spans="1:4" ht="11.25" customHeight="1" x14ac:dyDescent="0.25">
      <c r="A2045" s="22" t="s">
        <v>2082</v>
      </c>
      <c r="B2045" s="20">
        <f ca="1">INDIRECT(ADDRESS(MATCH(A2045,Raw!$A:$A,0),2,1,1,"Raw"))</f>
        <v>0</v>
      </c>
      <c r="C2045" s="20">
        <f>INDEX(Raw!$C:$C,MATCH(A2045,Raw!$A:$A,0))</f>
        <v>0</v>
      </c>
      <c r="D2045" s="21"/>
    </row>
    <row r="2046" spans="1:4" ht="11.25" customHeight="1" x14ac:dyDescent="0.25">
      <c r="A2046" s="22" t="s">
        <v>2083</v>
      </c>
      <c r="B2046" s="20">
        <f ca="1">INDIRECT(ADDRESS(MATCH(A2046,Raw!$A:$A,0),2,1,1,"Raw"))</f>
        <v>0</v>
      </c>
      <c r="C2046" s="20">
        <f>INDEX(Raw!$C:$C,MATCH(A2046,Raw!$A:$A,0))</f>
        <v>0</v>
      </c>
      <c r="D2046" s="21"/>
    </row>
    <row r="2047" spans="1:4" ht="11.25" customHeight="1" x14ac:dyDescent="0.25">
      <c r="A2047" s="22" t="s">
        <v>2084</v>
      </c>
      <c r="B2047" s="20">
        <f ca="1">INDIRECT(ADDRESS(MATCH(A2047,Raw!$A:$A,0),2,1,1,"Raw"))</f>
        <v>0</v>
      </c>
      <c r="C2047" s="20">
        <f>INDEX(Raw!$C:$C,MATCH(A2047,Raw!$A:$A,0))</f>
        <v>0</v>
      </c>
      <c r="D2047" s="21"/>
    </row>
    <row r="2048" spans="1:4" ht="11.25" customHeight="1" x14ac:dyDescent="0.25">
      <c r="A2048" s="22" t="s">
        <v>2085</v>
      </c>
      <c r="B2048" s="20">
        <f ca="1">INDIRECT(ADDRESS(MATCH(A2048,Raw!$A:$A,0),2,1,1,"Raw"))</f>
        <v>0</v>
      </c>
      <c r="C2048" s="20">
        <f>INDEX(Raw!$C:$C,MATCH(A2048,Raw!$A:$A,0))</f>
        <v>0</v>
      </c>
      <c r="D2048" s="21"/>
    </row>
    <row r="2049" spans="1:4" ht="11.25" customHeight="1" x14ac:dyDescent="0.25">
      <c r="A2049" s="22" t="s">
        <v>2086</v>
      </c>
      <c r="B2049" s="20">
        <f ca="1">INDIRECT(ADDRESS(MATCH(A2049,Raw!$A:$A,0),2,1,1,"Raw"))</f>
        <v>0</v>
      </c>
      <c r="C2049" s="20">
        <f>INDEX(Raw!$C:$C,MATCH(A2049,Raw!$A:$A,0))</f>
        <v>0</v>
      </c>
      <c r="D2049" s="21"/>
    </row>
    <row r="2050" spans="1:4" ht="11.25" customHeight="1" x14ac:dyDescent="0.25">
      <c r="A2050" s="22" t="s">
        <v>2087</v>
      </c>
      <c r="B2050" s="20">
        <f ca="1">INDIRECT(ADDRESS(MATCH(A2050,Raw!$A:$A,0),2,1,1,"Raw"))</f>
        <v>0</v>
      </c>
      <c r="C2050" s="20">
        <f>INDEX(Raw!$C:$C,MATCH(A2050,Raw!$A:$A,0))</f>
        <v>0</v>
      </c>
      <c r="D2050" s="21"/>
    </row>
    <row r="2051" spans="1:4" ht="11.25" customHeight="1" x14ac:dyDescent="0.25">
      <c r="A2051" s="22" t="s">
        <v>2088</v>
      </c>
      <c r="B2051" s="20">
        <f ca="1">INDIRECT(ADDRESS(MATCH(A2051,Raw!$A:$A,0),2,1,1,"Raw"))</f>
        <v>0</v>
      </c>
      <c r="C2051" s="20">
        <f>INDEX(Raw!$C:$C,MATCH(A2051,Raw!$A:$A,0))</f>
        <v>0</v>
      </c>
      <c r="D2051" s="21"/>
    </row>
    <row r="2052" spans="1:4" ht="11.25" customHeight="1" x14ac:dyDescent="0.25">
      <c r="A2052" s="22" t="s">
        <v>2089</v>
      </c>
      <c r="B2052" s="20">
        <f ca="1">INDIRECT(ADDRESS(MATCH(A2052,Raw!$A:$A,0),2,1,1,"Raw"))</f>
        <v>0</v>
      </c>
      <c r="C2052" s="20">
        <f>INDEX(Raw!$C:$C,MATCH(A2052,Raw!$A:$A,0))</f>
        <v>0</v>
      </c>
      <c r="D2052" s="21"/>
    </row>
    <row r="2053" spans="1:4" ht="11.25" customHeight="1" x14ac:dyDescent="0.25">
      <c r="A2053" s="22" t="s">
        <v>2090</v>
      </c>
      <c r="B2053" s="20">
        <f ca="1">INDIRECT(ADDRESS(MATCH(A2053,Raw!$A:$A,0),2,1,1,"Raw"))</f>
        <v>0</v>
      </c>
      <c r="C2053" s="20">
        <f>INDEX(Raw!$C:$C,MATCH(A2053,Raw!$A:$A,0))</f>
        <v>0</v>
      </c>
      <c r="D2053" s="21"/>
    </row>
    <row r="2054" spans="1:4" ht="11.25" customHeight="1" x14ac:dyDescent="0.25">
      <c r="A2054" s="22" t="s">
        <v>2091</v>
      </c>
      <c r="B2054" s="20">
        <f ca="1">INDIRECT(ADDRESS(MATCH(A2054,Raw!$A:$A,0),2,1,1,"Raw"))</f>
        <v>0</v>
      </c>
      <c r="C2054" s="20">
        <f>INDEX(Raw!$C:$C,MATCH(A2054,Raw!$A:$A,0))</f>
        <v>0</v>
      </c>
      <c r="D2054" s="21"/>
    </row>
    <row r="2055" spans="1:4" ht="11.25" customHeight="1" x14ac:dyDescent="0.25">
      <c r="A2055" s="22" t="s">
        <v>2092</v>
      </c>
      <c r="B2055" s="20">
        <f ca="1">INDIRECT(ADDRESS(MATCH(A2055,Raw!$A:$A,0),2,1,1,"Raw"))</f>
        <v>0</v>
      </c>
      <c r="C2055" s="20">
        <f>INDEX(Raw!$C:$C,MATCH(A2055,Raw!$A:$A,0))</f>
        <v>0</v>
      </c>
      <c r="D2055" s="21"/>
    </row>
    <row r="2056" spans="1:4" ht="11.25" customHeight="1" x14ac:dyDescent="0.25">
      <c r="A2056" s="22" t="s">
        <v>2093</v>
      </c>
      <c r="B2056" s="20">
        <f ca="1">INDIRECT(ADDRESS(MATCH(A2056,Raw!$A:$A,0),2,1,1,"Raw"))</f>
        <v>0</v>
      </c>
      <c r="C2056" s="20">
        <f>INDEX(Raw!$C:$C,MATCH(A2056,Raw!$A:$A,0))</f>
        <v>0</v>
      </c>
      <c r="D2056" s="21"/>
    </row>
    <row r="2057" spans="1:4" ht="11.25" customHeight="1" x14ac:dyDescent="0.25">
      <c r="A2057" s="22" t="s">
        <v>2094</v>
      </c>
      <c r="B2057" s="20">
        <f ca="1">INDIRECT(ADDRESS(MATCH(A2057,Raw!$A:$A,0),2,1,1,"Raw"))</f>
        <v>0</v>
      </c>
      <c r="C2057" s="20">
        <f>INDEX(Raw!$C:$C,MATCH(A2057,Raw!$A:$A,0))</f>
        <v>0</v>
      </c>
      <c r="D2057" s="21"/>
    </row>
    <row r="2058" spans="1:4" ht="11.25" customHeight="1" x14ac:dyDescent="0.25">
      <c r="A2058" s="22" t="s">
        <v>2095</v>
      </c>
      <c r="B2058" s="20">
        <f ca="1">INDIRECT(ADDRESS(MATCH(A2058,Raw!$A:$A,0),2,1,1,"Raw"))</f>
        <v>0</v>
      </c>
      <c r="C2058" s="20">
        <f>INDEX(Raw!$C:$C,MATCH(A2058,Raw!$A:$A,0))</f>
        <v>0</v>
      </c>
      <c r="D2058" s="21"/>
    </row>
    <row r="2059" spans="1:4" ht="11.25" customHeight="1" x14ac:dyDescent="0.25">
      <c r="A2059" s="22" t="s">
        <v>2096</v>
      </c>
      <c r="B2059" s="20">
        <f ca="1">INDIRECT(ADDRESS(MATCH(A2059,Raw!$A:$A,0),2,1,1,"Raw"))</f>
        <v>0</v>
      </c>
      <c r="C2059" s="20">
        <f>INDEX(Raw!$C:$C,MATCH(A2059,Raw!$A:$A,0))</f>
        <v>0</v>
      </c>
      <c r="D2059" s="21"/>
    </row>
    <row r="2060" spans="1:4" ht="11.25" customHeight="1" x14ac:dyDescent="0.25">
      <c r="A2060" s="22" t="s">
        <v>2097</v>
      </c>
      <c r="B2060" s="20">
        <f ca="1">INDIRECT(ADDRESS(MATCH(A2060,Raw!$A:$A,0),2,1,1,"Raw"))</f>
        <v>0</v>
      </c>
      <c r="C2060" s="20">
        <f>INDEX(Raw!$C:$C,MATCH(A2060,Raw!$A:$A,0))</f>
        <v>0</v>
      </c>
      <c r="D2060" s="21"/>
    </row>
    <row r="2061" spans="1:4" ht="11.25" customHeight="1" x14ac:dyDescent="0.25">
      <c r="A2061" s="22" t="s">
        <v>2098</v>
      </c>
      <c r="B2061" s="20">
        <f ca="1">INDIRECT(ADDRESS(MATCH(A2061,Raw!$A:$A,0),2,1,1,"Raw"))</f>
        <v>0</v>
      </c>
      <c r="C2061" s="20">
        <f>INDEX(Raw!$C:$C,MATCH(A2061,Raw!$A:$A,0))</f>
        <v>0</v>
      </c>
      <c r="D2061" s="21"/>
    </row>
    <row r="2062" spans="1:4" ht="11.25" customHeight="1" x14ac:dyDescent="0.25">
      <c r="A2062" s="22" t="s">
        <v>2099</v>
      </c>
      <c r="B2062" s="20">
        <f ca="1">INDIRECT(ADDRESS(MATCH(A2062,Raw!$A:$A,0),2,1,1,"Raw"))</f>
        <v>0</v>
      </c>
      <c r="C2062" s="20">
        <f>INDEX(Raw!$C:$C,MATCH(A2062,Raw!$A:$A,0))</f>
        <v>0</v>
      </c>
      <c r="D2062" s="21"/>
    </row>
    <row r="2063" spans="1:4" ht="11.25" customHeight="1" x14ac:dyDescent="0.25">
      <c r="A2063" s="22" t="s">
        <v>2100</v>
      </c>
      <c r="B2063" s="20">
        <f ca="1">INDIRECT(ADDRESS(MATCH(A2063,Raw!$A:$A,0),2,1,1,"Raw"))</f>
        <v>0</v>
      </c>
      <c r="C2063" s="20">
        <f>INDEX(Raw!$C:$C,MATCH(A2063,Raw!$A:$A,0))</f>
        <v>0</v>
      </c>
      <c r="D2063" s="21"/>
    </row>
    <row r="2064" spans="1:4" ht="11.25" customHeight="1" x14ac:dyDescent="0.25">
      <c r="A2064" s="22" t="s">
        <v>2101</v>
      </c>
      <c r="B2064" s="20">
        <f ca="1">INDIRECT(ADDRESS(MATCH(A2064,Raw!$A:$A,0),2,1,1,"Raw"))</f>
        <v>0</v>
      </c>
      <c r="C2064" s="20">
        <f>INDEX(Raw!$C:$C,MATCH(A2064,Raw!$A:$A,0))</f>
        <v>0</v>
      </c>
      <c r="D2064" s="21"/>
    </row>
    <row r="2065" spans="1:4" ht="11.25" customHeight="1" x14ac:dyDescent="0.25">
      <c r="A2065" s="22" t="s">
        <v>2102</v>
      </c>
      <c r="B2065" s="20">
        <f ca="1">INDIRECT(ADDRESS(MATCH(A2065,Raw!$A:$A,0),2,1,1,"Raw"))</f>
        <v>0</v>
      </c>
      <c r="C2065" s="20">
        <f>INDEX(Raw!$C:$C,MATCH(A2065,Raw!$A:$A,0))</f>
        <v>0</v>
      </c>
      <c r="D2065" s="21"/>
    </row>
    <row r="2066" spans="1:4" ht="11.25" customHeight="1" x14ac:dyDescent="0.25">
      <c r="A2066" s="22" t="s">
        <v>2103</v>
      </c>
      <c r="B2066" s="20">
        <f ca="1">INDIRECT(ADDRESS(MATCH(A2066,Raw!$A:$A,0),2,1,1,"Raw"))</f>
        <v>0</v>
      </c>
      <c r="C2066" s="20">
        <f>INDEX(Raw!$C:$C,MATCH(A2066,Raw!$A:$A,0))</f>
        <v>0</v>
      </c>
      <c r="D2066" s="21"/>
    </row>
    <row r="2067" spans="1:4" ht="11.25" customHeight="1" x14ac:dyDescent="0.25">
      <c r="A2067" s="22" t="s">
        <v>2104</v>
      </c>
      <c r="B2067" s="20">
        <f ca="1">INDIRECT(ADDRESS(MATCH(A2067,Raw!$A:$A,0),2,1,1,"Raw"))</f>
        <v>0</v>
      </c>
      <c r="C2067" s="20">
        <f>INDEX(Raw!$C:$C,MATCH(A2067,Raw!$A:$A,0))</f>
        <v>0</v>
      </c>
      <c r="D2067" s="21"/>
    </row>
    <row r="2068" spans="1:4" ht="11.25" customHeight="1" x14ac:dyDescent="0.25">
      <c r="A2068" s="22" t="s">
        <v>2105</v>
      </c>
      <c r="B2068" s="20">
        <f ca="1">INDIRECT(ADDRESS(MATCH(A2068,Raw!$A:$A,0),2,1,1,"Raw"))</f>
        <v>0</v>
      </c>
      <c r="C2068" s="20">
        <f>INDEX(Raw!$C:$C,MATCH(A2068,Raw!$A:$A,0))</f>
        <v>0</v>
      </c>
      <c r="D2068" s="21"/>
    </row>
    <row r="2069" spans="1:4" ht="11.25" customHeight="1" x14ac:dyDescent="0.25">
      <c r="A2069" s="22" t="s">
        <v>2106</v>
      </c>
      <c r="B2069" s="20">
        <f ca="1">INDIRECT(ADDRESS(MATCH(A2069,Raw!$A:$A,0),2,1,1,"Raw"))</f>
        <v>0</v>
      </c>
      <c r="C2069" s="20">
        <f>INDEX(Raw!$C:$C,MATCH(A2069,Raw!$A:$A,0))</f>
        <v>0</v>
      </c>
      <c r="D2069" s="21"/>
    </row>
    <row r="2070" spans="1:4" ht="11.25" customHeight="1" x14ac:dyDescent="0.25">
      <c r="A2070" s="22" t="s">
        <v>2107</v>
      </c>
      <c r="B2070" s="20">
        <f ca="1">INDIRECT(ADDRESS(MATCH(A2070,Raw!$A:$A,0),2,1,1,"Raw"))</f>
        <v>0</v>
      </c>
      <c r="C2070" s="20">
        <f>INDEX(Raw!$C:$C,MATCH(A2070,Raw!$A:$A,0))</f>
        <v>0</v>
      </c>
      <c r="D2070" s="21"/>
    </row>
    <row r="2071" spans="1:4" ht="11.25" customHeight="1" x14ac:dyDescent="0.25">
      <c r="A2071" s="22" t="s">
        <v>2108</v>
      </c>
      <c r="B2071" s="20">
        <f ca="1">INDIRECT(ADDRESS(MATCH(A2071,Raw!$A:$A,0),2,1,1,"Raw"))</f>
        <v>0</v>
      </c>
      <c r="C2071" s="20">
        <f>INDEX(Raw!$C:$C,MATCH(A2071,Raw!$A:$A,0))</f>
        <v>0</v>
      </c>
      <c r="D2071" s="21"/>
    </row>
    <row r="2072" spans="1:4" ht="11.25" customHeight="1" x14ac:dyDescent="0.25">
      <c r="A2072" s="22" t="s">
        <v>2109</v>
      </c>
      <c r="B2072" s="20">
        <f ca="1">INDIRECT(ADDRESS(MATCH(A2072,Raw!$A:$A,0),2,1,1,"Raw"))</f>
        <v>0</v>
      </c>
      <c r="C2072" s="20">
        <f>INDEX(Raw!$C:$C,MATCH(A2072,Raw!$A:$A,0))</f>
        <v>0</v>
      </c>
      <c r="D2072" s="21"/>
    </row>
    <row r="2073" spans="1:4" ht="11.25" customHeight="1" x14ac:dyDescent="0.25">
      <c r="A2073" s="22" t="s">
        <v>2110</v>
      </c>
      <c r="B2073" s="20">
        <f ca="1">INDIRECT(ADDRESS(MATCH(A2073,Raw!$A:$A,0),2,1,1,"Raw"))</f>
        <v>0</v>
      </c>
      <c r="C2073" s="20">
        <f>INDEX(Raw!$C:$C,MATCH(A2073,Raw!$A:$A,0))</f>
        <v>0</v>
      </c>
      <c r="D2073" s="21"/>
    </row>
    <row r="2074" spans="1:4" ht="11.25" customHeight="1" x14ac:dyDescent="0.25">
      <c r="A2074" s="22" t="s">
        <v>2111</v>
      </c>
      <c r="B2074" s="20">
        <f ca="1">INDIRECT(ADDRESS(MATCH(A2074,Raw!$A:$A,0),2,1,1,"Raw"))</f>
        <v>0</v>
      </c>
      <c r="C2074" s="20">
        <f>INDEX(Raw!$C:$C,MATCH(A2074,Raw!$A:$A,0))</f>
        <v>0</v>
      </c>
      <c r="D2074" s="21"/>
    </row>
    <row r="2075" spans="1:4" ht="11.25" customHeight="1" x14ac:dyDescent="0.25">
      <c r="A2075" s="22" t="s">
        <v>2112</v>
      </c>
      <c r="B2075" s="20">
        <f ca="1">INDIRECT(ADDRESS(MATCH(A2075,Raw!$A:$A,0),2,1,1,"Raw"))</f>
        <v>0</v>
      </c>
      <c r="C2075" s="20">
        <f>INDEX(Raw!$C:$C,MATCH(A2075,Raw!$A:$A,0))</f>
        <v>0</v>
      </c>
      <c r="D2075" s="21"/>
    </row>
    <row r="2076" spans="1:4" ht="11.25" customHeight="1" x14ac:dyDescent="0.25">
      <c r="A2076" s="22" t="s">
        <v>2113</v>
      </c>
      <c r="B2076" s="20">
        <f ca="1">INDIRECT(ADDRESS(MATCH(A2076,Raw!$A:$A,0),2,1,1,"Raw"))</f>
        <v>0</v>
      </c>
      <c r="C2076" s="20">
        <f>INDEX(Raw!$C:$C,MATCH(A2076,Raw!$A:$A,0))</f>
        <v>0</v>
      </c>
      <c r="D2076" s="21"/>
    </row>
    <row r="2077" spans="1:4" ht="11.25" customHeight="1" x14ac:dyDescent="0.25">
      <c r="A2077" s="22" t="s">
        <v>2114</v>
      </c>
      <c r="B2077" s="20">
        <f ca="1">INDIRECT(ADDRESS(MATCH(A2077,Raw!$A:$A,0),2,1,1,"Raw"))</f>
        <v>0</v>
      </c>
      <c r="C2077" s="20">
        <f>INDEX(Raw!$C:$C,MATCH(A2077,Raw!$A:$A,0))</f>
        <v>0</v>
      </c>
      <c r="D2077" s="21"/>
    </row>
    <row r="2078" spans="1:4" ht="11.25" customHeight="1" x14ac:dyDescent="0.25">
      <c r="A2078" s="22" t="s">
        <v>2115</v>
      </c>
      <c r="B2078" s="20">
        <f ca="1">INDIRECT(ADDRESS(MATCH(A2078,Raw!$A:$A,0),2,1,1,"Raw"))</f>
        <v>0</v>
      </c>
      <c r="C2078" s="20">
        <f>INDEX(Raw!$C:$C,MATCH(A2078,Raw!$A:$A,0))</f>
        <v>0</v>
      </c>
      <c r="D2078" s="21"/>
    </row>
    <row r="2079" spans="1:4" ht="11.25" customHeight="1" x14ac:dyDescent="0.25">
      <c r="A2079" s="22" t="s">
        <v>2116</v>
      </c>
      <c r="B2079" s="20">
        <f ca="1">INDIRECT(ADDRESS(MATCH(A2079,Raw!$A:$A,0),2,1,1,"Raw"))</f>
        <v>0</v>
      </c>
      <c r="C2079" s="20">
        <f>INDEX(Raw!$C:$C,MATCH(A2079,Raw!$A:$A,0))</f>
        <v>0</v>
      </c>
      <c r="D2079" s="21"/>
    </row>
    <row r="2080" spans="1:4" ht="11.25" customHeight="1" x14ac:dyDescent="0.25">
      <c r="A2080" s="22" t="s">
        <v>2117</v>
      </c>
      <c r="B2080" s="20">
        <f ca="1">INDIRECT(ADDRESS(MATCH(A2080,Raw!$A:$A,0),2,1,1,"Raw"))</f>
        <v>0</v>
      </c>
      <c r="C2080" s="20">
        <f>INDEX(Raw!$C:$C,MATCH(A2080,Raw!$A:$A,0))</f>
        <v>0</v>
      </c>
      <c r="D2080" s="21"/>
    </row>
    <row r="2081" spans="1:4" ht="11.25" customHeight="1" x14ac:dyDescent="0.25">
      <c r="A2081" s="22" t="s">
        <v>2118</v>
      </c>
      <c r="B2081" s="20">
        <f ca="1">INDIRECT(ADDRESS(MATCH(A2081,Raw!$A:$A,0),2,1,1,"Raw"))</f>
        <v>0</v>
      </c>
      <c r="C2081" s="20">
        <f>INDEX(Raw!$C:$C,MATCH(A2081,Raw!$A:$A,0))</f>
        <v>0</v>
      </c>
      <c r="D2081" s="21"/>
    </row>
    <row r="2082" spans="1:4" ht="11.25" customHeight="1" x14ac:dyDescent="0.25">
      <c r="A2082" s="22" t="s">
        <v>2119</v>
      </c>
      <c r="B2082" s="20">
        <f ca="1">INDIRECT(ADDRESS(MATCH(A2082,Raw!$A:$A,0),2,1,1,"Raw"))</f>
        <v>0</v>
      </c>
      <c r="C2082" s="20">
        <f>INDEX(Raw!$C:$C,MATCH(A2082,Raw!$A:$A,0))</f>
        <v>0</v>
      </c>
      <c r="D2082" s="21"/>
    </row>
    <row r="2083" spans="1:4" ht="11.25" customHeight="1" x14ac:dyDescent="0.25">
      <c r="A2083" s="22" t="s">
        <v>2120</v>
      </c>
      <c r="B2083" s="20">
        <f ca="1">INDIRECT(ADDRESS(MATCH(A2083,Raw!$A:$A,0),2,1,1,"Raw"))</f>
        <v>0</v>
      </c>
      <c r="C2083" s="20">
        <f>INDEX(Raw!$C:$C,MATCH(A2083,Raw!$A:$A,0))</f>
        <v>0</v>
      </c>
      <c r="D2083" s="21"/>
    </row>
    <row r="2084" spans="1:4" ht="11.25" customHeight="1" x14ac:dyDescent="0.25">
      <c r="A2084" s="22" t="s">
        <v>2121</v>
      </c>
      <c r="B2084" s="20">
        <f ca="1">INDIRECT(ADDRESS(MATCH(A2084,Raw!$A:$A,0),2,1,1,"Raw"))</f>
        <v>0</v>
      </c>
      <c r="C2084" s="20">
        <f>INDEX(Raw!$C:$C,MATCH(A2084,Raw!$A:$A,0))</f>
        <v>0</v>
      </c>
      <c r="D2084" s="21"/>
    </row>
    <row r="2085" spans="1:4" ht="11.25" customHeight="1" x14ac:dyDescent="0.25">
      <c r="A2085" s="22" t="s">
        <v>2122</v>
      </c>
      <c r="B2085" s="20">
        <f ca="1">INDIRECT(ADDRESS(MATCH(A2085,Raw!$A:$A,0),2,1,1,"Raw"))</f>
        <v>0</v>
      </c>
      <c r="C2085" s="20">
        <f>INDEX(Raw!$C:$C,MATCH(A2085,Raw!$A:$A,0))</f>
        <v>0</v>
      </c>
      <c r="D2085" s="21"/>
    </row>
    <row r="2086" spans="1:4" ht="11.25" customHeight="1" x14ac:dyDescent="0.25">
      <c r="A2086" s="22" t="s">
        <v>2123</v>
      </c>
      <c r="B2086" s="20">
        <f ca="1">INDIRECT(ADDRESS(MATCH(A2086,Raw!$A:$A,0),2,1,1,"Raw"))</f>
        <v>0</v>
      </c>
      <c r="C2086" s="20">
        <f>INDEX(Raw!$C:$C,MATCH(A2086,Raw!$A:$A,0))</f>
        <v>0</v>
      </c>
      <c r="D2086" s="21"/>
    </row>
    <row r="2087" spans="1:4" ht="11.25" customHeight="1" x14ac:dyDescent="0.25">
      <c r="A2087" s="22" t="s">
        <v>2124</v>
      </c>
      <c r="B2087" s="20">
        <f ca="1">INDIRECT(ADDRESS(MATCH(A2087,Raw!$A:$A,0),2,1,1,"Raw"))</f>
        <v>0</v>
      </c>
      <c r="C2087" s="20">
        <f>INDEX(Raw!$C:$C,MATCH(A2087,Raw!$A:$A,0))</f>
        <v>0</v>
      </c>
      <c r="D2087" s="21"/>
    </row>
    <row r="2088" spans="1:4" ht="11.25" customHeight="1" x14ac:dyDescent="0.25">
      <c r="A2088" s="22" t="s">
        <v>2125</v>
      </c>
      <c r="B2088" s="20">
        <f ca="1">INDIRECT(ADDRESS(MATCH(A2088,Raw!$A:$A,0),2,1,1,"Raw"))</f>
        <v>0</v>
      </c>
      <c r="C2088" s="20">
        <f>INDEX(Raw!$C:$C,MATCH(A2088,Raw!$A:$A,0))</f>
        <v>0</v>
      </c>
      <c r="D2088" s="21"/>
    </row>
    <row r="2089" spans="1:4" ht="11.25" customHeight="1" x14ac:dyDescent="0.25">
      <c r="A2089" s="22" t="s">
        <v>2126</v>
      </c>
      <c r="B2089" s="20">
        <f ca="1">INDIRECT(ADDRESS(MATCH(A2089,Raw!$A:$A,0),2,1,1,"Raw"))</f>
        <v>0</v>
      </c>
      <c r="C2089" s="20">
        <f>INDEX(Raw!$C:$C,MATCH(A2089,Raw!$A:$A,0))</f>
        <v>0</v>
      </c>
      <c r="D2089" s="21"/>
    </row>
    <row r="2090" spans="1:4" ht="11.25" customHeight="1" x14ac:dyDescent="0.25">
      <c r="A2090" s="22" t="s">
        <v>2127</v>
      </c>
      <c r="B2090" s="20">
        <f ca="1">INDIRECT(ADDRESS(MATCH(A2090,Raw!$A:$A,0),2,1,1,"Raw"))</f>
        <v>0</v>
      </c>
      <c r="C2090" s="20">
        <f>INDEX(Raw!$C:$C,MATCH(A2090,Raw!$A:$A,0))</f>
        <v>0</v>
      </c>
      <c r="D2090" s="21"/>
    </row>
    <row r="2091" spans="1:4" ht="11.25" customHeight="1" x14ac:dyDescent="0.25">
      <c r="A2091" s="22" t="s">
        <v>2128</v>
      </c>
      <c r="B2091" s="20">
        <f ca="1">INDIRECT(ADDRESS(MATCH(A2091,Raw!$A:$A,0),2,1,1,"Raw"))</f>
        <v>0</v>
      </c>
      <c r="C2091" s="20">
        <f>INDEX(Raw!$C:$C,MATCH(A2091,Raw!$A:$A,0))</f>
        <v>0</v>
      </c>
      <c r="D2091" s="21"/>
    </row>
    <row r="2092" spans="1:4" ht="11.25" customHeight="1" x14ac:dyDescent="0.25">
      <c r="A2092" s="22" t="s">
        <v>2129</v>
      </c>
      <c r="B2092" s="20">
        <f ca="1">INDIRECT(ADDRESS(MATCH(A2092,Raw!$A:$A,0),2,1,1,"Raw"))</f>
        <v>0</v>
      </c>
      <c r="C2092" s="20">
        <f>INDEX(Raw!$C:$C,MATCH(A2092,Raw!$A:$A,0))</f>
        <v>0</v>
      </c>
      <c r="D2092" s="21"/>
    </row>
    <row r="2093" spans="1:4" ht="11.25" customHeight="1" x14ac:dyDescent="0.25">
      <c r="A2093" s="22" t="s">
        <v>2130</v>
      </c>
      <c r="B2093" s="20">
        <f ca="1">INDIRECT(ADDRESS(MATCH(A2093,Raw!$A:$A,0),2,1,1,"Raw"))</f>
        <v>0</v>
      </c>
      <c r="C2093" s="20">
        <f>INDEX(Raw!$C:$C,MATCH(A2093,Raw!$A:$A,0))</f>
        <v>0</v>
      </c>
      <c r="D2093" s="21"/>
    </row>
    <row r="2094" spans="1:4" ht="11.25" customHeight="1" x14ac:dyDescent="0.25">
      <c r="A2094" s="22" t="s">
        <v>2131</v>
      </c>
      <c r="B2094" s="20">
        <f ca="1">INDIRECT(ADDRESS(MATCH(A2094,Raw!$A:$A,0),2,1,1,"Raw"))</f>
        <v>0</v>
      </c>
      <c r="C2094" s="20">
        <f>INDEX(Raw!$C:$C,MATCH(A2094,Raw!$A:$A,0))</f>
        <v>0</v>
      </c>
      <c r="D2094" s="21"/>
    </row>
    <row r="2095" spans="1:4" ht="11.25" customHeight="1" x14ac:dyDescent="0.25">
      <c r="A2095" s="22" t="s">
        <v>2132</v>
      </c>
      <c r="B2095" s="20">
        <f ca="1">INDIRECT(ADDRESS(MATCH(A2095,Raw!$A:$A,0),2,1,1,"Raw"))</f>
        <v>0</v>
      </c>
      <c r="C2095" s="20">
        <f>INDEX(Raw!$C:$C,MATCH(A2095,Raw!$A:$A,0))</f>
        <v>0</v>
      </c>
      <c r="D2095" s="21"/>
    </row>
    <row r="2096" spans="1:4" ht="11.25" customHeight="1" x14ac:dyDescent="0.25">
      <c r="A2096" s="22" t="s">
        <v>2133</v>
      </c>
      <c r="B2096" s="20">
        <f ca="1">INDIRECT(ADDRESS(MATCH(A2096,Raw!$A:$A,0),2,1,1,"Raw"))</f>
        <v>0</v>
      </c>
      <c r="C2096" s="20">
        <f>INDEX(Raw!$C:$C,MATCH(A2096,Raw!$A:$A,0))</f>
        <v>0</v>
      </c>
      <c r="D2096" s="21"/>
    </row>
    <row r="2097" spans="1:4" ht="11.25" customHeight="1" x14ac:dyDescent="0.25">
      <c r="A2097" s="22" t="s">
        <v>2134</v>
      </c>
      <c r="B2097" s="20">
        <f ca="1">INDIRECT(ADDRESS(MATCH(A2097,Raw!$A:$A,0),2,1,1,"Raw"))</f>
        <v>0</v>
      </c>
      <c r="C2097" s="20">
        <f>INDEX(Raw!$C:$C,MATCH(A2097,Raw!$A:$A,0))</f>
        <v>0</v>
      </c>
      <c r="D2097" s="21"/>
    </row>
    <row r="2098" spans="1:4" ht="11.25" customHeight="1" x14ac:dyDescent="0.25">
      <c r="A2098" s="22" t="s">
        <v>2135</v>
      </c>
      <c r="B2098" s="20">
        <f ca="1">INDIRECT(ADDRESS(MATCH(A2098,Raw!$A:$A,0),2,1,1,"Raw"))</f>
        <v>0</v>
      </c>
      <c r="C2098" s="20">
        <f>INDEX(Raw!$C:$C,MATCH(A2098,Raw!$A:$A,0))</f>
        <v>0</v>
      </c>
      <c r="D2098" s="21"/>
    </row>
    <row r="2099" spans="1:4" ht="11.25" customHeight="1" x14ac:dyDescent="0.25">
      <c r="A2099" s="22" t="s">
        <v>2136</v>
      </c>
      <c r="B2099" s="20">
        <f ca="1">INDIRECT(ADDRESS(MATCH(A2099,Raw!$A:$A,0),2,1,1,"Raw"))</f>
        <v>0</v>
      </c>
      <c r="C2099" s="20">
        <f>INDEX(Raw!$C:$C,MATCH(A2099,Raw!$A:$A,0))</f>
        <v>0</v>
      </c>
      <c r="D2099" s="21"/>
    </row>
    <row r="2100" spans="1:4" ht="11.25" customHeight="1" x14ac:dyDescent="0.25">
      <c r="A2100" s="22" t="s">
        <v>2137</v>
      </c>
      <c r="B2100" s="20">
        <f ca="1">INDIRECT(ADDRESS(MATCH(A2100,Raw!$A:$A,0),2,1,1,"Raw"))</f>
        <v>0</v>
      </c>
      <c r="C2100" s="20">
        <f>INDEX(Raw!$C:$C,MATCH(A2100,Raw!$A:$A,0))</f>
        <v>0</v>
      </c>
      <c r="D2100" s="21"/>
    </row>
    <row r="2101" spans="1:4" ht="11.25" customHeight="1" x14ac:dyDescent="0.25">
      <c r="A2101" s="22" t="s">
        <v>2138</v>
      </c>
      <c r="B2101" s="20">
        <f ca="1">INDIRECT(ADDRESS(MATCH(A2101,Raw!$A:$A,0),2,1,1,"Raw"))</f>
        <v>0</v>
      </c>
      <c r="C2101" s="20">
        <f>INDEX(Raw!$C:$C,MATCH(A2101,Raw!$A:$A,0))</f>
        <v>0</v>
      </c>
      <c r="D2101" s="21"/>
    </row>
    <row r="2102" spans="1:4" ht="11.25" customHeight="1" x14ac:dyDescent="0.25">
      <c r="A2102" s="22" t="s">
        <v>2139</v>
      </c>
      <c r="B2102" s="20">
        <f ca="1">INDIRECT(ADDRESS(MATCH(A2102,Raw!$A:$A,0),2,1,1,"Raw"))</f>
        <v>0</v>
      </c>
      <c r="C2102" s="20">
        <f>INDEX(Raw!$C:$C,MATCH(A2102,Raw!$A:$A,0))</f>
        <v>0</v>
      </c>
      <c r="D2102" s="21"/>
    </row>
    <row r="2103" spans="1:4" ht="11.25" customHeight="1" x14ac:dyDescent="0.25">
      <c r="A2103" s="22" t="s">
        <v>2140</v>
      </c>
      <c r="B2103" s="20">
        <f ca="1">INDIRECT(ADDRESS(MATCH(A2103,Raw!$A:$A,0),2,1,1,"Raw"))</f>
        <v>0</v>
      </c>
      <c r="C2103" s="20">
        <f>INDEX(Raw!$C:$C,MATCH(A2103,Raw!$A:$A,0))</f>
        <v>0</v>
      </c>
      <c r="D2103" s="21"/>
    </row>
    <row r="2104" spans="1:4" ht="11.25" customHeight="1" x14ac:dyDescent="0.25">
      <c r="A2104" s="22" t="s">
        <v>2141</v>
      </c>
      <c r="B2104" s="20">
        <f ca="1">INDIRECT(ADDRESS(MATCH(A2104,Raw!$A:$A,0),2,1,1,"Raw"))</f>
        <v>0</v>
      </c>
      <c r="C2104" s="20">
        <f>INDEX(Raw!$C:$C,MATCH(A2104,Raw!$A:$A,0))</f>
        <v>0</v>
      </c>
      <c r="D2104" s="21"/>
    </row>
    <row r="2105" spans="1:4" ht="11.25" customHeight="1" x14ac:dyDescent="0.25">
      <c r="A2105" s="22" t="s">
        <v>2142</v>
      </c>
      <c r="B2105" s="20">
        <f ca="1">INDIRECT(ADDRESS(MATCH(A2105,Raw!$A:$A,0),2,1,1,"Raw"))</f>
        <v>0</v>
      </c>
      <c r="C2105" s="20">
        <f>INDEX(Raw!$C:$C,MATCH(A2105,Raw!$A:$A,0))</f>
        <v>0</v>
      </c>
      <c r="D2105" s="21"/>
    </row>
    <row r="2106" spans="1:4" ht="11.25" customHeight="1" x14ac:dyDescent="0.25">
      <c r="A2106" s="22" t="s">
        <v>2143</v>
      </c>
      <c r="B2106" s="20">
        <f ca="1">INDIRECT(ADDRESS(MATCH(A2106,Raw!$A:$A,0),2,1,1,"Raw"))</f>
        <v>0</v>
      </c>
      <c r="C2106" s="20">
        <f>INDEX(Raw!$C:$C,MATCH(A2106,Raw!$A:$A,0))</f>
        <v>0</v>
      </c>
      <c r="D2106" s="21"/>
    </row>
    <row r="2107" spans="1:4" ht="11.25" customHeight="1" x14ac:dyDescent="0.25">
      <c r="A2107" s="22" t="s">
        <v>2144</v>
      </c>
      <c r="B2107" s="20">
        <f ca="1">INDIRECT(ADDRESS(MATCH(A2107,Raw!$A:$A,0),2,1,1,"Raw"))</f>
        <v>0</v>
      </c>
      <c r="C2107" s="20">
        <f>INDEX(Raw!$C:$C,MATCH(A2107,Raw!$A:$A,0))</f>
        <v>0</v>
      </c>
      <c r="D2107" s="21"/>
    </row>
    <row r="2108" spans="1:4" ht="11.25" customHeight="1" x14ac:dyDescent="0.25">
      <c r="A2108" s="22" t="s">
        <v>2145</v>
      </c>
      <c r="B2108" s="20">
        <f ca="1">INDIRECT(ADDRESS(MATCH(A2108,Raw!$A:$A,0),2,1,1,"Raw"))</f>
        <v>0</v>
      </c>
      <c r="C2108" s="20">
        <f>INDEX(Raw!$C:$C,MATCH(A2108,Raw!$A:$A,0))</f>
        <v>0</v>
      </c>
      <c r="D2108" s="21"/>
    </row>
    <row r="2109" spans="1:4" ht="11.25" customHeight="1" x14ac:dyDescent="0.25">
      <c r="A2109" s="22" t="s">
        <v>2146</v>
      </c>
      <c r="B2109" s="20">
        <f ca="1">INDIRECT(ADDRESS(MATCH(A2109,Raw!$A:$A,0),2,1,1,"Raw"))</f>
        <v>0</v>
      </c>
      <c r="C2109" s="20">
        <f>INDEX(Raw!$C:$C,MATCH(A2109,Raw!$A:$A,0))</f>
        <v>0</v>
      </c>
      <c r="D2109" s="21"/>
    </row>
    <row r="2110" spans="1:4" ht="11.25" customHeight="1" x14ac:dyDescent="0.25">
      <c r="A2110" s="22" t="s">
        <v>2147</v>
      </c>
      <c r="B2110" s="20">
        <f ca="1">INDIRECT(ADDRESS(MATCH(A2110,Raw!$A:$A,0),2,1,1,"Raw"))</f>
        <v>0</v>
      </c>
      <c r="C2110" s="20">
        <f>INDEX(Raw!$C:$C,MATCH(A2110,Raw!$A:$A,0))</f>
        <v>0</v>
      </c>
      <c r="D2110" s="21"/>
    </row>
    <row r="2111" spans="1:4" ht="11.25" customHeight="1" x14ac:dyDescent="0.25">
      <c r="A2111" s="22" t="s">
        <v>2148</v>
      </c>
      <c r="B2111" s="20">
        <f ca="1">INDIRECT(ADDRESS(MATCH(A2111,Raw!$A:$A,0),2,1,1,"Raw"))</f>
        <v>0</v>
      </c>
      <c r="C2111" s="20">
        <f>INDEX(Raw!$C:$C,MATCH(A2111,Raw!$A:$A,0))</f>
        <v>0</v>
      </c>
      <c r="D2111" s="21"/>
    </row>
    <row r="2112" spans="1:4" ht="11.25" customHeight="1" x14ac:dyDescent="0.25">
      <c r="A2112" s="22" t="s">
        <v>2149</v>
      </c>
      <c r="B2112" s="20">
        <f ca="1">INDIRECT(ADDRESS(MATCH(A2112,Raw!$A:$A,0),2,1,1,"Raw"))</f>
        <v>0</v>
      </c>
      <c r="C2112" s="20">
        <f>INDEX(Raw!$C:$C,MATCH(A2112,Raw!$A:$A,0))</f>
        <v>0</v>
      </c>
      <c r="D2112" s="21"/>
    </row>
    <row r="2113" spans="1:4" ht="11.25" customHeight="1" x14ac:dyDescent="0.25">
      <c r="A2113" s="22" t="s">
        <v>2150</v>
      </c>
      <c r="B2113" s="20">
        <f ca="1">INDIRECT(ADDRESS(MATCH(A2113,Raw!$A:$A,0),2,1,1,"Raw"))</f>
        <v>0</v>
      </c>
      <c r="C2113" s="20">
        <f>INDEX(Raw!$C:$C,MATCH(A2113,Raw!$A:$A,0))</f>
        <v>0</v>
      </c>
      <c r="D2113" s="21"/>
    </row>
    <row r="2114" spans="1:4" ht="11.25" customHeight="1" x14ac:dyDescent="0.25">
      <c r="A2114" s="22" t="s">
        <v>2151</v>
      </c>
      <c r="B2114" s="20">
        <f ca="1">INDIRECT(ADDRESS(MATCH(A2114,Raw!$A:$A,0),2,1,1,"Raw"))</f>
        <v>0</v>
      </c>
      <c r="C2114" s="20">
        <f>INDEX(Raw!$C:$C,MATCH(A2114,Raw!$A:$A,0))</f>
        <v>0</v>
      </c>
      <c r="D2114" s="21"/>
    </row>
    <row r="2115" spans="1:4" ht="11.25" customHeight="1" x14ac:dyDescent="0.25">
      <c r="A2115" s="22" t="s">
        <v>2152</v>
      </c>
      <c r="B2115" s="20">
        <f ca="1">INDIRECT(ADDRESS(MATCH(A2115,Raw!$A:$A,0),2,1,1,"Raw"))</f>
        <v>0</v>
      </c>
      <c r="C2115" s="20">
        <f>INDEX(Raw!$C:$C,MATCH(A2115,Raw!$A:$A,0))</f>
        <v>0</v>
      </c>
      <c r="D2115" s="21"/>
    </row>
    <row r="2116" spans="1:4" ht="11.25" customHeight="1" x14ac:dyDescent="0.25">
      <c r="A2116" s="22" t="s">
        <v>2153</v>
      </c>
      <c r="B2116" s="20">
        <f ca="1">INDIRECT(ADDRESS(MATCH(A2116,Raw!$A:$A,0),2,1,1,"Raw"))</f>
        <v>0</v>
      </c>
      <c r="C2116" s="20">
        <f>INDEX(Raw!$C:$C,MATCH(A2116,Raw!$A:$A,0))</f>
        <v>0</v>
      </c>
      <c r="D2116" s="21"/>
    </row>
    <row r="2117" spans="1:4" ht="11.25" customHeight="1" x14ac:dyDescent="0.25">
      <c r="A2117" s="22" t="s">
        <v>2154</v>
      </c>
      <c r="B2117" s="20">
        <f ca="1">INDIRECT(ADDRESS(MATCH(A2117,Raw!$A:$A,0),2,1,1,"Raw"))</f>
        <v>0</v>
      </c>
      <c r="C2117" s="20">
        <f>INDEX(Raw!$C:$C,MATCH(A2117,Raw!$A:$A,0))</f>
        <v>0</v>
      </c>
      <c r="D2117" s="21"/>
    </row>
    <row r="2118" spans="1:4" ht="11.25" customHeight="1" x14ac:dyDescent="0.25">
      <c r="A2118" s="22" t="s">
        <v>2155</v>
      </c>
      <c r="B2118" s="20">
        <f ca="1">INDIRECT(ADDRESS(MATCH(A2118,Raw!$A:$A,0),2,1,1,"Raw"))</f>
        <v>0</v>
      </c>
      <c r="C2118" s="20">
        <f>INDEX(Raw!$C:$C,MATCH(A2118,Raw!$A:$A,0))</f>
        <v>0</v>
      </c>
      <c r="D2118" s="21"/>
    </row>
    <row r="2119" spans="1:4" ht="11.25" customHeight="1" x14ac:dyDescent="0.25">
      <c r="A2119" s="22" t="s">
        <v>2156</v>
      </c>
      <c r="B2119" s="20">
        <f ca="1">INDIRECT(ADDRESS(MATCH(A2119,Raw!$A:$A,0),2,1,1,"Raw"))</f>
        <v>0</v>
      </c>
      <c r="C2119" s="20">
        <f>INDEX(Raw!$C:$C,MATCH(A2119,Raw!$A:$A,0))</f>
        <v>0</v>
      </c>
      <c r="D2119" s="21"/>
    </row>
    <row r="2120" spans="1:4" ht="11.25" customHeight="1" x14ac:dyDescent="0.25">
      <c r="A2120" s="22" t="s">
        <v>2157</v>
      </c>
      <c r="B2120" s="20">
        <f ca="1">INDIRECT(ADDRESS(MATCH(A2120,Raw!$A:$A,0),2,1,1,"Raw"))</f>
        <v>0</v>
      </c>
      <c r="C2120" s="20">
        <f>INDEX(Raw!$C:$C,MATCH(A2120,Raw!$A:$A,0))</f>
        <v>0</v>
      </c>
      <c r="D2120" s="21"/>
    </row>
    <row r="2121" spans="1:4" ht="11.25" customHeight="1" x14ac:dyDescent="0.25">
      <c r="A2121" s="22" t="s">
        <v>2158</v>
      </c>
      <c r="B2121" s="20">
        <f ca="1">INDIRECT(ADDRESS(MATCH(A2121,Raw!$A:$A,0),2,1,1,"Raw"))</f>
        <v>0</v>
      </c>
      <c r="C2121" s="20">
        <f>INDEX(Raw!$C:$C,MATCH(A2121,Raw!$A:$A,0))</f>
        <v>0</v>
      </c>
      <c r="D2121" s="21"/>
    </row>
    <row r="2122" spans="1:4" ht="11.25" customHeight="1" x14ac:dyDescent="0.25">
      <c r="A2122" s="22" t="s">
        <v>2159</v>
      </c>
      <c r="B2122" s="20">
        <f ca="1">INDIRECT(ADDRESS(MATCH(A2122,Raw!$A:$A,0),2,1,1,"Raw"))</f>
        <v>0</v>
      </c>
      <c r="C2122" s="20">
        <f>INDEX(Raw!$C:$C,MATCH(A2122,Raw!$A:$A,0))</f>
        <v>0</v>
      </c>
      <c r="D2122" s="21"/>
    </row>
    <row r="2123" spans="1:4" ht="11.25" customHeight="1" x14ac:dyDescent="0.25">
      <c r="A2123" s="22" t="s">
        <v>2160</v>
      </c>
      <c r="B2123" s="20">
        <f ca="1">INDIRECT(ADDRESS(MATCH(A2123,Raw!$A:$A,0),2,1,1,"Raw"))</f>
        <v>0</v>
      </c>
      <c r="C2123" s="20">
        <f>INDEX(Raw!$C:$C,MATCH(A2123,Raw!$A:$A,0))</f>
        <v>0</v>
      </c>
      <c r="D2123" s="21"/>
    </row>
    <row r="2124" spans="1:4" ht="11.25" customHeight="1" x14ac:dyDescent="0.25">
      <c r="A2124" s="22" t="s">
        <v>2161</v>
      </c>
      <c r="B2124" s="20">
        <f ca="1">INDIRECT(ADDRESS(MATCH(A2124,Raw!$A:$A,0),2,1,1,"Raw"))</f>
        <v>0</v>
      </c>
      <c r="C2124" s="20">
        <f>INDEX(Raw!$C:$C,MATCH(A2124,Raw!$A:$A,0))</f>
        <v>0</v>
      </c>
      <c r="D2124" s="21"/>
    </row>
    <row r="2125" spans="1:4" ht="11.25" customHeight="1" x14ac:dyDescent="0.25">
      <c r="A2125" s="22" t="s">
        <v>2162</v>
      </c>
      <c r="B2125" s="20">
        <f ca="1">INDIRECT(ADDRESS(MATCH(A2125,Raw!$A:$A,0),2,1,1,"Raw"))</f>
        <v>0</v>
      </c>
      <c r="C2125" s="20">
        <f>INDEX(Raw!$C:$C,MATCH(A2125,Raw!$A:$A,0))</f>
        <v>0</v>
      </c>
      <c r="D2125" s="21"/>
    </row>
    <row r="2126" spans="1:4" ht="11.25" customHeight="1" x14ac:dyDescent="0.25">
      <c r="A2126" s="22" t="s">
        <v>2163</v>
      </c>
      <c r="B2126" s="20">
        <f ca="1">INDIRECT(ADDRESS(MATCH(A2126,Raw!$A:$A,0),2,1,1,"Raw"))</f>
        <v>0</v>
      </c>
      <c r="C2126" s="20">
        <f>INDEX(Raw!$C:$C,MATCH(A2126,Raw!$A:$A,0))</f>
        <v>0</v>
      </c>
      <c r="D2126" s="21"/>
    </row>
    <row r="2127" spans="1:4" ht="11.25" customHeight="1" x14ac:dyDescent="0.25">
      <c r="A2127" s="22" t="s">
        <v>2164</v>
      </c>
      <c r="B2127" s="20">
        <f ca="1">INDIRECT(ADDRESS(MATCH(A2127,Raw!$A:$A,0),2,1,1,"Raw"))</f>
        <v>0</v>
      </c>
      <c r="C2127" s="20">
        <f>INDEX(Raw!$C:$C,MATCH(A2127,Raw!$A:$A,0))</f>
        <v>0</v>
      </c>
      <c r="D2127" s="21"/>
    </row>
    <row r="2128" spans="1:4" ht="11.25" customHeight="1" x14ac:dyDescent="0.25">
      <c r="A2128" s="22" t="s">
        <v>2165</v>
      </c>
      <c r="B2128" s="20">
        <f ca="1">INDIRECT(ADDRESS(MATCH(A2128,Raw!$A:$A,0),2,1,1,"Raw"))</f>
        <v>0</v>
      </c>
      <c r="C2128" s="20">
        <f>INDEX(Raw!$C:$C,MATCH(A2128,Raw!$A:$A,0))</f>
        <v>0</v>
      </c>
      <c r="D2128" s="21"/>
    </row>
    <row r="2129" spans="1:4" ht="11.25" customHeight="1" x14ac:dyDescent="0.25">
      <c r="A2129" s="22" t="s">
        <v>2166</v>
      </c>
      <c r="B2129" s="20">
        <f ca="1">INDIRECT(ADDRESS(MATCH(A2129,Raw!$A:$A,0),2,1,1,"Raw"))</f>
        <v>0</v>
      </c>
      <c r="C2129" s="20">
        <f>INDEX(Raw!$C:$C,MATCH(A2129,Raw!$A:$A,0))</f>
        <v>0</v>
      </c>
      <c r="D2129" s="21"/>
    </row>
    <row r="2130" spans="1:4" ht="11.25" customHeight="1" x14ac:dyDescent="0.25">
      <c r="A2130" s="22" t="s">
        <v>2167</v>
      </c>
      <c r="B2130" s="20">
        <f ca="1">INDIRECT(ADDRESS(MATCH(A2130,Raw!$A:$A,0),2,1,1,"Raw"))</f>
        <v>0</v>
      </c>
      <c r="C2130" s="20">
        <f>INDEX(Raw!$C:$C,MATCH(A2130,Raw!$A:$A,0))</f>
        <v>0</v>
      </c>
      <c r="D2130" s="21"/>
    </row>
    <row r="2131" spans="1:4" ht="11.25" customHeight="1" x14ac:dyDescent="0.25">
      <c r="A2131" s="22" t="s">
        <v>2168</v>
      </c>
      <c r="B2131" s="20">
        <f ca="1">INDIRECT(ADDRESS(MATCH(A2131,Raw!$A:$A,0),2,1,1,"Raw"))</f>
        <v>0</v>
      </c>
      <c r="C2131" s="20">
        <f>INDEX(Raw!$C:$C,MATCH(A2131,Raw!$A:$A,0))</f>
        <v>0</v>
      </c>
      <c r="D2131" s="21"/>
    </row>
    <row r="2132" spans="1:4" ht="11.25" customHeight="1" x14ac:dyDescent="0.25">
      <c r="A2132" s="22" t="s">
        <v>2169</v>
      </c>
      <c r="B2132" s="20">
        <f ca="1">INDIRECT(ADDRESS(MATCH(A2132,Raw!$A:$A,0),2,1,1,"Raw"))</f>
        <v>0</v>
      </c>
      <c r="C2132" s="20">
        <f>INDEX(Raw!$C:$C,MATCH(A2132,Raw!$A:$A,0))</f>
        <v>0</v>
      </c>
      <c r="D2132" s="21"/>
    </row>
    <row r="2133" spans="1:4" ht="11.25" customHeight="1" x14ac:dyDescent="0.25">
      <c r="A2133" s="22" t="s">
        <v>2170</v>
      </c>
      <c r="B2133" s="20">
        <f ca="1">INDIRECT(ADDRESS(MATCH(A2133,Raw!$A:$A,0),2,1,1,"Raw"))</f>
        <v>0</v>
      </c>
      <c r="C2133" s="20">
        <f>INDEX(Raw!$C:$C,MATCH(A2133,Raw!$A:$A,0))</f>
        <v>0</v>
      </c>
      <c r="D2133" s="21"/>
    </row>
    <row r="2134" spans="1:4" ht="11.25" customHeight="1" x14ac:dyDescent="0.25">
      <c r="A2134" s="22" t="s">
        <v>2171</v>
      </c>
      <c r="B2134" s="20">
        <f ca="1">INDIRECT(ADDRESS(MATCH(A2134,Raw!$A:$A,0),2,1,1,"Raw"))</f>
        <v>0</v>
      </c>
      <c r="C2134" s="20">
        <f>INDEX(Raw!$C:$C,MATCH(A2134,Raw!$A:$A,0))</f>
        <v>0</v>
      </c>
      <c r="D2134" s="21"/>
    </row>
    <row r="2135" spans="1:4" ht="11.25" customHeight="1" x14ac:dyDescent="0.25">
      <c r="A2135" s="22" t="s">
        <v>2172</v>
      </c>
      <c r="B2135" s="20">
        <f ca="1">INDIRECT(ADDRESS(MATCH(A2135,Raw!$A:$A,0),2,1,1,"Raw"))</f>
        <v>0</v>
      </c>
      <c r="C2135" s="20">
        <f>INDEX(Raw!$C:$C,MATCH(A2135,Raw!$A:$A,0))</f>
        <v>0</v>
      </c>
      <c r="D2135" s="21"/>
    </row>
    <row r="2136" spans="1:4" ht="11.25" customHeight="1" x14ac:dyDescent="0.25">
      <c r="A2136" s="22" t="s">
        <v>2173</v>
      </c>
      <c r="B2136" s="20">
        <f ca="1">INDIRECT(ADDRESS(MATCH(A2136,Raw!$A:$A,0),2,1,1,"Raw"))</f>
        <v>0</v>
      </c>
      <c r="C2136" s="20">
        <f>INDEX(Raw!$C:$C,MATCH(A2136,Raw!$A:$A,0))</f>
        <v>0</v>
      </c>
      <c r="D2136" s="21"/>
    </row>
    <row r="2137" spans="1:4" ht="11.25" customHeight="1" x14ac:dyDescent="0.25">
      <c r="A2137" s="22" t="s">
        <v>2174</v>
      </c>
      <c r="B2137" s="20">
        <f ca="1">INDIRECT(ADDRESS(MATCH(A2137,Raw!$A:$A,0),2,1,1,"Raw"))</f>
        <v>0</v>
      </c>
      <c r="C2137" s="20">
        <f>INDEX(Raw!$C:$C,MATCH(A2137,Raw!$A:$A,0))</f>
        <v>0</v>
      </c>
      <c r="D2137" s="21"/>
    </row>
    <row r="2138" spans="1:4" ht="11.25" customHeight="1" x14ac:dyDescent="0.25">
      <c r="A2138" s="22" t="s">
        <v>2175</v>
      </c>
      <c r="B2138" s="20">
        <f ca="1">INDIRECT(ADDRESS(MATCH(A2138,Raw!$A:$A,0),2,1,1,"Raw"))</f>
        <v>0</v>
      </c>
      <c r="C2138" s="20">
        <f>INDEX(Raw!$C:$C,MATCH(A2138,Raw!$A:$A,0))</f>
        <v>0</v>
      </c>
      <c r="D2138" s="21"/>
    </row>
    <row r="2139" spans="1:4" ht="11.25" customHeight="1" x14ac:dyDescent="0.25">
      <c r="A2139" s="22" t="s">
        <v>2176</v>
      </c>
      <c r="B2139" s="20">
        <f ca="1">INDIRECT(ADDRESS(MATCH(A2139,Raw!$A:$A,0),2,1,1,"Raw"))</f>
        <v>0</v>
      </c>
      <c r="C2139" s="20">
        <f>INDEX(Raw!$C:$C,MATCH(A2139,Raw!$A:$A,0))</f>
        <v>0</v>
      </c>
      <c r="D2139" s="21"/>
    </row>
    <row r="2140" spans="1:4" ht="11.25" customHeight="1" x14ac:dyDescent="0.25">
      <c r="A2140" s="22" t="s">
        <v>2177</v>
      </c>
      <c r="B2140" s="20">
        <f ca="1">INDIRECT(ADDRESS(MATCH(A2140,Raw!$A:$A,0),2,1,1,"Raw"))</f>
        <v>0</v>
      </c>
      <c r="C2140" s="20">
        <f>INDEX(Raw!$C:$C,MATCH(A2140,Raw!$A:$A,0))</f>
        <v>0</v>
      </c>
      <c r="D2140" s="21"/>
    </row>
    <row r="2141" spans="1:4" ht="11.25" customHeight="1" x14ac:dyDescent="0.25">
      <c r="A2141" s="22" t="s">
        <v>2178</v>
      </c>
      <c r="B2141" s="20">
        <f ca="1">INDIRECT(ADDRESS(MATCH(A2141,Raw!$A:$A,0),2,1,1,"Raw"))</f>
        <v>0</v>
      </c>
      <c r="C2141" s="20">
        <f>INDEX(Raw!$C:$C,MATCH(A2141,Raw!$A:$A,0))</f>
        <v>0</v>
      </c>
      <c r="D2141" s="21"/>
    </row>
    <row r="2142" spans="1:4" ht="11.25" customHeight="1" x14ac:dyDescent="0.25">
      <c r="A2142" s="22" t="s">
        <v>2179</v>
      </c>
      <c r="B2142" s="20">
        <f ca="1">INDIRECT(ADDRESS(MATCH(A2142,Raw!$A:$A,0),2,1,1,"Raw"))</f>
        <v>0</v>
      </c>
      <c r="C2142" s="20">
        <f>INDEX(Raw!$C:$C,MATCH(A2142,Raw!$A:$A,0))</f>
        <v>0</v>
      </c>
      <c r="D2142" s="21"/>
    </row>
    <row r="2143" spans="1:4" ht="11.25" customHeight="1" x14ac:dyDescent="0.25">
      <c r="A2143" s="22" t="s">
        <v>2180</v>
      </c>
      <c r="B2143" s="20">
        <f ca="1">INDIRECT(ADDRESS(MATCH(A2143,Raw!$A:$A,0),2,1,1,"Raw"))</f>
        <v>0</v>
      </c>
      <c r="C2143" s="20">
        <f>INDEX(Raw!$C:$C,MATCH(A2143,Raw!$A:$A,0))</f>
        <v>0</v>
      </c>
      <c r="D2143" s="21"/>
    </row>
    <row r="2144" spans="1:4" ht="11.25" customHeight="1" x14ac:dyDescent="0.25">
      <c r="A2144" s="22" t="s">
        <v>2181</v>
      </c>
      <c r="B2144" s="20">
        <f ca="1">INDIRECT(ADDRESS(MATCH(A2144,Raw!$A:$A,0),2,1,1,"Raw"))</f>
        <v>0</v>
      </c>
      <c r="C2144" s="20">
        <f>INDEX(Raw!$C:$C,MATCH(A2144,Raw!$A:$A,0))</f>
        <v>0</v>
      </c>
      <c r="D2144" s="21"/>
    </row>
    <row r="2145" spans="1:4" ht="11.25" customHeight="1" x14ac:dyDescent="0.25">
      <c r="A2145" s="22" t="s">
        <v>2182</v>
      </c>
      <c r="B2145" s="20">
        <f ca="1">INDIRECT(ADDRESS(MATCH(A2145,Raw!$A:$A,0),2,1,1,"Raw"))</f>
        <v>0</v>
      </c>
      <c r="C2145" s="20">
        <f>INDEX(Raw!$C:$C,MATCH(A2145,Raw!$A:$A,0))</f>
        <v>0</v>
      </c>
      <c r="D2145" s="21"/>
    </row>
    <row r="2146" spans="1:4" ht="11.25" customHeight="1" x14ac:dyDescent="0.25">
      <c r="A2146" s="22" t="s">
        <v>2183</v>
      </c>
      <c r="B2146" s="20">
        <f ca="1">INDIRECT(ADDRESS(MATCH(A2146,Raw!$A:$A,0),2,1,1,"Raw"))</f>
        <v>0</v>
      </c>
      <c r="C2146" s="20">
        <f>INDEX(Raw!$C:$C,MATCH(A2146,Raw!$A:$A,0))</f>
        <v>0</v>
      </c>
      <c r="D2146" s="21"/>
    </row>
    <row r="2147" spans="1:4" ht="11.25" customHeight="1" x14ac:dyDescent="0.25">
      <c r="A2147" s="22" t="s">
        <v>2184</v>
      </c>
      <c r="B2147" s="20">
        <f ca="1">INDIRECT(ADDRESS(MATCH(A2147,Raw!$A:$A,0),2,1,1,"Raw"))</f>
        <v>0</v>
      </c>
      <c r="C2147" s="20">
        <f>INDEX(Raw!$C:$C,MATCH(A2147,Raw!$A:$A,0))</f>
        <v>0</v>
      </c>
      <c r="D2147" s="21"/>
    </row>
    <row r="2148" spans="1:4" ht="11.25" customHeight="1" x14ac:dyDescent="0.25">
      <c r="A2148" s="22" t="s">
        <v>2185</v>
      </c>
      <c r="B2148" s="20">
        <f ca="1">INDIRECT(ADDRESS(MATCH(A2148,Raw!$A:$A,0),2,1,1,"Raw"))</f>
        <v>0</v>
      </c>
      <c r="C2148" s="20">
        <f>INDEX(Raw!$C:$C,MATCH(A2148,Raw!$A:$A,0))</f>
        <v>0</v>
      </c>
      <c r="D2148" s="21"/>
    </row>
    <row r="2149" spans="1:4" ht="11.25" customHeight="1" x14ac:dyDescent="0.25">
      <c r="A2149" s="22" t="s">
        <v>2186</v>
      </c>
      <c r="B2149" s="20">
        <f ca="1">INDIRECT(ADDRESS(MATCH(A2149,Raw!$A:$A,0),2,1,1,"Raw"))</f>
        <v>0</v>
      </c>
      <c r="C2149" s="20">
        <f>INDEX(Raw!$C:$C,MATCH(A2149,Raw!$A:$A,0))</f>
        <v>0</v>
      </c>
      <c r="D2149" s="21"/>
    </row>
    <row r="2150" spans="1:4" ht="11.25" customHeight="1" x14ac:dyDescent="0.25">
      <c r="A2150" s="22" t="s">
        <v>2187</v>
      </c>
      <c r="B2150" s="20">
        <f ca="1">INDIRECT(ADDRESS(MATCH(A2150,Raw!$A:$A,0),2,1,1,"Raw"))</f>
        <v>0</v>
      </c>
      <c r="C2150" s="20">
        <f>INDEX(Raw!$C:$C,MATCH(A2150,Raw!$A:$A,0))</f>
        <v>0</v>
      </c>
      <c r="D2150" s="21"/>
    </row>
    <row r="2151" spans="1:4" ht="11.25" customHeight="1" x14ac:dyDescent="0.25">
      <c r="A2151" s="22" t="s">
        <v>2188</v>
      </c>
      <c r="B2151" s="20">
        <f ca="1">INDIRECT(ADDRESS(MATCH(A2151,Raw!$A:$A,0),2,1,1,"Raw"))</f>
        <v>0</v>
      </c>
      <c r="C2151" s="20">
        <f>INDEX(Raw!$C:$C,MATCH(A2151,Raw!$A:$A,0))</f>
        <v>0</v>
      </c>
      <c r="D2151" s="21"/>
    </row>
    <row r="2152" spans="1:4" ht="11.25" customHeight="1" x14ac:dyDescent="0.25">
      <c r="A2152" s="22" t="s">
        <v>2189</v>
      </c>
      <c r="B2152" s="20">
        <f ca="1">INDIRECT(ADDRESS(MATCH(A2152,Raw!$A:$A,0),2,1,1,"Raw"))</f>
        <v>0</v>
      </c>
      <c r="C2152" s="20">
        <f>INDEX(Raw!$C:$C,MATCH(A2152,Raw!$A:$A,0))</f>
        <v>0</v>
      </c>
      <c r="D2152" s="21"/>
    </row>
    <row r="2153" spans="1:4" ht="11.25" customHeight="1" x14ac:dyDescent="0.25">
      <c r="A2153" s="22" t="s">
        <v>2190</v>
      </c>
      <c r="B2153" s="20">
        <f ca="1">INDIRECT(ADDRESS(MATCH(A2153,Raw!$A:$A,0),2,1,1,"Raw"))</f>
        <v>0</v>
      </c>
      <c r="C2153" s="20">
        <f>INDEX(Raw!$C:$C,MATCH(A2153,Raw!$A:$A,0))</f>
        <v>0</v>
      </c>
      <c r="D2153" s="21"/>
    </row>
    <row r="2154" spans="1:4" ht="11.25" customHeight="1" x14ac:dyDescent="0.25">
      <c r="A2154" s="22" t="s">
        <v>2191</v>
      </c>
      <c r="B2154" s="20">
        <f ca="1">INDIRECT(ADDRESS(MATCH(A2154,Raw!$A:$A,0),2,1,1,"Raw"))</f>
        <v>0</v>
      </c>
      <c r="C2154" s="20">
        <f>INDEX(Raw!$C:$C,MATCH(A2154,Raw!$A:$A,0))</f>
        <v>0</v>
      </c>
      <c r="D2154" s="21"/>
    </row>
    <row r="2155" spans="1:4" ht="11.25" customHeight="1" x14ac:dyDescent="0.25">
      <c r="A2155" s="22" t="s">
        <v>2192</v>
      </c>
      <c r="B2155" s="20">
        <f ca="1">INDIRECT(ADDRESS(MATCH(A2155,Raw!$A:$A,0),2,1,1,"Raw"))</f>
        <v>0</v>
      </c>
      <c r="C2155" s="20">
        <f>INDEX(Raw!$C:$C,MATCH(A2155,Raw!$A:$A,0))</f>
        <v>0</v>
      </c>
      <c r="D2155" s="21"/>
    </row>
    <row r="2156" spans="1:4" ht="11.25" customHeight="1" x14ac:dyDescent="0.25">
      <c r="A2156" s="22" t="s">
        <v>2193</v>
      </c>
      <c r="B2156" s="20">
        <f ca="1">INDIRECT(ADDRESS(MATCH(A2156,Raw!$A:$A,0),2,1,1,"Raw"))</f>
        <v>0</v>
      </c>
      <c r="C2156" s="20">
        <f>INDEX(Raw!$C:$C,MATCH(A2156,Raw!$A:$A,0))</f>
        <v>0</v>
      </c>
      <c r="D2156" s="21"/>
    </row>
    <row r="2157" spans="1:4" ht="11.25" customHeight="1" x14ac:dyDescent="0.25">
      <c r="A2157" s="22" t="s">
        <v>2194</v>
      </c>
      <c r="B2157" s="20">
        <f ca="1">INDIRECT(ADDRESS(MATCH(A2157,Raw!$A:$A,0),2,1,1,"Raw"))</f>
        <v>0</v>
      </c>
      <c r="C2157" s="20">
        <f>INDEX(Raw!$C:$C,MATCH(A2157,Raw!$A:$A,0))</f>
        <v>0</v>
      </c>
      <c r="D2157" s="21"/>
    </row>
    <row r="2158" spans="1:4" ht="11.25" customHeight="1" x14ac:dyDescent="0.25">
      <c r="A2158" s="22" t="s">
        <v>2195</v>
      </c>
      <c r="B2158" s="20">
        <f ca="1">INDIRECT(ADDRESS(MATCH(A2158,Raw!$A:$A,0),2,1,1,"Raw"))</f>
        <v>0</v>
      </c>
      <c r="C2158" s="20">
        <f>INDEX(Raw!$C:$C,MATCH(A2158,Raw!$A:$A,0))</f>
        <v>0</v>
      </c>
      <c r="D2158" s="21"/>
    </row>
    <row r="2159" spans="1:4" ht="11.25" customHeight="1" x14ac:dyDescent="0.25">
      <c r="A2159" s="22" t="s">
        <v>2196</v>
      </c>
      <c r="B2159" s="20">
        <f ca="1">INDIRECT(ADDRESS(MATCH(A2159,Raw!$A:$A,0),2,1,1,"Raw"))</f>
        <v>0</v>
      </c>
      <c r="C2159" s="20">
        <f>INDEX(Raw!$C:$C,MATCH(A2159,Raw!$A:$A,0))</f>
        <v>0</v>
      </c>
      <c r="D2159" s="21"/>
    </row>
    <row r="2160" spans="1:4" ht="11.25" customHeight="1" x14ac:dyDescent="0.25">
      <c r="A2160" s="22" t="s">
        <v>2197</v>
      </c>
      <c r="B2160" s="20">
        <f ca="1">INDIRECT(ADDRESS(MATCH(A2160,Raw!$A:$A,0),2,1,1,"Raw"))</f>
        <v>0</v>
      </c>
      <c r="C2160" s="20">
        <f>INDEX(Raw!$C:$C,MATCH(A2160,Raw!$A:$A,0))</f>
        <v>0</v>
      </c>
      <c r="D2160" s="21"/>
    </row>
    <row r="2161" spans="1:4" ht="11.25" customHeight="1" x14ac:dyDescent="0.25">
      <c r="A2161" s="22" t="s">
        <v>2198</v>
      </c>
      <c r="B2161" s="20">
        <f ca="1">INDIRECT(ADDRESS(MATCH(A2161,Raw!$A:$A,0),2,1,1,"Raw"))</f>
        <v>0</v>
      </c>
      <c r="C2161" s="20">
        <f>INDEX(Raw!$C:$C,MATCH(A2161,Raw!$A:$A,0))</f>
        <v>0</v>
      </c>
      <c r="D2161" s="21"/>
    </row>
    <row r="2162" spans="1:4" ht="11.25" customHeight="1" x14ac:dyDescent="0.25">
      <c r="A2162" s="22" t="s">
        <v>2199</v>
      </c>
      <c r="B2162" s="20">
        <f ca="1">INDIRECT(ADDRESS(MATCH(A2162,Raw!$A:$A,0),2,1,1,"Raw"))</f>
        <v>0</v>
      </c>
      <c r="C2162" s="20">
        <f>INDEX(Raw!$C:$C,MATCH(A2162,Raw!$A:$A,0))</f>
        <v>0</v>
      </c>
      <c r="D2162" s="21"/>
    </row>
    <row r="2163" spans="1:4" ht="11.25" customHeight="1" x14ac:dyDescent="0.25">
      <c r="A2163" s="22" t="s">
        <v>2200</v>
      </c>
      <c r="B2163" s="20">
        <f ca="1">INDIRECT(ADDRESS(MATCH(A2163,Raw!$A:$A,0),2,1,1,"Raw"))</f>
        <v>0</v>
      </c>
      <c r="C2163" s="20">
        <f>INDEX(Raw!$C:$C,MATCH(A2163,Raw!$A:$A,0))</f>
        <v>0</v>
      </c>
      <c r="D2163" s="21"/>
    </row>
    <row r="2164" spans="1:4" ht="11.25" customHeight="1" x14ac:dyDescent="0.25">
      <c r="A2164" s="22" t="s">
        <v>2201</v>
      </c>
      <c r="B2164" s="20">
        <f ca="1">INDIRECT(ADDRESS(MATCH(A2164,Raw!$A:$A,0),2,1,1,"Raw"))</f>
        <v>0</v>
      </c>
      <c r="C2164" s="20">
        <f>INDEX(Raw!$C:$C,MATCH(A2164,Raw!$A:$A,0))</f>
        <v>0</v>
      </c>
      <c r="D2164" s="21"/>
    </row>
    <row r="2165" spans="1:4" ht="11.25" customHeight="1" x14ac:dyDescent="0.25">
      <c r="A2165" s="22" t="s">
        <v>2202</v>
      </c>
      <c r="B2165" s="20">
        <f ca="1">INDIRECT(ADDRESS(MATCH(A2165,Raw!$A:$A,0),2,1,1,"Raw"))</f>
        <v>0</v>
      </c>
      <c r="C2165" s="20">
        <f>INDEX(Raw!$C:$C,MATCH(A2165,Raw!$A:$A,0))</f>
        <v>0</v>
      </c>
      <c r="D2165" s="21"/>
    </row>
    <row r="2166" spans="1:4" ht="11.25" customHeight="1" x14ac:dyDescent="0.25">
      <c r="A2166" s="22" t="s">
        <v>2203</v>
      </c>
      <c r="B2166" s="20">
        <f ca="1">INDIRECT(ADDRESS(MATCH(A2166,Raw!$A:$A,0),2,1,1,"Raw"))</f>
        <v>0</v>
      </c>
      <c r="C2166" s="20">
        <f>INDEX(Raw!$C:$C,MATCH(A2166,Raw!$A:$A,0))</f>
        <v>0</v>
      </c>
      <c r="D2166" s="21"/>
    </row>
    <row r="2167" spans="1:4" ht="11.25" customHeight="1" x14ac:dyDescent="0.25">
      <c r="A2167" s="22" t="s">
        <v>2204</v>
      </c>
      <c r="B2167" s="20">
        <f ca="1">INDIRECT(ADDRESS(MATCH(A2167,Raw!$A:$A,0),2,1,1,"Raw"))</f>
        <v>0</v>
      </c>
      <c r="C2167" s="20">
        <f>INDEX(Raw!$C:$C,MATCH(A2167,Raw!$A:$A,0))</f>
        <v>0</v>
      </c>
      <c r="D2167" s="21"/>
    </row>
    <row r="2168" spans="1:4" ht="11.25" customHeight="1" x14ac:dyDescent="0.25">
      <c r="A2168" s="22" t="s">
        <v>2205</v>
      </c>
      <c r="B2168" s="20">
        <f ca="1">INDIRECT(ADDRESS(MATCH(A2168,Raw!$A:$A,0),2,1,1,"Raw"))</f>
        <v>0</v>
      </c>
      <c r="C2168" s="20">
        <f>INDEX(Raw!$C:$C,MATCH(A2168,Raw!$A:$A,0))</f>
        <v>0</v>
      </c>
      <c r="D2168" s="21"/>
    </row>
    <row r="2169" spans="1:4" ht="11.25" customHeight="1" x14ac:dyDescent="0.25">
      <c r="A2169" s="22" t="s">
        <v>2206</v>
      </c>
      <c r="B2169" s="20">
        <f ca="1">INDIRECT(ADDRESS(MATCH(A2169,Raw!$A:$A,0),2,1,1,"Raw"))</f>
        <v>0</v>
      </c>
      <c r="C2169" s="20">
        <f>INDEX(Raw!$C:$C,MATCH(A2169,Raw!$A:$A,0))</f>
        <v>0</v>
      </c>
      <c r="D2169" s="21"/>
    </row>
    <row r="2170" spans="1:4" ht="11.25" customHeight="1" x14ac:dyDescent="0.25">
      <c r="A2170" s="22" t="s">
        <v>2207</v>
      </c>
      <c r="B2170" s="20">
        <f ca="1">INDIRECT(ADDRESS(MATCH(A2170,Raw!$A:$A,0),2,1,1,"Raw"))</f>
        <v>0</v>
      </c>
      <c r="C2170" s="20">
        <f>INDEX(Raw!$C:$C,MATCH(A2170,Raw!$A:$A,0))</f>
        <v>0</v>
      </c>
      <c r="D2170" s="21"/>
    </row>
    <row r="2171" spans="1:4" ht="11.25" customHeight="1" x14ac:dyDescent="0.25">
      <c r="A2171" s="22" t="s">
        <v>2208</v>
      </c>
      <c r="B2171" s="20">
        <f ca="1">INDIRECT(ADDRESS(MATCH(A2171,Raw!$A:$A,0),2,1,1,"Raw"))</f>
        <v>0</v>
      </c>
      <c r="C2171" s="20">
        <f>INDEX(Raw!$C:$C,MATCH(A2171,Raw!$A:$A,0))</f>
        <v>0</v>
      </c>
      <c r="D2171" s="21"/>
    </row>
    <row r="2172" spans="1:4" ht="11.25" customHeight="1" x14ac:dyDescent="0.25">
      <c r="A2172" s="22" t="s">
        <v>2209</v>
      </c>
      <c r="B2172" s="20">
        <f ca="1">INDIRECT(ADDRESS(MATCH(A2172,Raw!$A:$A,0),2,1,1,"Raw"))</f>
        <v>0</v>
      </c>
      <c r="C2172" s="20">
        <f>INDEX(Raw!$C:$C,MATCH(A2172,Raw!$A:$A,0))</f>
        <v>0</v>
      </c>
      <c r="D2172" s="21"/>
    </row>
    <row r="2173" spans="1:4" ht="11.25" customHeight="1" x14ac:dyDescent="0.25">
      <c r="A2173" s="22" t="s">
        <v>2210</v>
      </c>
      <c r="B2173" s="20">
        <f ca="1">INDIRECT(ADDRESS(MATCH(A2173,Raw!$A:$A,0),2,1,1,"Raw"))</f>
        <v>0</v>
      </c>
      <c r="C2173" s="20">
        <f>INDEX(Raw!$C:$C,MATCH(A2173,Raw!$A:$A,0))</f>
        <v>0</v>
      </c>
      <c r="D2173" s="21"/>
    </row>
    <row r="2174" spans="1:4" ht="11.25" customHeight="1" x14ac:dyDescent="0.25">
      <c r="A2174" s="22" t="s">
        <v>2211</v>
      </c>
      <c r="B2174" s="20">
        <f ca="1">INDIRECT(ADDRESS(MATCH(A2174,Raw!$A:$A,0),2,1,1,"Raw"))</f>
        <v>0</v>
      </c>
      <c r="C2174" s="20">
        <f>INDEX(Raw!$C:$C,MATCH(A2174,Raw!$A:$A,0))</f>
        <v>0</v>
      </c>
      <c r="D2174" s="21"/>
    </row>
    <row r="2175" spans="1:4" ht="11.25" customHeight="1" x14ac:dyDescent="0.25">
      <c r="A2175" s="22" t="s">
        <v>2212</v>
      </c>
      <c r="B2175" s="20">
        <f ca="1">INDIRECT(ADDRESS(MATCH(A2175,Raw!$A:$A,0),2,1,1,"Raw"))</f>
        <v>0</v>
      </c>
      <c r="C2175" s="20">
        <f>INDEX(Raw!$C:$C,MATCH(A2175,Raw!$A:$A,0))</f>
        <v>0</v>
      </c>
      <c r="D2175" s="21"/>
    </row>
    <row r="2176" spans="1:4" ht="11.25" customHeight="1" x14ac:dyDescent="0.25">
      <c r="A2176" s="22" t="s">
        <v>2213</v>
      </c>
      <c r="B2176" s="20">
        <f ca="1">INDIRECT(ADDRESS(MATCH(A2176,Raw!$A:$A,0),2,1,1,"Raw"))</f>
        <v>0</v>
      </c>
      <c r="C2176" s="20">
        <f>INDEX(Raw!$C:$C,MATCH(A2176,Raw!$A:$A,0))</f>
        <v>0</v>
      </c>
      <c r="D2176" s="21"/>
    </row>
    <row r="2177" spans="1:4" ht="11.25" customHeight="1" x14ac:dyDescent="0.25">
      <c r="A2177" s="22" t="s">
        <v>2214</v>
      </c>
      <c r="B2177" s="20">
        <f ca="1">INDIRECT(ADDRESS(MATCH(A2177,Raw!$A:$A,0),2,1,1,"Raw"))</f>
        <v>0</v>
      </c>
      <c r="C2177" s="20">
        <f>INDEX(Raw!$C:$C,MATCH(A2177,Raw!$A:$A,0))</f>
        <v>0</v>
      </c>
      <c r="D2177" s="21"/>
    </row>
    <row r="2178" spans="1:4" ht="11.25" customHeight="1" x14ac:dyDescent="0.25">
      <c r="A2178" s="22" t="s">
        <v>2215</v>
      </c>
      <c r="B2178" s="20">
        <f ca="1">INDIRECT(ADDRESS(MATCH(A2178,Raw!$A:$A,0),2,1,1,"Raw"))</f>
        <v>0</v>
      </c>
      <c r="C2178" s="20">
        <f>INDEX(Raw!$C:$C,MATCH(A2178,Raw!$A:$A,0))</f>
        <v>0</v>
      </c>
      <c r="D2178" s="21"/>
    </row>
    <row r="2179" spans="1:4" ht="11.25" customHeight="1" x14ac:dyDescent="0.25">
      <c r="A2179" s="22" t="s">
        <v>2216</v>
      </c>
      <c r="B2179" s="20">
        <f ca="1">INDIRECT(ADDRESS(MATCH(A2179,Raw!$A:$A,0),2,1,1,"Raw"))</f>
        <v>0</v>
      </c>
      <c r="C2179" s="20">
        <f>INDEX(Raw!$C:$C,MATCH(A2179,Raw!$A:$A,0))</f>
        <v>0</v>
      </c>
      <c r="D2179" s="21"/>
    </row>
    <row r="2180" spans="1:4" ht="11.25" customHeight="1" x14ac:dyDescent="0.25">
      <c r="A2180" s="22" t="s">
        <v>2217</v>
      </c>
      <c r="B2180" s="20">
        <f ca="1">INDIRECT(ADDRESS(MATCH(A2180,Raw!$A:$A,0),2,1,1,"Raw"))</f>
        <v>0</v>
      </c>
      <c r="C2180" s="20">
        <f>INDEX(Raw!$C:$C,MATCH(A2180,Raw!$A:$A,0))</f>
        <v>0</v>
      </c>
      <c r="D2180" s="21"/>
    </row>
    <row r="2181" spans="1:4" ht="11.25" customHeight="1" x14ac:dyDescent="0.25">
      <c r="A2181" s="22" t="s">
        <v>2218</v>
      </c>
      <c r="B2181" s="20">
        <f ca="1">INDIRECT(ADDRESS(MATCH(A2181,Raw!$A:$A,0),2,1,1,"Raw"))</f>
        <v>0</v>
      </c>
      <c r="C2181" s="20">
        <f>INDEX(Raw!$C:$C,MATCH(A2181,Raw!$A:$A,0))</f>
        <v>0</v>
      </c>
      <c r="D2181" s="21"/>
    </row>
    <row r="2182" spans="1:4" ht="11.25" customHeight="1" x14ac:dyDescent="0.25">
      <c r="A2182" s="22" t="s">
        <v>2219</v>
      </c>
      <c r="B2182" s="20">
        <f ca="1">INDIRECT(ADDRESS(MATCH(A2182,Raw!$A:$A,0),2,1,1,"Raw"))</f>
        <v>0</v>
      </c>
      <c r="C2182" s="20">
        <f>INDEX(Raw!$C:$C,MATCH(A2182,Raw!$A:$A,0))</f>
        <v>0</v>
      </c>
      <c r="D2182" s="21"/>
    </row>
    <row r="2183" spans="1:4" ht="11.25" customHeight="1" x14ac:dyDescent="0.25">
      <c r="A2183" s="22" t="s">
        <v>2220</v>
      </c>
      <c r="B2183" s="20">
        <f ca="1">INDIRECT(ADDRESS(MATCH(A2183,Raw!$A:$A,0),2,1,1,"Raw"))</f>
        <v>0</v>
      </c>
      <c r="C2183" s="20">
        <f>INDEX(Raw!$C:$C,MATCH(A2183,Raw!$A:$A,0))</f>
        <v>0</v>
      </c>
      <c r="D2183" s="21"/>
    </row>
    <row r="2184" spans="1:4" ht="11.25" customHeight="1" x14ac:dyDescent="0.25">
      <c r="A2184" s="22" t="s">
        <v>2221</v>
      </c>
      <c r="B2184" s="20">
        <f ca="1">INDIRECT(ADDRESS(MATCH(A2184,Raw!$A:$A,0),2,1,1,"Raw"))</f>
        <v>0</v>
      </c>
      <c r="C2184" s="20">
        <f>INDEX(Raw!$C:$C,MATCH(A2184,Raw!$A:$A,0))</f>
        <v>0</v>
      </c>
      <c r="D2184" s="21"/>
    </row>
    <row r="2185" spans="1:4" ht="11.25" customHeight="1" x14ac:dyDescent="0.25">
      <c r="A2185" s="22" t="s">
        <v>2222</v>
      </c>
      <c r="B2185" s="20">
        <f ca="1">INDIRECT(ADDRESS(MATCH(A2185,Raw!$A:$A,0),2,1,1,"Raw"))</f>
        <v>0</v>
      </c>
      <c r="C2185" s="20">
        <f>INDEX(Raw!$C:$C,MATCH(A2185,Raw!$A:$A,0))</f>
        <v>0</v>
      </c>
      <c r="D2185" s="21"/>
    </row>
    <row r="2186" spans="1:4" ht="11.25" customHeight="1" x14ac:dyDescent="0.25">
      <c r="A2186" s="22" t="s">
        <v>2223</v>
      </c>
      <c r="B2186" s="20">
        <f ca="1">INDIRECT(ADDRESS(MATCH(A2186,Raw!$A:$A,0),2,1,1,"Raw"))</f>
        <v>0</v>
      </c>
      <c r="C2186" s="20">
        <f>INDEX(Raw!$C:$C,MATCH(A2186,Raw!$A:$A,0))</f>
        <v>0</v>
      </c>
      <c r="D2186" s="21"/>
    </row>
    <row r="2187" spans="1:4" ht="11.25" customHeight="1" x14ac:dyDescent="0.25">
      <c r="A2187" s="22" t="s">
        <v>2224</v>
      </c>
      <c r="B2187" s="20">
        <f ca="1">INDIRECT(ADDRESS(MATCH(A2187,Raw!$A:$A,0),2,1,1,"Raw"))</f>
        <v>0</v>
      </c>
      <c r="C2187" s="20">
        <f>INDEX(Raw!$C:$C,MATCH(A2187,Raw!$A:$A,0))</f>
        <v>0</v>
      </c>
      <c r="D2187" s="21"/>
    </row>
    <row r="2188" spans="1:4" ht="11.25" customHeight="1" x14ac:dyDescent="0.25">
      <c r="A2188" s="22" t="s">
        <v>2225</v>
      </c>
      <c r="B2188" s="20">
        <f ca="1">INDIRECT(ADDRESS(MATCH(A2188,Raw!$A:$A,0),2,1,1,"Raw"))</f>
        <v>0</v>
      </c>
      <c r="C2188" s="20">
        <f>INDEX(Raw!$C:$C,MATCH(A2188,Raw!$A:$A,0))</f>
        <v>0</v>
      </c>
      <c r="D2188" s="21"/>
    </row>
    <row r="2189" spans="1:4" ht="11.25" customHeight="1" x14ac:dyDescent="0.25">
      <c r="A2189" s="22" t="s">
        <v>2226</v>
      </c>
      <c r="B2189" s="20">
        <f ca="1">INDIRECT(ADDRESS(MATCH(A2189,Raw!$A:$A,0),2,1,1,"Raw"))</f>
        <v>0</v>
      </c>
      <c r="C2189" s="20">
        <f>INDEX(Raw!$C:$C,MATCH(A2189,Raw!$A:$A,0))</f>
        <v>0</v>
      </c>
      <c r="D2189" s="21"/>
    </row>
    <row r="2190" spans="1:4" ht="11.25" customHeight="1" x14ac:dyDescent="0.25">
      <c r="A2190" s="22" t="s">
        <v>2227</v>
      </c>
      <c r="B2190" s="20">
        <f ca="1">INDIRECT(ADDRESS(MATCH(A2190,Raw!$A:$A,0),2,1,1,"Raw"))</f>
        <v>0</v>
      </c>
      <c r="C2190" s="20">
        <f>INDEX(Raw!$C:$C,MATCH(A2190,Raw!$A:$A,0))</f>
        <v>0</v>
      </c>
      <c r="D2190" s="21"/>
    </row>
    <row r="2191" spans="1:4" ht="11.25" customHeight="1" x14ac:dyDescent="0.25">
      <c r="A2191" s="22" t="s">
        <v>2228</v>
      </c>
      <c r="B2191" s="20">
        <f ca="1">INDIRECT(ADDRESS(MATCH(A2191,Raw!$A:$A,0),2,1,1,"Raw"))</f>
        <v>0</v>
      </c>
      <c r="C2191" s="20">
        <f>INDEX(Raw!$C:$C,MATCH(A2191,Raw!$A:$A,0))</f>
        <v>0</v>
      </c>
      <c r="D2191" s="21"/>
    </row>
    <row r="2192" spans="1:4" ht="11.25" customHeight="1" x14ac:dyDescent="0.25">
      <c r="A2192" s="22" t="s">
        <v>2229</v>
      </c>
      <c r="B2192" s="20">
        <f ca="1">INDIRECT(ADDRESS(MATCH(A2192,Raw!$A:$A,0),2,1,1,"Raw"))</f>
        <v>0</v>
      </c>
      <c r="C2192" s="20">
        <f>INDEX(Raw!$C:$C,MATCH(A2192,Raw!$A:$A,0))</f>
        <v>0</v>
      </c>
      <c r="D2192" s="21"/>
    </row>
    <row r="2193" spans="1:4" ht="11.25" customHeight="1" x14ac:dyDescent="0.25">
      <c r="A2193" s="22" t="s">
        <v>2230</v>
      </c>
      <c r="B2193" s="20">
        <f ca="1">INDIRECT(ADDRESS(MATCH(A2193,Raw!$A:$A,0),2,1,1,"Raw"))</f>
        <v>0</v>
      </c>
      <c r="C2193" s="20">
        <f>INDEX(Raw!$C:$C,MATCH(A2193,Raw!$A:$A,0))</f>
        <v>0</v>
      </c>
      <c r="D2193" s="21"/>
    </row>
    <row r="2194" spans="1:4" ht="11.25" customHeight="1" x14ac:dyDescent="0.25">
      <c r="A2194" s="22" t="s">
        <v>2231</v>
      </c>
      <c r="B2194" s="20">
        <f ca="1">INDIRECT(ADDRESS(MATCH(A2194,Raw!$A:$A,0),2,1,1,"Raw"))</f>
        <v>0</v>
      </c>
      <c r="C2194" s="20">
        <f>INDEX(Raw!$C:$C,MATCH(A2194,Raw!$A:$A,0))</f>
        <v>0</v>
      </c>
      <c r="D2194" s="21"/>
    </row>
    <row r="2195" spans="1:4" ht="11.25" customHeight="1" x14ac:dyDescent="0.25">
      <c r="A2195" s="22" t="s">
        <v>2232</v>
      </c>
      <c r="B2195" s="20">
        <f ca="1">INDIRECT(ADDRESS(MATCH(A2195,Raw!$A:$A,0),2,1,1,"Raw"))</f>
        <v>0</v>
      </c>
      <c r="C2195" s="20">
        <f>INDEX(Raw!$C:$C,MATCH(A2195,Raw!$A:$A,0))</f>
        <v>0</v>
      </c>
      <c r="D2195" s="21"/>
    </row>
    <row r="2196" spans="1:4" ht="11.25" customHeight="1" x14ac:dyDescent="0.25">
      <c r="A2196" s="22" t="s">
        <v>2233</v>
      </c>
      <c r="B2196" s="20">
        <f ca="1">INDIRECT(ADDRESS(MATCH(A2196,Raw!$A:$A,0),2,1,1,"Raw"))</f>
        <v>0</v>
      </c>
      <c r="C2196" s="20">
        <f>INDEX(Raw!$C:$C,MATCH(A2196,Raw!$A:$A,0))</f>
        <v>0</v>
      </c>
      <c r="D2196" s="21"/>
    </row>
    <row r="2197" spans="1:4" ht="11.25" customHeight="1" x14ac:dyDescent="0.25">
      <c r="A2197" s="22" t="s">
        <v>2234</v>
      </c>
      <c r="B2197" s="20">
        <f ca="1">INDIRECT(ADDRESS(MATCH(A2197,Raw!$A:$A,0),2,1,1,"Raw"))</f>
        <v>0</v>
      </c>
      <c r="C2197" s="20">
        <f>INDEX(Raw!$C:$C,MATCH(A2197,Raw!$A:$A,0))</f>
        <v>0</v>
      </c>
      <c r="D2197" s="21"/>
    </row>
    <row r="2198" spans="1:4" ht="11.25" customHeight="1" x14ac:dyDescent="0.25">
      <c r="A2198" s="22" t="s">
        <v>2235</v>
      </c>
      <c r="B2198" s="20">
        <f ca="1">INDIRECT(ADDRESS(MATCH(A2198,Raw!$A:$A,0),2,1,1,"Raw"))</f>
        <v>0</v>
      </c>
      <c r="C2198" s="20">
        <f>INDEX(Raw!$C:$C,MATCH(A2198,Raw!$A:$A,0))</f>
        <v>0</v>
      </c>
      <c r="D2198" s="21"/>
    </row>
    <row r="2199" spans="1:4" ht="11.25" customHeight="1" x14ac:dyDescent="0.25">
      <c r="A2199" s="22" t="s">
        <v>2236</v>
      </c>
      <c r="B2199" s="20">
        <f ca="1">INDIRECT(ADDRESS(MATCH(A2199,Raw!$A:$A,0),2,1,1,"Raw"))</f>
        <v>0</v>
      </c>
      <c r="C2199" s="20">
        <f>INDEX(Raw!$C:$C,MATCH(A2199,Raw!$A:$A,0))</f>
        <v>0</v>
      </c>
      <c r="D2199" s="21"/>
    </row>
    <row r="2200" spans="1:4" ht="11.25" customHeight="1" x14ac:dyDescent="0.25">
      <c r="A2200" s="22" t="s">
        <v>2237</v>
      </c>
      <c r="B2200" s="20">
        <f ca="1">INDIRECT(ADDRESS(MATCH(A2200,Raw!$A:$A,0),2,1,1,"Raw"))</f>
        <v>0</v>
      </c>
      <c r="C2200" s="20">
        <f>INDEX(Raw!$C:$C,MATCH(A2200,Raw!$A:$A,0))</f>
        <v>0</v>
      </c>
      <c r="D2200" s="21"/>
    </row>
    <row r="2201" spans="1:4" ht="11.25" customHeight="1" x14ac:dyDescent="0.25">
      <c r="A2201" s="22" t="s">
        <v>2238</v>
      </c>
      <c r="B2201" s="20">
        <f ca="1">INDIRECT(ADDRESS(MATCH(A2201,Raw!$A:$A,0),2,1,1,"Raw"))</f>
        <v>0</v>
      </c>
      <c r="C2201" s="20">
        <f>INDEX(Raw!$C:$C,MATCH(A2201,Raw!$A:$A,0))</f>
        <v>0</v>
      </c>
      <c r="D2201" s="21"/>
    </row>
    <row r="2202" spans="1:4" ht="11.25" customHeight="1" x14ac:dyDescent="0.25">
      <c r="A2202" s="22" t="s">
        <v>2239</v>
      </c>
      <c r="B2202" s="20">
        <f ca="1">INDIRECT(ADDRESS(MATCH(A2202,Raw!$A:$A,0),2,1,1,"Raw"))</f>
        <v>0</v>
      </c>
      <c r="C2202" s="20">
        <f>INDEX(Raw!$C:$C,MATCH(A2202,Raw!$A:$A,0))</f>
        <v>0</v>
      </c>
      <c r="D2202" s="21"/>
    </row>
    <row r="2203" spans="1:4" ht="11.25" customHeight="1" x14ac:dyDescent="0.25">
      <c r="A2203" s="22" t="s">
        <v>2240</v>
      </c>
      <c r="B2203" s="20">
        <f ca="1">INDIRECT(ADDRESS(MATCH(A2203,Raw!$A:$A,0),2,1,1,"Raw"))</f>
        <v>0</v>
      </c>
      <c r="C2203" s="20">
        <f>INDEX(Raw!$C:$C,MATCH(A2203,Raw!$A:$A,0))</f>
        <v>0</v>
      </c>
      <c r="D2203" s="21"/>
    </row>
    <row r="2204" spans="1:4" ht="11.25" customHeight="1" x14ac:dyDescent="0.25">
      <c r="A2204" s="22" t="s">
        <v>2241</v>
      </c>
      <c r="B2204" s="20">
        <f ca="1">INDIRECT(ADDRESS(MATCH(A2204,Raw!$A:$A,0),2,1,1,"Raw"))</f>
        <v>0</v>
      </c>
      <c r="C2204" s="20">
        <f>INDEX(Raw!$C:$C,MATCH(A2204,Raw!$A:$A,0))</f>
        <v>0</v>
      </c>
      <c r="D2204" s="21"/>
    </row>
    <row r="2205" spans="1:4" ht="11.25" customHeight="1" x14ac:dyDescent="0.25">
      <c r="A2205" s="22" t="s">
        <v>2242</v>
      </c>
      <c r="B2205" s="20">
        <f ca="1">INDIRECT(ADDRESS(MATCH(A2205,Raw!$A:$A,0),2,1,1,"Raw"))</f>
        <v>0</v>
      </c>
      <c r="C2205" s="20">
        <f>INDEX(Raw!$C:$C,MATCH(A2205,Raw!$A:$A,0))</f>
        <v>0</v>
      </c>
      <c r="D2205" s="21"/>
    </row>
    <row r="2206" spans="1:4" ht="11.25" customHeight="1" x14ac:dyDescent="0.25">
      <c r="A2206" s="22" t="s">
        <v>2243</v>
      </c>
      <c r="B2206" s="20">
        <f ca="1">INDIRECT(ADDRESS(MATCH(A2206,Raw!$A:$A,0),2,1,1,"Raw"))</f>
        <v>0</v>
      </c>
      <c r="C2206" s="20">
        <f>INDEX(Raw!$C:$C,MATCH(A2206,Raw!$A:$A,0))</f>
        <v>0</v>
      </c>
      <c r="D2206" s="21"/>
    </row>
    <row r="2207" spans="1:4" ht="11.25" customHeight="1" x14ac:dyDescent="0.25">
      <c r="A2207" s="22" t="s">
        <v>2244</v>
      </c>
      <c r="B2207" s="20">
        <f ca="1">INDIRECT(ADDRESS(MATCH(A2207,Raw!$A:$A,0),2,1,1,"Raw"))</f>
        <v>0</v>
      </c>
      <c r="C2207" s="20">
        <f>INDEX(Raw!$C:$C,MATCH(A2207,Raw!$A:$A,0))</f>
        <v>0</v>
      </c>
      <c r="D2207" s="21"/>
    </row>
    <row r="2208" spans="1:4" ht="11.25" customHeight="1" x14ac:dyDescent="0.25">
      <c r="A2208" s="22" t="s">
        <v>2245</v>
      </c>
      <c r="B2208" s="20">
        <f ca="1">INDIRECT(ADDRESS(MATCH(A2208,Raw!$A:$A,0),2,1,1,"Raw"))</f>
        <v>0</v>
      </c>
      <c r="C2208" s="20">
        <f>INDEX(Raw!$C:$C,MATCH(A2208,Raw!$A:$A,0))</f>
        <v>0</v>
      </c>
      <c r="D2208" s="21"/>
    </row>
    <row r="2209" spans="1:4" ht="11.25" customHeight="1" x14ac:dyDescent="0.25">
      <c r="A2209" s="22" t="s">
        <v>2246</v>
      </c>
      <c r="B2209" s="20">
        <f ca="1">INDIRECT(ADDRESS(MATCH(A2209,Raw!$A:$A,0),2,1,1,"Raw"))</f>
        <v>0</v>
      </c>
      <c r="C2209" s="20">
        <f>INDEX(Raw!$C:$C,MATCH(A2209,Raw!$A:$A,0))</f>
        <v>0</v>
      </c>
      <c r="D2209" s="21"/>
    </row>
    <row r="2210" spans="1:4" ht="11.25" customHeight="1" x14ac:dyDescent="0.25">
      <c r="A2210" s="22" t="s">
        <v>2247</v>
      </c>
      <c r="B2210" s="20">
        <f ca="1">INDIRECT(ADDRESS(MATCH(A2210,Raw!$A:$A,0),2,1,1,"Raw"))</f>
        <v>0</v>
      </c>
      <c r="C2210" s="20">
        <f>INDEX(Raw!$C:$C,MATCH(A2210,Raw!$A:$A,0))</f>
        <v>0</v>
      </c>
      <c r="D2210" s="21"/>
    </row>
    <row r="2211" spans="1:4" ht="11.25" customHeight="1" x14ac:dyDescent="0.25">
      <c r="A2211" s="22" t="s">
        <v>2248</v>
      </c>
      <c r="B2211" s="20">
        <f ca="1">INDIRECT(ADDRESS(MATCH(A2211,Raw!$A:$A,0),2,1,1,"Raw"))</f>
        <v>0</v>
      </c>
      <c r="C2211" s="20">
        <f>INDEX(Raw!$C:$C,MATCH(A2211,Raw!$A:$A,0))</f>
        <v>0</v>
      </c>
      <c r="D2211" s="21"/>
    </row>
    <row r="2212" spans="1:4" ht="11.25" customHeight="1" x14ac:dyDescent="0.25">
      <c r="A2212" s="22" t="s">
        <v>2249</v>
      </c>
      <c r="B2212" s="20">
        <f ca="1">INDIRECT(ADDRESS(MATCH(A2212,Raw!$A:$A,0),2,1,1,"Raw"))</f>
        <v>0</v>
      </c>
      <c r="C2212" s="20">
        <f>INDEX(Raw!$C:$C,MATCH(A2212,Raw!$A:$A,0))</f>
        <v>0</v>
      </c>
      <c r="D2212" s="21"/>
    </row>
    <row r="2213" spans="1:4" ht="11.25" customHeight="1" x14ac:dyDescent="0.25">
      <c r="A2213" s="22" t="s">
        <v>2250</v>
      </c>
      <c r="B2213" s="20">
        <f ca="1">INDIRECT(ADDRESS(MATCH(A2213,Raw!$A:$A,0),2,1,1,"Raw"))</f>
        <v>0</v>
      </c>
      <c r="C2213" s="20">
        <f>INDEX(Raw!$C:$C,MATCH(A2213,Raw!$A:$A,0))</f>
        <v>0</v>
      </c>
      <c r="D2213" s="21"/>
    </row>
    <row r="2214" spans="1:4" ht="11.25" customHeight="1" x14ac:dyDescent="0.25">
      <c r="A2214" s="22" t="s">
        <v>2251</v>
      </c>
      <c r="B2214" s="20">
        <f ca="1">INDIRECT(ADDRESS(MATCH(A2214,Raw!$A:$A,0),2,1,1,"Raw"))</f>
        <v>0</v>
      </c>
      <c r="C2214" s="20">
        <f>INDEX(Raw!$C:$C,MATCH(A2214,Raw!$A:$A,0))</f>
        <v>0</v>
      </c>
      <c r="D2214" s="21"/>
    </row>
    <row r="2215" spans="1:4" ht="11.25" customHeight="1" x14ac:dyDescent="0.25">
      <c r="A2215" s="22" t="s">
        <v>2252</v>
      </c>
      <c r="B2215" s="20">
        <f ca="1">INDIRECT(ADDRESS(MATCH(A2215,Raw!$A:$A,0),2,1,1,"Raw"))</f>
        <v>0</v>
      </c>
      <c r="C2215" s="20">
        <f>INDEX(Raw!$C:$C,MATCH(A2215,Raw!$A:$A,0))</f>
        <v>0</v>
      </c>
      <c r="D2215" s="21"/>
    </row>
    <row r="2216" spans="1:4" ht="11.25" customHeight="1" x14ac:dyDescent="0.25">
      <c r="A2216" s="22" t="s">
        <v>2253</v>
      </c>
      <c r="B2216" s="20">
        <f ca="1">INDIRECT(ADDRESS(MATCH(A2216,Raw!$A:$A,0),2,1,1,"Raw"))</f>
        <v>0</v>
      </c>
      <c r="C2216" s="20">
        <f>INDEX(Raw!$C:$C,MATCH(A2216,Raw!$A:$A,0))</f>
        <v>0</v>
      </c>
      <c r="D2216" s="21"/>
    </row>
    <row r="2217" spans="1:4" ht="11.25" customHeight="1" x14ac:dyDescent="0.25">
      <c r="A2217" s="22" t="s">
        <v>2254</v>
      </c>
      <c r="B2217" s="20">
        <f ca="1">INDIRECT(ADDRESS(MATCH(A2217,Raw!$A:$A,0),2,1,1,"Raw"))</f>
        <v>0</v>
      </c>
      <c r="C2217" s="20">
        <f>INDEX(Raw!$C:$C,MATCH(A2217,Raw!$A:$A,0))</f>
        <v>0</v>
      </c>
      <c r="D2217" s="21"/>
    </row>
    <row r="2218" spans="1:4" ht="11.25" customHeight="1" x14ac:dyDescent="0.25">
      <c r="A2218" s="22" t="s">
        <v>2255</v>
      </c>
      <c r="B2218" s="20">
        <f ca="1">INDIRECT(ADDRESS(MATCH(A2218,Raw!$A:$A,0),2,1,1,"Raw"))</f>
        <v>0</v>
      </c>
      <c r="C2218" s="20">
        <f>INDEX(Raw!$C:$C,MATCH(A2218,Raw!$A:$A,0))</f>
        <v>0</v>
      </c>
      <c r="D2218" s="21"/>
    </row>
    <row r="2219" spans="1:4" ht="11.25" customHeight="1" x14ac:dyDescent="0.25">
      <c r="A2219" s="22" t="s">
        <v>2256</v>
      </c>
      <c r="B2219" s="20">
        <f ca="1">INDIRECT(ADDRESS(MATCH(A2219,Raw!$A:$A,0),2,1,1,"Raw"))</f>
        <v>0</v>
      </c>
      <c r="C2219" s="20">
        <f>INDEX(Raw!$C:$C,MATCH(A2219,Raw!$A:$A,0))</f>
        <v>0</v>
      </c>
      <c r="D2219" s="21"/>
    </row>
    <row r="2220" spans="1:4" ht="11.25" customHeight="1" x14ac:dyDescent="0.25">
      <c r="A2220" s="22" t="s">
        <v>2257</v>
      </c>
      <c r="B2220" s="20">
        <f ca="1">INDIRECT(ADDRESS(MATCH(A2220,Raw!$A:$A,0),2,1,1,"Raw"))</f>
        <v>0</v>
      </c>
      <c r="C2220" s="20">
        <f>INDEX(Raw!$C:$C,MATCH(A2220,Raw!$A:$A,0))</f>
        <v>0</v>
      </c>
      <c r="D2220" s="21"/>
    </row>
    <row r="2221" spans="1:4" ht="11.25" customHeight="1" x14ac:dyDescent="0.25">
      <c r="A2221" s="22" t="s">
        <v>2258</v>
      </c>
      <c r="B2221" s="20">
        <f ca="1">INDIRECT(ADDRESS(MATCH(A2221,Raw!$A:$A,0),2,1,1,"Raw"))</f>
        <v>0</v>
      </c>
      <c r="C2221" s="20">
        <f>INDEX(Raw!$C:$C,MATCH(A2221,Raw!$A:$A,0))</f>
        <v>0</v>
      </c>
      <c r="D2221" s="21"/>
    </row>
    <row r="2222" spans="1:4" ht="11.25" customHeight="1" x14ac:dyDescent="0.25">
      <c r="A2222" s="22" t="s">
        <v>2259</v>
      </c>
      <c r="B2222" s="20">
        <f ca="1">INDIRECT(ADDRESS(MATCH(A2222,Raw!$A:$A,0),2,1,1,"Raw"))</f>
        <v>0</v>
      </c>
      <c r="C2222" s="20">
        <f>INDEX(Raw!$C:$C,MATCH(A2222,Raw!$A:$A,0))</f>
        <v>0</v>
      </c>
      <c r="D2222" s="21"/>
    </row>
    <row r="2223" spans="1:4" ht="11.25" customHeight="1" x14ac:dyDescent="0.25">
      <c r="A2223" s="22" t="s">
        <v>2260</v>
      </c>
      <c r="B2223" s="20">
        <f ca="1">INDIRECT(ADDRESS(MATCH(A2223,Raw!$A:$A,0),2,1,1,"Raw"))</f>
        <v>0</v>
      </c>
      <c r="C2223" s="20">
        <f>INDEX(Raw!$C:$C,MATCH(A2223,Raw!$A:$A,0))</f>
        <v>0</v>
      </c>
      <c r="D2223" s="21"/>
    </row>
    <row r="2224" spans="1:4" ht="11.25" customHeight="1" x14ac:dyDescent="0.25">
      <c r="A2224" s="22" t="s">
        <v>2261</v>
      </c>
      <c r="B2224" s="20">
        <f ca="1">INDIRECT(ADDRESS(MATCH(A2224,Raw!$A:$A,0),2,1,1,"Raw"))</f>
        <v>0</v>
      </c>
      <c r="C2224" s="20">
        <f>INDEX(Raw!$C:$C,MATCH(A2224,Raw!$A:$A,0))</f>
        <v>0</v>
      </c>
      <c r="D2224" s="21"/>
    </row>
    <row r="2225" spans="1:4" ht="11.25" customHeight="1" x14ac:dyDescent="0.25">
      <c r="A2225" s="22" t="s">
        <v>2262</v>
      </c>
      <c r="B2225" s="20">
        <f ca="1">INDIRECT(ADDRESS(MATCH(A2225,Raw!$A:$A,0),2,1,1,"Raw"))</f>
        <v>0</v>
      </c>
      <c r="C2225" s="20">
        <f>INDEX(Raw!$C:$C,MATCH(A2225,Raw!$A:$A,0))</f>
        <v>0</v>
      </c>
      <c r="D2225" s="21"/>
    </row>
    <row r="2226" spans="1:4" ht="11.25" customHeight="1" x14ac:dyDescent="0.25">
      <c r="A2226" s="22" t="s">
        <v>2263</v>
      </c>
      <c r="B2226" s="20">
        <f ca="1">INDIRECT(ADDRESS(MATCH(A2226,Raw!$A:$A,0),2,1,1,"Raw"))</f>
        <v>0</v>
      </c>
      <c r="C2226" s="20">
        <f>INDEX(Raw!$C:$C,MATCH(A2226,Raw!$A:$A,0))</f>
        <v>0</v>
      </c>
      <c r="D2226" s="21"/>
    </row>
    <row r="2227" spans="1:4" ht="11.25" customHeight="1" x14ac:dyDescent="0.25">
      <c r="A2227" s="22" t="s">
        <v>2264</v>
      </c>
      <c r="B2227" s="20">
        <f ca="1">INDIRECT(ADDRESS(MATCH(A2227,Raw!$A:$A,0),2,1,1,"Raw"))</f>
        <v>0</v>
      </c>
      <c r="C2227" s="20">
        <f>INDEX(Raw!$C:$C,MATCH(A2227,Raw!$A:$A,0))</f>
        <v>0</v>
      </c>
      <c r="D2227" s="21"/>
    </row>
    <row r="2228" spans="1:4" ht="11.25" customHeight="1" x14ac:dyDescent="0.25">
      <c r="A2228" s="22" t="s">
        <v>2265</v>
      </c>
      <c r="B2228" s="20">
        <f ca="1">INDIRECT(ADDRESS(MATCH(A2228,Raw!$A:$A,0),2,1,1,"Raw"))</f>
        <v>0</v>
      </c>
      <c r="C2228" s="20">
        <f>INDEX(Raw!$C:$C,MATCH(A2228,Raw!$A:$A,0))</f>
        <v>0</v>
      </c>
      <c r="D2228" s="21"/>
    </row>
    <row r="2229" spans="1:4" ht="11.25" customHeight="1" x14ac:dyDescent="0.25">
      <c r="A2229" s="22" t="s">
        <v>2266</v>
      </c>
      <c r="B2229" s="20">
        <f ca="1">INDIRECT(ADDRESS(MATCH(A2229,Raw!$A:$A,0),2,1,1,"Raw"))</f>
        <v>0</v>
      </c>
      <c r="C2229" s="20">
        <f>INDEX(Raw!$C:$C,MATCH(A2229,Raw!$A:$A,0))</f>
        <v>0</v>
      </c>
      <c r="D2229" s="21"/>
    </row>
    <row r="2230" spans="1:4" ht="11.25" customHeight="1" x14ac:dyDescent="0.25">
      <c r="A2230" s="22" t="s">
        <v>2267</v>
      </c>
      <c r="B2230" s="20">
        <f ca="1">INDIRECT(ADDRESS(MATCH(A2230,Raw!$A:$A,0),2,1,1,"Raw"))</f>
        <v>0</v>
      </c>
      <c r="C2230" s="20">
        <f>INDEX(Raw!$C:$C,MATCH(A2230,Raw!$A:$A,0))</f>
        <v>0</v>
      </c>
      <c r="D2230" s="21"/>
    </row>
    <row r="2231" spans="1:4" ht="11.25" customHeight="1" x14ac:dyDescent="0.25">
      <c r="A2231" s="22" t="s">
        <v>2268</v>
      </c>
      <c r="B2231" s="20">
        <f ca="1">INDIRECT(ADDRESS(MATCH(A2231,Raw!$A:$A,0),2,1,1,"Raw"))</f>
        <v>0</v>
      </c>
      <c r="C2231" s="20">
        <f>INDEX(Raw!$C:$C,MATCH(A2231,Raw!$A:$A,0))</f>
        <v>0</v>
      </c>
      <c r="D2231" s="21"/>
    </row>
    <row r="2232" spans="1:4" ht="11.25" customHeight="1" x14ac:dyDescent="0.25">
      <c r="A2232" s="22" t="s">
        <v>2269</v>
      </c>
      <c r="B2232" s="20">
        <f ca="1">INDIRECT(ADDRESS(MATCH(A2232,Raw!$A:$A,0),2,1,1,"Raw"))</f>
        <v>0</v>
      </c>
      <c r="C2232" s="20">
        <f>INDEX(Raw!$C:$C,MATCH(A2232,Raw!$A:$A,0))</f>
        <v>0</v>
      </c>
      <c r="D2232" s="21"/>
    </row>
    <row r="2233" spans="1:4" ht="11.25" customHeight="1" x14ac:dyDescent="0.25">
      <c r="A2233" s="22" t="s">
        <v>2270</v>
      </c>
      <c r="B2233" s="20">
        <f ca="1">INDIRECT(ADDRESS(MATCH(A2233,Raw!$A:$A,0),2,1,1,"Raw"))</f>
        <v>0</v>
      </c>
      <c r="C2233" s="20">
        <f>INDEX(Raw!$C:$C,MATCH(A2233,Raw!$A:$A,0))</f>
        <v>0</v>
      </c>
      <c r="D2233" s="21"/>
    </row>
    <row r="2234" spans="1:4" ht="11.25" customHeight="1" x14ac:dyDescent="0.25">
      <c r="A2234" s="22" t="s">
        <v>2271</v>
      </c>
      <c r="B2234" s="20">
        <f ca="1">INDIRECT(ADDRESS(MATCH(A2234,Raw!$A:$A,0),2,1,1,"Raw"))</f>
        <v>0</v>
      </c>
      <c r="C2234" s="20">
        <f>INDEX(Raw!$C:$C,MATCH(A2234,Raw!$A:$A,0))</f>
        <v>0</v>
      </c>
      <c r="D2234" s="21"/>
    </row>
    <row r="2235" spans="1:4" ht="11.25" customHeight="1" x14ac:dyDescent="0.25">
      <c r="A2235" s="22" t="s">
        <v>2272</v>
      </c>
      <c r="B2235" s="20">
        <f ca="1">INDIRECT(ADDRESS(MATCH(A2235,Raw!$A:$A,0),2,1,1,"Raw"))</f>
        <v>0</v>
      </c>
      <c r="C2235" s="20">
        <f>INDEX(Raw!$C:$C,MATCH(A2235,Raw!$A:$A,0))</f>
        <v>0</v>
      </c>
      <c r="D2235" s="21"/>
    </row>
    <row r="2236" spans="1:4" ht="11.25" customHeight="1" x14ac:dyDescent="0.25">
      <c r="A2236" s="22" t="s">
        <v>2273</v>
      </c>
      <c r="B2236" s="20">
        <f ca="1">INDIRECT(ADDRESS(MATCH(A2236,Raw!$A:$A,0),2,1,1,"Raw"))</f>
        <v>0</v>
      </c>
      <c r="C2236" s="20">
        <f>INDEX(Raw!$C:$C,MATCH(A2236,Raw!$A:$A,0))</f>
        <v>0</v>
      </c>
      <c r="D2236" s="21"/>
    </row>
    <row r="2237" spans="1:4" ht="11.25" customHeight="1" x14ac:dyDescent="0.25">
      <c r="A2237" s="22" t="s">
        <v>2274</v>
      </c>
      <c r="B2237" s="20">
        <f ca="1">INDIRECT(ADDRESS(MATCH(A2237,Raw!$A:$A,0),2,1,1,"Raw"))</f>
        <v>0</v>
      </c>
      <c r="C2237" s="20">
        <f>INDEX(Raw!$C:$C,MATCH(A2237,Raw!$A:$A,0))</f>
        <v>0</v>
      </c>
      <c r="D2237" s="21"/>
    </row>
    <row r="2238" spans="1:4" ht="11.25" customHeight="1" x14ac:dyDescent="0.25">
      <c r="A2238" s="22" t="s">
        <v>2275</v>
      </c>
      <c r="B2238" s="20">
        <f ca="1">INDIRECT(ADDRESS(MATCH(A2238,Raw!$A:$A,0),2,1,1,"Raw"))</f>
        <v>0</v>
      </c>
      <c r="C2238" s="20">
        <f>INDEX(Raw!$C:$C,MATCH(A2238,Raw!$A:$A,0))</f>
        <v>0</v>
      </c>
      <c r="D2238" s="21"/>
    </row>
    <row r="2239" spans="1:4" ht="11.25" customHeight="1" x14ac:dyDescent="0.25">
      <c r="A2239" s="22" t="s">
        <v>2276</v>
      </c>
      <c r="B2239" s="20">
        <f ca="1">INDIRECT(ADDRESS(MATCH(A2239,Raw!$A:$A,0),2,1,1,"Raw"))</f>
        <v>0</v>
      </c>
      <c r="C2239" s="20">
        <f>INDEX(Raw!$C:$C,MATCH(A2239,Raw!$A:$A,0))</f>
        <v>0</v>
      </c>
      <c r="D2239" s="21"/>
    </row>
    <row r="2240" spans="1:4" ht="11.25" customHeight="1" x14ac:dyDescent="0.25">
      <c r="A2240" s="22" t="s">
        <v>2277</v>
      </c>
      <c r="B2240" s="20">
        <f ca="1">INDIRECT(ADDRESS(MATCH(A2240,Raw!$A:$A,0),2,1,1,"Raw"))</f>
        <v>0</v>
      </c>
      <c r="C2240" s="20">
        <f>INDEX(Raw!$C:$C,MATCH(A2240,Raw!$A:$A,0))</f>
        <v>0</v>
      </c>
      <c r="D2240" s="21"/>
    </row>
    <row r="2241" spans="1:4" ht="11.25" customHeight="1" x14ac:dyDescent="0.25">
      <c r="A2241" s="22" t="s">
        <v>2278</v>
      </c>
      <c r="B2241" s="20">
        <f ca="1">INDIRECT(ADDRESS(MATCH(A2241,Raw!$A:$A,0),2,1,1,"Raw"))</f>
        <v>0</v>
      </c>
      <c r="C2241" s="20">
        <f>INDEX(Raw!$C:$C,MATCH(A2241,Raw!$A:$A,0))</f>
        <v>0</v>
      </c>
      <c r="D2241" s="21"/>
    </row>
    <row r="2242" spans="1:4" ht="11.25" customHeight="1" x14ac:dyDescent="0.25">
      <c r="A2242" s="22" t="s">
        <v>2279</v>
      </c>
      <c r="B2242" s="20">
        <f ca="1">INDIRECT(ADDRESS(MATCH(A2242,Raw!$A:$A,0),2,1,1,"Raw"))</f>
        <v>0</v>
      </c>
      <c r="C2242" s="20">
        <f>INDEX(Raw!$C:$C,MATCH(A2242,Raw!$A:$A,0))</f>
        <v>0</v>
      </c>
      <c r="D2242" s="21"/>
    </row>
    <row r="2243" spans="1:4" ht="11.25" customHeight="1" x14ac:dyDescent="0.25">
      <c r="A2243" s="22" t="s">
        <v>2280</v>
      </c>
      <c r="B2243" s="20">
        <f ca="1">INDIRECT(ADDRESS(MATCH(A2243,Raw!$A:$A,0),2,1,1,"Raw"))</f>
        <v>0</v>
      </c>
      <c r="C2243" s="20">
        <f>INDEX(Raw!$C:$C,MATCH(A2243,Raw!$A:$A,0))</f>
        <v>0</v>
      </c>
      <c r="D2243" s="21"/>
    </row>
    <row r="2244" spans="1:4" ht="11.25" customHeight="1" x14ac:dyDescent="0.25">
      <c r="A2244" s="22" t="s">
        <v>2281</v>
      </c>
      <c r="B2244" s="20">
        <f ca="1">INDIRECT(ADDRESS(MATCH(A2244,Raw!$A:$A,0),2,1,1,"Raw"))</f>
        <v>0</v>
      </c>
      <c r="C2244" s="20">
        <f>INDEX(Raw!$C:$C,MATCH(A2244,Raw!$A:$A,0))</f>
        <v>0</v>
      </c>
      <c r="D2244" s="21"/>
    </row>
    <row r="2245" spans="1:4" ht="11.25" customHeight="1" x14ac:dyDescent="0.25">
      <c r="A2245" s="22" t="s">
        <v>2282</v>
      </c>
      <c r="B2245" s="20">
        <f ca="1">INDIRECT(ADDRESS(MATCH(A2245,Raw!$A:$A,0),2,1,1,"Raw"))</f>
        <v>0</v>
      </c>
      <c r="C2245" s="20">
        <f>INDEX(Raw!$C:$C,MATCH(A2245,Raw!$A:$A,0))</f>
        <v>0</v>
      </c>
      <c r="D2245" s="21"/>
    </row>
    <row r="2246" spans="1:4" ht="11.25" customHeight="1" x14ac:dyDescent="0.25">
      <c r="A2246" s="22" t="s">
        <v>2283</v>
      </c>
      <c r="B2246" s="20">
        <f ca="1">INDIRECT(ADDRESS(MATCH(A2246,Raw!$A:$A,0),2,1,1,"Raw"))</f>
        <v>0</v>
      </c>
      <c r="C2246" s="20">
        <f>INDEX(Raw!$C:$C,MATCH(A2246,Raw!$A:$A,0))</f>
        <v>0</v>
      </c>
      <c r="D2246" s="21"/>
    </row>
    <row r="2247" spans="1:4" ht="11.25" customHeight="1" x14ac:dyDescent="0.25">
      <c r="A2247" s="22" t="s">
        <v>2284</v>
      </c>
      <c r="B2247" s="20">
        <f ca="1">INDIRECT(ADDRESS(MATCH(A2247,Raw!$A:$A,0),2,1,1,"Raw"))</f>
        <v>0</v>
      </c>
      <c r="C2247" s="20">
        <f>INDEX(Raw!$C:$C,MATCH(A2247,Raw!$A:$A,0))</f>
        <v>0</v>
      </c>
      <c r="D2247" s="21"/>
    </row>
    <row r="2248" spans="1:4" ht="11.25" customHeight="1" x14ac:dyDescent="0.25">
      <c r="A2248" s="22" t="s">
        <v>2285</v>
      </c>
      <c r="B2248" s="20">
        <f ca="1">INDIRECT(ADDRESS(MATCH(A2248,Raw!$A:$A,0),2,1,1,"Raw"))</f>
        <v>0</v>
      </c>
      <c r="C2248" s="20">
        <f>INDEX(Raw!$C:$C,MATCH(A2248,Raw!$A:$A,0))</f>
        <v>0</v>
      </c>
      <c r="D2248" s="21"/>
    </row>
    <row r="2249" spans="1:4" ht="11.25" customHeight="1" x14ac:dyDescent="0.25">
      <c r="A2249" s="22" t="s">
        <v>2286</v>
      </c>
      <c r="B2249" s="20">
        <f ca="1">INDIRECT(ADDRESS(MATCH(A2249,Raw!$A:$A,0),2,1,1,"Raw"))</f>
        <v>0</v>
      </c>
      <c r="C2249" s="20">
        <f>INDEX(Raw!$C:$C,MATCH(A2249,Raw!$A:$A,0))</f>
        <v>0</v>
      </c>
      <c r="D2249" s="21"/>
    </row>
    <row r="2250" spans="1:4" ht="11.25" customHeight="1" x14ac:dyDescent="0.25">
      <c r="A2250" s="22" t="s">
        <v>2287</v>
      </c>
      <c r="B2250" s="20">
        <f ca="1">INDIRECT(ADDRESS(MATCH(A2250,Raw!$A:$A,0),2,1,1,"Raw"))</f>
        <v>0</v>
      </c>
      <c r="C2250" s="20">
        <f>INDEX(Raw!$C:$C,MATCH(A2250,Raw!$A:$A,0))</f>
        <v>0</v>
      </c>
      <c r="D2250" s="21"/>
    </row>
    <row r="2251" spans="1:4" ht="11.25" customHeight="1" x14ac:dyDescent="0.25">
      <c r="A2251" s="22" t="s">
        <v>2288</v>
      </c>
      <c r="B2251" s="20">
        <f ca="1">INDIRECT(ADDRESS(MATCH(A2251,Raw!$A:$A,0),2,1,1,"Raw"))</f>
        <v>0</v>
      </c>
      <c r="C2251" s="20">
        <f>INDEX(Raw!$C:$C,MATCH(A2251,Raw!$A:$A,0))</f>
        <v>0</v>
      </c>
      <c r="D2251" s="21"/>
    </row>
    <row r="2252" spans="1:4" ht="11.25" customHeight="1" x14ac:dyDescent="0.25">
      <c r="A2252" s="22" t="s">
        <v>2289</v>
      </c>
      <c r="B2252" s="20">
        <f ca="1">INDIRECT(ADDRESS(MATCH(A2252,Raw!$A:$A,0),2,1,1,"Raw"))</f>
        <v>0</v>
      </c>
      <c r="C2252" s="20">
        <f>INDEX(Raw!$C:$C,MATCH(A2252,Raw!$A:$A,0))</f>
        <v>0</v>
      </c>
      <c r="D2252" s="21"/>
    </row>
    <row r="2253" spans="1:4" ht="11.25" customHeight="1" x14ac:dyDescent="0.25">
      <c r="A2253" s="22" t="s">
        <v>2290</v>
      </c>
      <c r="B2253" s="20">
        <f ca="1">INDIRECT(ADDRESS(MATCH(A2253,Raw!$A:$A,0),2,1,1,"Raw"))</f>
        <v>0</v>
      </c>
      <c r="C2253" s="20">
        <f>INDEX(Raw!$C:$C,MATCH(A2253,Raw!$A:$A,0))</f>
        <v>0</v>
      </c>
      <c r="D2253" s="21"/>
    </row>
    <row r="2254" spans="1:4" ht="11.25" customHeight="1" x14ac:dyDescent="0.25">
      <c r="A2254" s="22" t="s">
        <v>2291</v>
      </c>
      <c r="B2254" s="20">
        <f ca="1">INDIRECT(ADDRESS(MATCH(A2254,Raw!$A:$A,0),2,1,1,"Raw"))</f>
        <v>0</v>
      </c>
      <c r="C2254" s="20">
        <f>INDEX(Raw!$C:$C,MATCH(A2254,Raw!$A:$A,0))</f>
        <v>0</v>
      </c>
      <c r="D2254" s="21"/>
    </row>
    <row r="2255" spans="1:4" ht="11.25" customHeight="1" x14ac:dyDescent="0.25">
      <c r="A2255" s="22" t="s">
        <v>2292</v>
      </c>
      <c r="B2255" s="20">
        <f ca="1">INDIRECT(ADDRESS(MATCH(A2255,Raw!$A:$A,0),2,1,1,"Raw"))</f>
        <v>0</v>
      </c>
      <c r="C2255" s="20">
        <f>INDEX(Raw!$C:$C,MATCH(A2255,Raw!$A:$A,0))</f>
        <v>0</v>
      </c>
      <c r="D2255" s="21"/>
    </row>
    <row r="2256" spans="1:4" ht="11.25" customHeight="1" x14ac:dyDescent="0.25">
      <c r="A2256" s="22" t="s">
        <v>2293</v>
      </c>
      <c r="B2256" s="20">
        <f ca="1">INDIRECT(ADDRESS(MATCH(A2256,Raw!$A:$A,0),2,1,1,"Raw"))</f>
        <v>0</v>
      </c>
      <c r="C2256" s="20">
        <f>INDEX(Raw!$C:$C,MATCH(A2256,Raw!$A:$A,0))</f>
        <v>0</v>
      </c>
      <c r="D2256" s="21"/>
    </row>
    <row r="2257" spans="1:4" ht="11.25" customHeight="1" x14ac:dyDescent="0.25">
      <c r="A2257" s="22" t="s">
        <v>2294</v>
      </c>
      <c r="B2257" s="20">
        <f ca="1">INDIRECT(ADDRESS(MATCH(A2257,Raw!$A:$A,0),2,1,1,"Raw"))</f>
        <v>0</v>
      </c>
      <c r="C2257" s="20">
        <f>INDEX(Raw!$C:$C,MATCH(A2257,Raw!$A:$A,0))</f>
        <v>0</v>
      </c>
      <c r="D2257" s="21"/>
    </row>
    <row r="2258" spans="1:4" ht="11.25" customHeight="1" x14ac:dyDescent="0.25">
      <c r="A2258" s="22" t="s">
        <v>2295</v>
      </c>
      <c r="B2258" s="20">
        <f ca="1">INDIRECT(ADDRESS(MATCH(A2258,Raw!$A:$A,0),2,1,1,"Raw"))</f>
        <v>0</v>
      </c>
      <c r="C2258" s="20">
        <f>INDEX(Raw!$C:$C,MATCH(A2258,Raw!$A:$A,0))</f>
        <v>0</v>
      </c>
      <c r="D2258" s="21"/>
    </row>
    <row r="2259" spans="1:4" ht="11.25" customHeight="1" x14ac:dyDescent="0.25">
      <c r="A2259" s="22" t="s">
        <v>2296</v>
      </c>
      <c r="B2259" s="20">
        <f ca="1">INDIRECT(ADDRESS(MATCH(A2259,Raw!$A:$A,0),2,1,1,"Raw"))</f>
        <v>0</v>
      </c>
      <c r="C2259" s="20">
        <f>INDEX(Raw!$C:$C,MATCH(A2259,Raw!$A:$A,0))</f>
        <v>0</v>
      </c>
      <c r="D2259" s="21"/>
    </row>
    <row r="2260" spans="1:4" ht="11.25" customHeight="1" x14ac:dyDescent="0.25">
      <c r="A2260" s="22" t="s">
        <v>2297</v>
      </c>
      <c r="B2260" s="20">
        <f ca="1">INDIRECT(ADDRESS(MATCH(A2260,Raw!$A:$A,0),2,1,1,"Raw"))</f>
        <v>0</v>
      </c>
      <c r="C2260" s="20">
        <f>INDEX(Raw!$C:$C,MATCH(A2260,Raw!$A:$A,0))</f>
        <v>0</v>
      </c>
      <c r="D2260" s="21"/>
    </row>
    <row r="2261" spans="1:4" ht="11.25" customHeight="1" x14ac:dyDescent="0.25">
      <c r="A2261" s="22" t="s">
        <v>2298</v>
      </c>
      <c r="B2261" s="20">
        <f ca="1">INDIRECT(ADDRESS(MATCH(A2261,Raw!$A:$A,0),2,1,1,"Raw"))</f>
        <v>0</v>
      </c>
      <c r="C2261" s="20">
        <f>INDEX(Raw!$C:$C,MATCH(A2261,Raw!$A:$A,0))</f>
        <v>0</v>
      </c>
      <c r="D2261" s="21"/>
    </row>
    <row r="2262" spans="1:4" ht="11.25" customHeight="1" x14ac:dyDescent="0.25">
      <c r="A2262" s="22" t="s">
        <v>2299</v>
      </c>
      <c r="B2262" s="20">
        <f ca="1">INDIRECT(ADDRESS(MATCH(A2262,Raw!$A:$A,0),2,1,1,"Raw"))</f>
        <v>0</v>
      </c>
      <c r="C2262" s="20">
        <f>INDEX(Raw!$C:$C,MATCH(A2262,Raw!$A:$A,0))</f>
        <v>0</v>
      </c>
      <c r="D2262" s="21"/>
    </row>
    <row r="2263" spans="1:4" ht="11.25" customHeight="1" x14ac:dyDescent="0.25">
      <c r="A2263" s="22" t="s">
        <v>2300</v>
      </c>
      <c r="B2263" s="20">
        <f ca="1">INDIRECT(ADDRESS(MATCH(A2263,Raw!$A:$A,0),2,1,1,"Raw"))</f>
        <v>0</v>
      </c>
      <c r="C2263" s="20">
        <f>INDEX(Raw!$C:$C,MATCH(A2263,Raw!$A:$A,0))</f>
        <v>0</v>
      </c>
      <c r="D2263" s="21"/>
    </row>
    <row r="2264" spans="1:4" ht="11.25" customHeight="1" x14ac:dyDescent="0.25">
      <c r="A2264" s="22" t="s">
        <v>2301</v>
      </c>
      <c r="B2264" s="20">
        <f ca="1">INDIRECT(ADDRESS(MATCH(A2264,Raw!$A:$A,0),2,1,1,"Raw"))</f>
        <v>0</v>
      </c>
      <c r="C2264" s="20">
        <f>INDEX(Raw!$C:$C,MATCH(A2264,Raw!$A:$A,0))</f>
        <v>0</v>
      </c>
      <c r="D2264" s="21"/>
    </row>
    <row r="2265" spans="1:4" ht="11.25" customHeight="1" x14ac:dyDescent="0.25">
      <c r="A2265" s="22" t="s">
        <v>2302</v>
      </c>
      <c r="B2265" s="20">
        <f ca="1">INDIRECT(ADDRESS(MATCH(A2265,Raw!$A:$A,0),2,1,1,"Raw"))</f>
        <v>0</v>
      </c>
      <c r="C2265" s="20">
        <f>INDEX(Raw!$C:$C,MATCH(A2265,Raw!$A:$A,0))</f>
        <v>0</v>
      </c>
      <c r="D2265" s="21"/>
    </row>
    <row r="2266" spans="1:4" ht="11.25" customHeight="1" x14ac:dyDescent="0.25">
      <c r="A2266" s="22" t="s">
        <v>2303</v>
      </c>
      <c r="B2266" s="20">
        <f ca="1">INDIRECT(ADDRESS(MATCH(A2266,Raw!$A:$A,0),2,1,1,"Raw"))</f>
        <v>0</v>
      </c>
      <c r="C2266" s="20">
        <f>INDEX(Raw!$C:$C,MATCH(A2266,Raw!$A:$A,0))</f>
        <v>0</v>
      </c>
      <c r="D2266" s="21"/>
    </row>
    <row r="2267" spans="1:4" ht="11.25" customHeight="1" x14ac:dyDescent="0.25">
      <c r="A2267" s="22" t="s">
        <v>2304</v>
      </c>
      <c r="B2267" s="20">
        <f ca="1">INDIRECT(ADDRESS(MATCH(A2267,Raw!$A:$A,0),2,1,1,"Raw"))</f>
        <v>0</v>
      </c>
      <c r="C2267" s="20">
        <f>INDEX(Raw!$C:$C,MATCH(A2267,Raw!$A:$A,0))</f>
        <v>0</v>
      </c>
      <c r="D2267" s="21"/>
    </row>
    <row r="2268" spans="1:4" ht="11.25" customHeight="1" x14ac:dyDescent="0.25">
      <c r="A2268" s="22" t="s">
        <v>2305</v>
      </c>
      <c r="B2268" s="20">
        <f ca="1">INDIRECT(ADDRESS(MATCH(A2268,Raw!$A:$A,0),2,1,1,"Raw"))</f>
        <v>0</v>
      </c>
      <c r="C2268" s="20">
        <f>INDEX(Raw!$C:$C,MATCH(A2268,Raw!$A:$A,0))</f>
        <v>0</v>
      </c>
      <c r="D2268" s="21"/>
    </row>
    <row r="2269" spans="1:4" ht="11.25" customHeight="1" x14ac:dyDescent="0.25">
      <c r="A2269" s="22" t="s">
        <v>2306</v>
      </c>
      <c r="B2269" s="20">
        <f ca="1">INDIRECT(ADDRESS(MATCH(A2269,Raw!$A:$A,0),2,1,1,"Raw"))</f>
        <v>0</v>
      </c>
      <c r="C2269" s="20">
        <f>INDEX(Raw!$C:$C,MATCH(A2269,Raw!$A:$A,0))</f>
        <v>0</v>
      </c>
      <c r="D2269" s="21"/>
    </row>
    <row r="2270" spans="1:4" ht="11.25" customHeight="1" x14ac:dyDescent="0.25">
      <c r="A2270" s="22" t="s">
        <v>2307</v>
      </c>
      <c r="B2270" s="20">
        <f ca="1">INDIRECT(ADDRESS(MATCH(A2270,Raw!$A:$A,0),2,1,1,"Raw"))</f>
        <v>0</v>
      </c>
      <c r="C2270" s="20">
        <f>INDEX(Raw!$C:$C,MATCH(A2270,Raw!$A:$A,0))</f>
        <v>0</v>
      </c>
      <c r="D2270" s="21"/>
    </row>
    <row r="2271" spans="1:4" ht="11.25" customHeight="1" x14ac:dyDescent="0.25">
      <c r="A2271" s="22" t="s">
        <v>2308</v>
      </c>
      <c r="B2271" s="20">
        <f ca="1">INDIRECT(ADDRESS(MATCH(A2271,Raw!$A:$A,0),2,1,1,"Raw"))</f>
        <v>0</v>
      </c>
      <c r="C2271" s="20">
        <f>INDEX(Raw!$C:$C,MATCH(A2271,Raw!$A:$A,0))</f>
        <v>0</v>
      </c>
      <c r="D2271" s="21"/>
    </row>
    <row r="2272" spans="1:4" ht="11.25" customHeight="1" x14ac:dyDescent="0.25">
      <c r="A2272" s="22" t="s">
        <v>2309</v>
      </c>
      <c r="B2272" s="20">
        <f ca="1">INDIRECT(ADDRESS(MATCH(A2272,Raw!$A:$A,0),2,1,1,"Raw"))</f>
        <v>0</v>
      </c>
      <c r="C2272" s="20">
        <f>INDEX(Raw!$C:$C,MATCH(A2272,Raw!$A:$A,0))</f>
        <v>0</v>
      </c>
      <c r="D2272" s="21"/>
    </row>
    <row r="2273" spans="1:4" ht="11.25" customHeight="1" x14ac:dyDescent="0.25">
      <c r="A2273" s="22" t="s">
        <v>2310</v>
      </c>
      <c r="B2273" s="20">
        <f ca="1">INDIRECT(ADDRESS(MATCH(A2273,Raw!$A:$A,0),2,1,1,"Raw"))</f>
        <v>0</v>
      </c>
      <c r="C2273" s="20">
        <f>INDEX(Raw!$C:$C,MATCH(A2273,Raw!$A:$A,0))</f>
        <v>0</v>
      </c>
      <c r="D2273" s="21"/>
    </row>
    <row r="2274" spans="1:4" ht="11.25" customHeight="1" x14ac:dyDescent="0.25">
      <c r="A2274" s="22" t="s">
        <v>2311</v>
      </c>
      <c r="B2274" s="20">
        <f ca="1">INDIRECT(ADDRESS(MATCH(A2274,Raw!$A:$A,0),2,1,1,"Raw"))</f>
        <v>0</v>
      </c>
      <c r="C2274" s="20">
        <f>INDEX(Raw!$C:$C,MATCH(A2274,Raw!$A:$A,0))</f>
        <v>0</v>
      </c>
      <c r="D2274" s="21"/>
    </row>
    <row r="2275" spans="1:4" ht="11.25" customHeight="1" x14ac:dyDescent="0.25">
      <c r="A2275" s="22" t="s">
        <v>2312</v>
      </c>
      <c r="B2275" s="20">
        <f ca="1">INDIRECT(ADDRESS(MATCH(A2275,Raw!$A:$A,0),2,1,1,"Raw"))</f>
        <v>0</v>
      </c>
      <c r="C2275" s="20">
        <f>INDEX(Raw!$C:$C,MATCH(A2275,Raw!$A:$A,0))</f>
        <v>0</v>
      </c>
      <c r="D2275" s="21"/>
    </row>
    <row r="2276" spans="1:4" ht="11.25" customHeight="1" x14ac:dyDescent="0.25">
      <c r="A2276" s="22" t="s">
        <v>2313</v>
      </c>
      <c r="B2276" s="20">
        <f ca="1">INDIRECT(ADDRESS(MATCH(A2276,Raw!$A:$A,0),2,1,1,"Raw"))</f>
        <v>0</v>
      </c>
      <c r="C2276" s="20">
        <f>INDEX(Raw!$C:$C,MATCH(A2276,Raw!$A:$A,0))</f>
        <v>0</v>
      </c>
      <c r="D2276" s="21"/>
    </row>
    <row r="2277" spans="1:4" ht="11.25" customHeight="1" x14ac:dyDescent="0.25">
      <c r="A2277" s="22" t="s">
        <v>2314</v>
      </c>
      <c r="B2277" s="20">
        <f ca="1">INDIRECT(ADDRESS(MATCH(A2277,Raw!$A:$A,0),2,1,1,"Raw"))</f>
        <v>0</v>
      </c>
      <c r="C2277" s="20">
        <f>INDEX(Raw!$C:$C,MATCH(A2277,Raw!$A:$A,0))</f>
        <v>0</v>
      </c>
      <c r="D2277" s="21"/>
    </row>
    <row r="2278" spans="1:4" ht="11.25" customHeight="1" x14ac:dyDescent="0.25">
      <c r="A2278" s="22" t="s">
        <v>2315</v>
      </c>
      <c r="B2278" s="20">
        <f ca="1">INDIRECT(ADDRESS(MATCH(A2278,Raw!$A:$A,0),2,1,1,"Raw"))</f>
        <v>0</v>
      </c>
      <c r="C2278" s="20">
        <f>INDEX(Raw!$C:$C,MATCH(A2278,Raw!$A:$A,0))</f>
        <v>0</v>
      </c>
      <c r="D2278" s="21"/>
    </row>
    <row r="2279" spans="1:4" ht="11.25" customHeight="1" x14ac:dyDescent="0.25">
      <c r="A2279" s="22" t="s">
        <v>2316</v>
      </c>
      <c r="B2279" s="20">
        <f ca="1">INDIRECT(ADDRESS(MATCH(A2279,Raw!$A:$A,0),2,1,1,"Raw"))</f>
        <v>0</v>
      </c>
      <c r="C2279" s="20">
        <f>INDEX(Raw!$C:$C,MATCH(A2279,Raw!$A:$A,0))</f>
        <v>0</v>
      </c>
      <c r="D2279" s="21"/>
    </row>
    <row r="2280" spans="1:4" ht="11.25" customHeight="1" x14ac:dyDescent="0.25">
      <c r="A2280" s="22" t="s">
        <v>2317</v>
      </c>
      <c r="B2280" s="20">
        <f ca="1">INDIRECT(ADDRESS(MATCH(A2280,Raw!$A:$A,0),2,1,1,"Raw"))</f>
        <v>0</v>
      </c>
      <c r="C2280" s="20">
        <f>INDEX(Raw!$C:$C,MATCH(A2280,Raw!$A:$A,0))</f>
        <v>0</v>
      </c>
      <c r="D2280" s="21"/>
    </row>
    <row r="2281" spans="1:4" ht="11.25" customHeight="1" x14ac:dyDescent="0.25">
      <c r="A2281" s="22" t="s">
        <v>2318</v>
      </c>
      <c r="B2281" s="20">
        <f ca="1">INDIRECT(ADDRESS(MATCH(A2281,Raw!$A:$A,0),2,1,1,"Raw"))</f>
        <v>0</v>
      </c>
      <c r="C2281" s="20">
        <f>INDEX(Raw!$C:$C,MATCH(A2281,Raw!$A:$A,0))</f>
        <v>0</v>
      </c>
      <c r="D2281" s="21"/>
    </row>
    <row r="2282" spans="1:4" ht="11.25" customHeight="1" x14ac:dyDescent="0.25">
      <c r="A2282" s="22" t="s">
        <v>2319</v>
      </c>
      <c r="B2282" s="20">
        <f ca="1">INDIRECT(ADDRESS(MATCH(A2282,Raw!$A:$A,0),2,1,1,"Raw"))</f>
        <v>0</v>
      </c>
      <c r="C2282" s="20">
        <f>INDEX(Raw!$C:$C,MATCH(A2282,Raw!$A:$A,0))</f>
        <v>0</v>
      </c>
      <c r="D2282" s="21"/>
    </row>
    <row r="2283" spans="1:4" ht="11.25" customHeight="1" x14ac:dyDescent="0.25">
      <c r="A2283" s="22" t="s">
        <v>2320</v>
      </c>
      <c r="B2283" s="20">
        <f ca="1">INDIRECT(ADDRESS(MATCH(A2283,Raw!$A:$A,0),2,1,1,"Raw"))</f>
        <v>0</v>
      </c>
      <c r="C2283" s="20">
        <f>INDEX(Raw!$C:$C,MATCH(A2283,Raw!$A:$A,0))</f>
        <v>0</v>
      </c>
      <c r="D2283" s="21"/>
    </row>
    <row r="2284" spans="1:4" ht="11.25" customHeight="1" x14ac:dyDescent="0.25">
      <c r="A2284" s="22" t="s">
        <v>2321</v>
      </c>
      <c r="B2284" s="20">
        <f ca="1">INDIRECT(ADDRESS(MATCH(A2284,Raw!$A:$A,0),2,1,1,"Raw"))</f>
        <v>0</v>
      </c>
      <c r="C2284" s="20">
        <f>INDEX(Raw!$C:$C,MATCH(A2284,Raw!$A:$A,0))</f>
        <v>0</v>
      </c>
      <c r="D2284" s="21"/>
    </row>
    <row r="2285" spans="1:4" ht="11.25" customHeight="1" x14ac:dyDescent="0.25">
      <c r="A2285" s="22" t="s">
        <v>2322</v>
      </c>
      <c r="B2285" s="20">
        <f ca="1">INDIRECT(ADDRESS(MATCH(A2285,Raw!$A:$A,0),2,1,1,"Raw"))</f>
        <v>0</v>
      </c>
      <c r="C2285" s="20">
        <f>INDEX(Raw!$C:$C,MATCH(A2285,Raw!$A:$A,0))</f>
        <v>0</v>
      </c>
      <c r="D2285" s="21"/>
    </row>
    <row r="2286" spans="1:4" ht="11.25" customHeight="1" x14ac:dyDescent="0.25">
      <c r="A2286" s="22" t="s">
        <v>2323</v>
      </c>
      <c r="B2286" s="20">
        <f ca="1">INDIRECT(ADDRESS(MATCH(A2286,Raw!$A:$A,0),2,1,1,"Raw"))</f>
        <v>0</v>
      </c>
      <c r="C2286" s="20">
        <f>INDEX(Raw!$C:$C,MATCH(A2286,Raw!$A:$A,0))</f>
        <v>0</v>
      </c>
      <c r="D2286" s="21"/>
    </row>
    <row r="2287" spans="1:4" ht="11.25" customHeight="1" x14ac:dyDescent="0.25">
      <c r="A2287" s="22" t="s">
        <v>2324</v>
      </c>
      <c r="B2287" s="20">
        <f ca="1">INDIRECT(ADDRESS(MATCH(A2287,Raw!$A:$A,0),2,1,1,"Raw"))</f>
        <v>0</v>
      </c>
      <c r="C2287" s="20">
        <f>INDEX(Raw!$C:$C,MATCH(A2287,Raw!$A:$A,0))</f>
        <v>0</v>
      </c>
      <c r="D2287" s="21"/>
    </row>
    <row r="2288" spans="1:4" ht="11.25" customHeight="1" x14ac:dyDescent="0.25">
      <c r="A2288" s="22" t="s">
        <v>2325</v>
      </c>
      <c r="B2288" s="20">
        <f ca="1">INDIRECT(ADDRESS(MATCH(A2288,Raw!$A:$A,0),2,1,1,"Raw"))</f>
        <v>0</v>
      </c>
      <c r="C2288" s="20">
        <f>INDEX(Raw!$C:$C,MATCH(A2288,Raw!$A:$A,0))</f>
        <v>0</v>
      </c>
      <c r="D2288" s="21"/>
    </row>
    <row r="2289" spans="1:4" ht="11.25" customHeight="1" x14ac:dyDescent="0.25">
      <c r="A2289" s="22" t="s">
        <v>2326</v>
      </c>
      <c r="B2289" s="20">
        <f ca="1">INDIRECT(ADDRESS(MATCH(A2289,Raw!$A:$A,0),2,1,1,"Raw"))</f>
        <v>0</v>
      </c>
      <c r="C2289" s="20">
        <f>INDEX(Raw!$C:$C,MATCH(A2289,Raw!$A:$A,0))</f>
        <v>0</v>
      </c>
      <c r="D2289" s="21"/>
    </row>
    <row r="2290" spans="1:4" ht="11.25" customHeight="1" x14ac:dyDescent="0.25">
      <c r="A2290" s="22" t="s">
        <v>2327</v>
      </c>
      <c r="B2290" s="20">
        <f ca="1">INDIRECT(ADDRESS(MATCH(A2290,Raw!$A:$A,0),2,1,1,"Raw"))</f>
        <v>0</v>
      </c>
      <c r="C2290" s="20">
        <f>INDEX(Raw!$C:$C,MATCH(A2290,Raw!$A:$A,0))</f>
        <v>0</v>
      </c>
      <c r="D2290" s="21"/>
    </row>
    <row r="2291" spans="1:4" ht="11.25" customHeight="1" x14ac:dyDescent="0.25">
      <c r="A2291" s="22" t="s">
        <v>2328</v>
      </c>
      <c r="B2291" s="20">
        <f ca="1">INDIRECT(ADDRESS(MATCH(A2291,Raw!$A:$A,0),2,1,1,"Raw"))</f>
        <v>0</v>
      </c>
      <c r="C2291" s="20">
        <f>INDEX(Raw!$C:$C,MATCH(A2291,Raw!$A:$A,0))</f>
        <v>0</v>
      </c>
      <c r="D2291" s="21"/>
    </row>
    <row r="2292" spans="1:4" ht="11.25" customHeight="1" x14ac:dyDescent="0.25">
      <c r="A2292" s="22" t="s">
        <v>2329</v>
      </c>
      <c r="B2292" s="20">
        <f ca="1">INDIRECT(ADDRESS(MATCH(A2292,Raw!$A:$A,0),2,1,1,"Raw"))</f>
        <v>0</v>
      </c>
      <c r="C2292" s="20">
        <f>INDEX(Raw!$C:$C,MATCH(A2292,Raw!$A:$A,0))</f>
        <v>0</v>
      </c>
      <c r="D2292" s="21"/>
    </row>
    <row r="2293" spans="1:4" ht="11.25" customHeight="1" x14ac:dyDescent="0.25">
      <c r="A2293" s="22" t="s">
        <v>2330</v>
      </c>
      <c r="B2293" s="20">
        <f ca="1">INDIRECT(ADDRESS(MATCH(A2293,Raw!$A:$A,0),2,1,1,"Raw"))</f>
        <v>0</v>
      </c>
      <c r="C2293" s="20">
        <f>INDEX(Raw!$C:$C,MATCH(A2293,Raw!$A:$A,0))</f>
        <v>0</v>
      </c>
      <c r="D2293" s="21"/>
    </row>
    <row r="2294" spans="1:4" ht="11.25" customHeight="1" x14ac:dyDescent="0.25">
      <c r="A2294" s="22" t="s">
        <v>2331</v>
      </c>
      <c r="B2294" s="20">
        <f ca="1">INDIRECT(ADDRESS(MATCH(A2294,Raw!$A:$A,0),2,1,1,"Raw"))</f>
        <v>0</v>
      </c>
      <c r="C2294" s="20">
        <f>INDEX(Raw!$C:$C,MATCH(A2294,Raw!$A:$A,0))</f>
        <v>0</v>
      </c>
      <c r="D2294" s="21"/>
    </row>
    <row r="2295" spans="1:4" ht="11.25" customHeight="1" x14ac:dyDescent="0.25">
      <c r="A2295" s="22" t="s">
        <v>2332</v>
      </c>
      <c r="B2295" s="20">
        <f ca="1">INDIRECT(ADDRESS(MATCH(A2295,Raw!$A:$A,0),2,1,1,"Raw"))</f>
        <v>0</v>
      </c>
      <c r="C2295" s="20">
        <f>INDEX(Raw!$C:$C,MATCH(A2295,Raw!$A:$A,0))</f>
        <v>0</v>
      </c>
      <c r="D2295" s="21"/>
    </row>
    <row r="2296" spans="1:4" ht="11.25" customHeight="1" x14ac:dyDescent="0.25">
      <c r="A2296" s="22" t="s">
        <v>2333</v>
      </c>
      <c r="B2296" s="20">
        <f ca="1">INDIRECT(ADDRESS(MATCH(A2296,Raw!$A:$A,0),2,1,1,"Raw"))</f>
        <v>0</v>
      </c>
      <c r="C2296" s="20">
        <f>INDEX(Raw!$C:$C,MATCH(A2296,Raw!$A:$A,0))</f>
        <v>0</v>
      </c>
      <c r="D2296" s="21"/>
    </row>
    <row r="2297" spans="1:4" ht="11.25" customHeight="1" x14ac:dyDescent="0.25">
      <c r="A2297" s="22" t="s">
        <v>2334</v>
      </c>
      <c r="B2297" s="20">
        <f ca="1">INDIRECT(ADDRESS(MATCH(A2297,Raw!$A:$A,0),2,1,1,"Raw"))</f>
        <v>0</v>
      </c>
      <c r="C2297" s="20">
        <f>INDEX(Raw!$C:$C,MATCH(A2297,Raw!$A:$A,0))</f>
        <v>0</v>
      </c>
      <c r="D2297" s="21"/>
    </row>
    <row r="2298" spans="1:4" ht="11.25" customHeight="1" x14ac:dyDescent="0.25">
      <c r="A2298" s="22" t="s">
        <v>2335</v>
      </c>
      <c r="B2298" s="20">
        <f ca="1">INDIRECT(ADDRESS(MATCH(A2298,Raw!$A:$A,0),2,1,1,"Raw"))</f>
        <v>0</v>
      </c>
      <c r="C2298" s="20">
        <f>INDEX(Raw!$C:$C,MATCH(A2298,Raw!$A:$A,0))</f>
        <v>0</v>
      </c>
      <c r="D2298" s="21"/>
    </row>
    <row r="2299" spans="1:4" ht="11.25" customHeight="1" x14ac:dyDescent="0.25">
      <c r="A2299" s="22" t="s">
        <v>2336</v>
      </c>
      <c r="B2299" s="20">
        <f ca="1">INDIRECT(ADDRESS(MATCH(A2299,Raw!$A:$A,0),2,1,1,"Raw"))</f>
        <v>0</v>
      </c>
      <c r="C2299" s="20">
        <f>INDEX(Raw!$C:$C,MATCH(A2299,Raw!$A:$A,0))</f>
        <v>0</v>
      </c>
      <c r="D2299" s="21"/>
    </row>
    <row r="2300" spans="1:4" ht="11.25" customHeight="1" x14ac:dyDescent="0.25">
      <c r="A2300" s="22" t="s">
        <v>2337</v>
      </c>
      <c r="B2300" s="20">
        <f ca="1">INDIRECT(ADDRESS(MATCH(A2300,Raw!$A:$A,0),2,1,1,"Raw"))</f>
        <v>0</v>
      </c>
      <c r="C2300" s="20">
        <f>INDEX(Raw!$C:$C,MATCH(A2300,Raw!$A:$A,0))</f>
        <v>0</v>
      </c>
      <c r="D2300" s="21"/>
    </row>
    <row r="2301" spans="1:4" ht="11.25" customHeight="1" x14ac:dyDescent="0.25">
      <c r="A2301" s="22" t="s">
        <v>2338</v>
      </c>
      <c r="B2301" s="20">
        <f ca="1">INDIRECT(ADDRESS(MATCH(A2301,Raw!$A:$A,0),2,1,1,"Raw"))</f>
        <v>0</v>
      </c>
      <c r="C2301" s="20">
        <f>INDEX(Raw!$C:$C,MATCH(A2301,Raw!$A:$A,0))</f>
        <v>0</v>
      </c>
      <c r="D2301" s="21"/>
    </row>
    <row r="2302" spans="1:4" ht="11.25" customHeight="1" x14ac:dyDescent="0.25">
      <c r="A2302" s="22" t="s">
        <v>2339</v>
      </c>
      <c r="B2302" s="20">
        <f ca="1">INDIRECT(ADDRESS(MATCH(A2302,Raw!$A:$A,0),2,1,1,"Raw"))</f>
        <v>0</v>
      </c>
      <c r="C2302" s="20">
        <f>INDEX(Raw!$C:$C,MATCH(A2302,Raw!$A:$A,0))</f>
        <v>0</v>
      </c>
      <c r="D2302" s="21"/>
    </row>
    <row r="2303" spans="1:4" ht="11.25" customHeight="1" x14ac:dyDescent="0.25">
      <c r="A2303" s="22" t="s">
        <v>2340</v>
      </c>
      <c r="B2303" s="20">
        <f ca="1">INDIRECT(ADDRESS(MATCH(A2303,Raw!$A:$A,0),2,1,1,"Raw"))</f>
        <v>0</v>
      </c>
      <c r="C2303" s="20">
        <f>INDEX(Raw!$C:$C,MATCH(A2303,Raw!$A:$A,0))</f>
        <v>0</v>
      </c>
      <c r="D2303" s="21"/>
    </row>
    <row r="2304" spans="1:4" ht="11.25" customHeight="1" x14ac:dyDescent="0.25">
      <c r="A2304" s="22" t="s">
        <v>2341</v>
      </c>
      <c r="B2304" s="20">
        <f ca="1">INDIRECT(ADDRESS(MATCH(A2304,Raw!$A:$A,0),2,1,1,"Raw"))</f>
        <v>0</v>
      </c>
      <c r="C2304" s="20">
        <f>INDEX(Raw!$C:$C,MATCH(A2304,Raw!$A:$A,0))</f>
        <v>0</v>
      </c>
      <c r="D2304" s="21"/>
    </row>
    <row r="2305" spans="1:4" ht="11.25" customHeight="1" x14ac:dyDescent="0.25">
      <c r="A2305" s="22" t="s">
        <v>2342</v>
      </c>
      <c r="B2305" s="20">
        <f ca="1">INDIRECT(ADDRESS(MATCH(A2305,Raw!$A:$A,0),2,1,1,"Raw"))</f>
        <v>0</v>
      </c>
      <c r="C2305" s="20">
        <f>INDEX(Raw!$C:$C,MATCH(A2305,Raw!$A:$A,0))</f>
        <v>0</v>
      </c>
      <c r="D2305" s="21"/>
    </row>
    <row r="2306" spans="1:4" ht="11.25" customHeight="1" x14ac:dyDescent="0.25">
      <c r="A2306" s="22" t="s">
        <v>2343</v>
      </c>
      <c r="B2306" s="20">
        <f ca="1">INDIRECT(ADDRESS(MATCH(A2306,Raw!$A:$A,0),2,1,1,"Raw"))</f>
        <v>0</v>
      </c>
      <c r="C2306" s="20">
        <f>INDEX(Raw!$C:$C,MATCH(A2306,Raw!$A:$A,0))</f>
        <v>0</v>
      </c>
      <c r="D2306" s="21"/>
    </row>
    <row r="2307" spans="1:4" ht="11.25" customHeight="1" x14ac:dyDescent="0.25">
      <c r="A2307" s="22" t="s">
        <v>2344</v>
      </c>
      <c r="B2307" s="20">
        <f ca="1">INDIRECT(ADDRESS(MATCH(A2307,Raw!$A:$A,0),2,1,1,"Raw"))</f>
        <v>0</v>
      </c>
      <c r="C2307" s="20">
        <f>INDEX(Raw!$C:$C,MATCH(A2307,Raw!$A:$A,0))</f>
        <v>0</v>
      </c>
      <c r="D2307" s="21"/>
    </row>
    <row r="2308" spans="1:4" ht="11.25" customHeight="1" x14ac:dyDescent="0.25">
      <c r="A2308" s="22" t="s">
        <v>2345</v>
      </c>
      <c r="B2308" s="20">
        <f ca="1">INDIRECT(ADDRESS(MATCH(A2308,Raw!$A:$A,0),2,1,1,"Raw"))</f>
        <v>0</v>
      </c>
      <c r="C2308" s="20">
        <f>INDEX(Raw!$C:$C,MATCH(A2308,Raw!$A:$A,0))</f>
        <v>0</v>
      </c>
      <c r="D2308" s="21"/>
    </row>
    <row r="2309" spans="1:4" ht="11.25" customHeight="1" x14ac:dyDescent="0.25">
      <c r="A2309" s="22" t="s">
        <v>2346</v>
      </c>
      <c r="B2309" s="20">
        <f ca="1">INDIRECT(ADDRESS(MATCH(A2309,Raw!$A:$A,0),2,1,1,"Raw"))</f>
        <v>0</v>
      </c>
      <c r="C2309" s="20">
        <f>INDEX(Raw!$C:$C,MATCH(A2309,Raw!$A:$A,0))</f>
        <v>0</v>
      </c>
      <c r="D2309" s="21"/>
    </row>
    <row r="2310" spans="1:4" ht="11.25" customHeight="1" x14ac:dyDescent="0.25">
      <c r="A2310" s="22" t="s">
        <v>2347</v>
      </c>
      <c r="B2310" s="20">
        <f ca="1">INDIRECT(ADDRESS(MATCH(A2310,Raw!$A:$A,0),2,1,1,"Raw"))</f>
        <v>0</v>
      </c>
      <c r="C2310" s="20">
        <f>INDEX(Raw!$C:$C,MATCH(A2310,Raw!$A:$A,0))</f>
        <v>0</v>
      </c>
      <c r="D2310" s="21"/>
    </row>
    <row r="2311" spans="1:4" ht="11.25" customHeight="1" x14ac:dyDescent="0.25">
      <c r="A2311" s="22" t="s">
        <v>2348</v>
      </c>
      <c r="B2311" s="20">
        <f ca="1">INDIRECT(ADDRESS(MATCH(A2311,Raw!$A:$A,0),2,1,1,"Raw"))</f>
        <v>0</v>
      </c>
      <c r="C2311" s="20">
        <f>INDEX(Raw!$C:$C,MATCH(A2311,Raw!$A:$A,0))</f>
        <v>0</v>
      </c>
      <c r="D2311" s="21"/>
    </row>
    <row r="2312" spans="1:4" ht="11.25" customHeight="1" x14ac:dyDescent="0.25">
      <c r="A2312" s="22" t="s">
        <v>2349</v>
      </c>
      <c r="B2312" s="20">
        <f ca="1">INDIRECT(ADDRESS(MATCH(A2312,Raw!$A:$A,0),2,1,1,"Raw"))</f>
        <v>0</v>
      </c>
      <c r="C2312" s="20">
        <f>INDEX(Raw!$C:$C,MATCH(A2312,Raw!$A:$A,0))</f>
        <v>0</v>
      </c>
      <c r="D2312" s="21"/>
    </row>
    <row r="2313" spans="1:4" ht="11.25" customHeight="1" x14ac:dyDescent="0.25">
      <c r="A2313" s="22" t="s">
        <v>2350</v>
      </c>
      <c r="B2313" s="20">
        <f ca="1">INDIRECT(ADDRESS(MATCH(A2313,Raw!$A:$A,0),2,1,1,"Raw"))</f>
        <v>0</v>
      </c>
      <c r="C2313" s="20">
        <f>INDEX(Raw!$C:$C,MATCH(A2313,Raw!$A:$A,0))</f>
        <v>0</v>
      </c>
      <c r="D2313" s="21"/>
    </row>
    <row r="2314" spans="1:4" ht="11.25" customHeight="1" x14ac:dyDescent="0.25">
      <c r="A2314" s="22" t="s">
        <v>2351</v>
      </c>
      <c r="B2314" s="20">
        <f ca="1">INDIRECT(ADDRESS(MATCH(A2314,Raw!$A:$A,0),2,1,1,"Raw"))</f>
        <v>0</v>
      </c>
      <c r="C2314" s="20">
        <f>INDEX(Raw!$C:$C,MATCH(A2314,Raw!$A:$A,0))</f>
        <v>0</v>
      </c>
      <c r="D2314" s="21"/>
    </row>
    <row r="2315" spans="1:4" ht="11.25" customHeight="1" x14ac:dyDescent="0.25">
      <c r="A2315" s="22" t="s">
        <v>2352</v>
      </c>
      <c r="B2315" s="20">
        <f ca="1">INDIRECT(ADDRESS(MATCH(A2315,Raw!$A:$A,0),2,1,1,"Raw"))</f>
        <v>0</v>
      </c>
      <c r="C2315" s="20">
        <f>INDEX(Raw!$C:$C,MATCH(A2315,Raw!$A:$A,0))</f>
        <v>0</v>
      </c>
      <c r="D2315" s="21"/>
    </row>
    <row r="2316" spans="1:4" ht="11.25" customHeight="1" x14ac:dyDescent="0.25">
      <c r="A2316" s="22" t="s">
        <v>2353</v>
      </c>
      <c r="B2316" s="20">
        <f ca="1">INDIRECT(ADDRESS(MATCH(A2316,Raw!$A:$A,0),2,1,1,"Raw"))</f>
        <v>0</v>
      </c>
      <c r="C2316" s="20">
        <f>INDEX(Raw!$C:$C,MATCH(A2316,Raw!$A:$A,0))</f>
        <v>0</v>
      </c>
      <c r="D2316" s="21"/>
    </row>
    <row r="2317" spans="1:4" ht="11.25" customHeight="1" x14ac:dyDescent="0.25">
      <c r="A2317" s="22" t="s">
        <v>2354</v>
      </c>
      <c r="B2317" s="20">
        <f ca="1">INDIRECT(ADDRESS(MATCH(A2317,Raw!$A:$A,0),2,1,1,"Raw"))</f>
        <v>0</v>
      </c>
      <c r="C2317" s="20">
        <f>INDEX(Raw!$C:$C,MATCH(A2317,Raw!$A:$A,0))</f>
        <v>0</v>
      </c>
      <c r="D2317" s="21"/>
    </row>
    <row r="2318" spans="1:4" ht="11.25" customHeight="1" x14ac:dyDescent="0.25">
      <c r="A2318" s="22" t="s">
        <v>2355</v>
      </c>
      <c r="B2318" s="20">
        <f ca="1">INDIRECT(ADDRESS(MATCH(A2318,Raw!$A:$A,0),2,1,1,"Raw"))</f>
        <v>0</v>
      </c>
      <c r="C2318" s="20">
        <f>INDEX(Raw!$C:$C,MATCH(A2318,Raw!$A:$A,0))</f>
        <v>0</v>
      </c>
      <c r="D2318" s="21"/>
    </row>
    <row r="2319" spans="1:4" ht="11.25" customHeight="1" x14ac:dyDescent="0.25">
      <c r="A2319" s="22" t="s">
        <v>2356</v>
      </c>
      <c r="B2319" s="20">
        <f ca="1">INDIRECT(ADDRESS(MATCH(A2319,Raw!$A:$A,0),2,1,1,"Raw"))</f>
        <v>0</v>
      </c>
      <c r="C2319" s="20">
        <f>INDEX(Raw!$C:$C,MATCH(A2319,Raw!$A:$A,0))</f>
        <v>0</v>
      </c>
      <c r="D2319" s="21"/>
    </row>
    <row r="2320" spans="1:4" ht="11.25" customHeight="1" x14ac:dyDescent="0.25">
      <c r="A2320" s="22" t="s">
        <v>2357</v>
      </c>
      <c r="B2320" s="20">
        <f ca="1">INDIRECT(ADDRESS(MATCH(A2320,Raw!$A:$A,0),2,1,1,"Raw"))</f>
        <v>0</v>
      </c>
      <c r="C2320" s="20">
        <f>INDEX(Raw!$C:$C,MATCH(A2320,Raw!$A:$A,0))</f>
        <v>0</v>
      </c>
      <c r="D2320" s="21"/>
    </row>
    <row r="2321" spans="1:4" ht="11.25" customHeight="1" x14ac:dyDescent="0.25">
      <c r="A2321" s="22" t="s">
        <v>2358</v>
      </c>
      <c r="B2321" s="20">
        <f ca="1">INDIRECT(ADDRESS(MATCH(A2321,Raw!$A:$A,0),2,1,1,"Raw"))</f>
        <v>0</v>
      </c>
      <c r="C2321" s="20">
        <f>INDEX(Raw!$C:$C,MATCH(A2321,Raw!$A:$A,0))</f>
        <v>0</v>
      </c>
      <c r="D2321" s="21"/>
    </row>
    <row r="2322" spans="1:4" ht="11.25" customHeight="1" x14ac:dyDescent="0.25">
      <c r="A2322" s="22" t="s">
        <v>2359</v>
      </c>
      <c r="B2322" s="20">
        <f ca="1">INDIRECT(ADDRESS(MATCH(A2322,Raw!$A:$A,0),2,1,1,"Raw"))</f>
        <v>0</v>
      </c>
      <c r="C2322" s="20">
        <f>INDEX(Raw!$C:$C,MATCH(A2322,Raw!$A:$A,0))</f>
        <v>0</v>
      </c>
      <c r="D2322" s="21"/>
    </row>
    <row r="2323" spans="1:4" ht="11.25" customHeight="1" x14ac:dyDescent="0.25">
      <c r="A2323" s="22" t="s">
        <v>2360</v>
      </c>
      <c r="B2323" s="20">
        <f ca="1">INDIRECT(ADDRESS(MATCH(A2323,Raw!$A:$A,0),2,1,1,"Raw"))</f>
        <v>0</v>
      </c>
      <c r="C2323" s="20">
        <f>INDEX(Raw!$C:$C,MATCH(A2323,Raw!$A:$A,0))</f>
        <v>0</v>
      </c>
      <c r="D2323" s="21"/>
    </row>
    <row r="2324" spans="1:4" ht="11.25" customHeight="1" x14ac:dyDescent="0.25">
      <c r="A2324" s="22" t="s">
        <v>2361</v>
      </c>
      <c r="B2324" s="20">
        <f ca="1">INDIRECT(ADDRESS(MATCH(A2324,Raw!$A:$A,0),2,1,1,"Raw"))</f>
        <v>0</v>
      </c>
      <c r="C2324" s="20">
        <f>INDEX(Raw!$C:$C,MATCH(A2324,Raw!$A:$A,0))</f>
        <v>0</v>
      </c>
      <c r="D2324" s="21"/>
    </row>
    <row r="2325" spans="1:4" ht="11.25" customHeight="1" x14ac:dyDescent="0.25">
      <c r="A2325" s="22" t="s">
        <v>2362</v>
      </c>
      <c r="B2325" s="20">
        <f ca="1">INDIRECT(ADDRESS(MATCH(A2325,Raw!$A:$A,0),2,1,1,"Raw"))</f>
        <v>0</v>
      </c>
      <c r="C2325" s="20">
        <f>INDEX(Raw!$C:$C,MATCH(A2325,Raw!$A:$A,0))</f>
        <v>0</v>
      </c>
      <c r="D2325" s="21"/>
    </row>
    <row r="2326" spans="1:4" ht="11.25" customHeight="1" x14ac:dyDescent="0.25">
      <c r="A2326" s="22" t="s">
        <v>2363</v>
      </c>
      <c r="B2326" s="20">
        <f ca="1">INDIRECT(ADDRESS(MATCH(A2326,Raw!$A:$A,0),2,1,1,"Raw"))</f>
        <v>0</v>
      </c>
      <c r="C2326" s="20">
        <f>INDEX(Raw!$C:$C,MATCH(A2326,Raw!$A:$A,0))</f>
        <v>0</v>
      </c>
      <c r="D2326" s="21"/>
    </row>
    <row r="2327" spans="1:4" ht="11.25" customHeight="1" x14ac:dyDescent="0.25">
      <c r="A2327" s="22" t="s">
        <v>2364</v>
      </c>
      <c r="B2327" s="20">
        <f ca="1">INDIRECT(ADDRESS(MATCH(A2327,Raw!$A:$A,0),2,1,1,"Raw"))</f>
        <v>0</v>
      </c>
      <c r="C2327" s="20">
        <f>INDEX(Raw!$C:$C,MATCH(A2327,Raw!$A:$A,0))</f>
        <v>0</v>
      </c>
      <c r="D2327" s="21"/>
    </row>
    <row r="2328" spans="1:4" ht="11.25" customHeight="1" x14ac:dyDescent="0.25">
      <c r="A2328" s="22" t="s">
        <v>2365</v>
      </c>
      <c r="B2328" s="20">
        <f ca="1">INDIRECT(ADDRESS(MATCH(A2328,Raw!$A:$A,0),2,1,1,"Raw"))</f>
        <v>0</v>
      </c>
      <c r="C2328" s="20">
        <f>INDEX(Raw!$C:$C,MATCH(A2328,Raw!$A:$A,0))</f>
        <v>0</v>
      </c>
      <c r="D2328" s="21"/>
    </row>
    <row r="2329" spans="1:4" ht="11.25" customHeight="1" x14ac:dyDescent="0.25">
      <c r="A2329" s="22" t="s">
        <v>2366</v>
      </c>
      <c r="B2329" s="20">
        <f ca="1">INDIRECT(ADDRESS(MATCH(A2329,Raw!$A:$A,0),2,1,1,"Raw"))</f>
        <v>0</v>
      </c>
      <c r="C2329" s="20">
        <f>INDEX(Raw!$C:$C,MATCH(A2329,Raw!$A:$A,0))</f>
        <v>0</v>
      </c>
      <c r="D2329" s="21"/>
    </row>
    <row r="2330" spans="1:4" ht="11.25" customHeight="1" x14ac:dyDescent="0.25">
      <c r="A2330" s="22" t="s">
        <v>2367</v>
      </c>
      <c r="B2330" s="20">
        <f ca="1">INDIRECT(ADDRESS(MATCH(A2330,Raw!$A:$A,0),2,1,1,"Raw"))</f>
        <v>0</v>
      </c>
      <c r="C2330" s="20">
        <f>INDEX(Raw!$C:$C,MATCH(A2330,Raw!$A:$A,0))</f>
        <v>0</v>
      </c>
      <c r="D2330" s="21"/>
    </row>
    <row r="2331" spans="1:4" ht="11.25" customHeight="1" x14ac:dyDescent="0.25">
      <c r="A2331" s="22" t="s">
        <v>2368</v>
      </c>
      <c r="B2331" s="20">
        <f ca="1">INDIRECT(ADDRESS(MATCH(A2331,Raw!$A:$A,0),2,1,1,"Raw"))</f>
        <v>0</v>
      </c>
      <c r="C2331" s="20">
        <f>INDEX(Raw!$C:$C,MATCH(A2331,Raw!$A:$A,0))</f>
        <v>0</v>
      </c>
      <c r="D2331" s="21"/>
    </row>
    <row r="2332" spans="1:4" ht="11.25" customHeight="1" x14ac:dyDescent="0.25">
      <c r="A2332" s="22" t="s">
        <v>2369</v>
      </c>
      <c r="B2332" s="20">
        <f ca="1">INDIRECT(ADDRESS(MATCH(A2332,Raw!$A:$A,0),2,1,1,"Raw"))</f>
        <v>0</v>
      </c>
      <c r="C2332" s="20">
        <f>INDEX(Raw!$C:$C,MATCH(A2332,Raw!$A:$A,0))</f>
        <v>0</v>
      </c>
      <c r="D2332" s="21"/>
    </row>
    <row r="2333" spans="1:4" ht="11.25" customHeight="1" x14ac:dyDescent="0.25">
      <c r="A2333" s="22" t="s">
        <v>2370</v>
      </c>
      <c r="B2333" s="20">
        <f ca="1">INDIRECT(ADDRESS(MATCH(A2333,Raw!$A:$A,0),2,1,1,"Raw"))</f>
        <v>0</v>
      </c>
      <c r="C2333" s="20">
        <f>INDEX(Raw!$C:$C,MATCH(A2333,Raw!$A:$A,0))</f>
        <v>0</v>
      </c>
      <c r="D2333" s="21"/>
    </row>
    <row r="2334" spans="1:4" ht="11.25" customHeight="1" x14ac:dyDescent="0.25">
      <c r="A2334" s="22" t="s">
        <v>2371</v>
      </c>
      <c r="B2334" s="20">
        <f ca="1">INDIRECT(ADDRESS(MATCH(A2334,Raw!$A:$A,0),2,1,1,"Raw"))</f>
        <v>0</v>
      </c>
      <c r="C2334" s="20">
        <f>INDEX(Raw!$C:$C,MATCH(A2334,Raw!$A:$A,0))</f>
        <v>0</v>
      </c>
      <c r="D2334" s="21"/>
    </row>
    <row r="2335" spans="1:4" ht="11.25" customHeight="1" x14ac:dyDescent="0.25">
      <c r="A2335" s="22" t="s">
        <v>2372</v>
      </c>
      <c r="B2335" s="20">
        <f ca="1">INDIRECT(ADDRESS(MATCH(A2335,Raw!$A:$A,0),2,1,1,"Raw"))</f>
        <v>0</v>
      </c>
      <c r="C2335" s="20">
        <f>INDEX(Raw!$C:$C,MATCH(A2335,Raw!$A:$A,0))</f>
        <v>0</v>
      </c>
      <c r="D2335" s="21"/>
    </row>
    <row r="2336" spans="1:4" ht="11.25" customHeight="1" x14ac:dyDescent="0.25">
      <c r="A2336" s="22" t="s">
        <v>2373</v>
      </c>
      <c r="B2336" s="20">
        <f ca="1">INDIRECT(ADDRESS(MATCH(A2336,Raw!$A:$A,0),2,1,1,"Raw"))</f>
        <v>0</v>
      </c>
      <c r="C2336" s="20">
        <f>INDEX(Raw!$C:$C,MATCH(A2336,Raw!$A:$A,0))</f>
        <v>0</v>
      </c>
      <c r="D2336" s="21"/>
    </row>
    <row r="2337" spans="1:4" ht="11.25" customHeight="1" x14ac:dyDescent="0.25">
      <c r="A2337" s="22" t="s">
        <v>2374</v>
      </c>
      <c r="B2337" s="20">
        <f ca="1">INDIRECT(ADDRESS(MATCH(A2337,Raw!$A:$A,0),2,1,1,"Raw"))</f>
        <v>0</v>
      </c>
      <c r="C2337" s="20">
        <f>INDEX(Raw!$C:$C,MATCH(A2337,Raw!$A:$A,0))</f>
        <v>0</v>
      </c>
      <c r="D2337" s="21"/>
    </row>
    <row r="2338" spans="1:4" ht="11.25" customHeight="1" x14ac:dyDescent="0.25">
      <c r="A2338" s="22" t="s">
        <v>2375</v>
      </c>
      <c r="B2338" s="20">
        <f ca="1">INDIRECT(ADDRESS(MATCH(A2338,Raw!$A:$A,0),2,1,1,"Raw"))</f>
        <v>0</v>
      </c>
      <c r="C2338" s="20">
        <f>INDEX(Raw!$C:$C,MATCH(A2338,Raw!$A:$A,0))</f>
        <v>0</v>
      </c>
      <c r="D2338" s="21"/>
    </row>
    <row r="2339" spans="1:4" ht="11.25" customHeight="1" x14ac:dyDescent="0.25">
      <c r="A2339" s="22" t="s">
        <v>2376</v>
      </c>
      <c r="B2339" s="20">
        <f ca="1">INDIRECT(ADDRESS(MATCH(A2339,Raw!$A:$A,0),2,1,1,"Raw"))</f>
        <v>0</v>
      </c>
      <c r="C2339" s="20">
        <f>INDEX(Raw!$C:$C,MATCH(A2339,Raw!$A:$A,0))</f>
        <v>0</v>
      </c>
      <c r="D2339" s="21"/>
    </row>
    <row r="2340" spans="1:4" ht="11.25" customHeight="1" x14ac:dyDescent="0.25">
      <c r="A2340" s="22" t="s">
        <v>2377</v>
      </c>
      <c r="B2340" s="20">
        <f ca="1">INDIRECT(ADDRESS(MATCH(A2340,Raw!$A:$A,0),2,1,1,"Raw"))</f>
        <v>0</v>
      </c>
      <c r="C2340" s="20">
        <f>INDEX(Raw!$C:$C,MATCH(A2340,Raw!$A:$A,0))</f>
        <v>0</v>
      </c>
      <c r="D2340" s="21"/>
    </row>
    <row r="2341" spans="1:4" ht="11.25" customHeight="1" x14ac:dyDescent="0.25">
      <c r="A2341" s="22" t="s">
        <v>2378</v>
      </c>
      <c r="B2341" s="20">
        <f ca="1">INDIRECT(ADDRESS(MATCH(A2341,Raw!$A:$A,0),2,1,1,"Raw"))</f>
        <v>0</v>
      </c>
      <c r="C2341" s="20">
        <f>INDEX(Raw!$C:$C,MATCH(A2341,Raw!$A:$A,0))</f>
        <v>0</v>
      </c>
      <c r="D2341" s="21"/>
    </row>
    <row r="2342" spans="1:4" ht="11.25" customHeight="1" x14ac:dyDescent="0.25">
      <c r="A2342" s="22" t="s">
        <v>2379</v>
      </c>
      <c r="B2342" s="20">
        <f ca="1">INDIRECT(ADDRESS(MATCH(A2342,Raw!$A:$A,0),2,1,1,"Raw"))</f>
        <v>0</v>
      </c>
      <c r="C2342" s="20">
        <f>INDEX(Raw!$C:$C,MATCH(A2342,Raw!$A:$A,0))</f>
        <v>0</v>
      </c>
      <c r="D2342" s="21"/>
    </row>
    <row r="2343" spans="1:4" ht="11.25" customHeight="1" x14ac:dyDescent="0.25">
      <c r="A2343" s="22" t="s">
        <v>2380</v>
      </c>
      <c r="B2343" s="20">
        <f ca="1">INDIRECT(ADDRESS(MATCH(A2343,Raw!$A:$A,0),2,1,1,"Raw"))</f>
        <v>0</v>
      </c>
      <c r="C2343" s="20">
        <f>INDEX(Raw!$C:$C,MATCH(A2343,Raw!$A:$A,0))</f>
        <v>0</v>
      </c>
      <c r="D2343" s="21"/>
    </row>
    <row r="2344" spans="1:4" ht="11.25" customHeight="1" x14ac:dyDescent="0.25">
      <c r="A2344" s="22" t="s">
        <v>2381</v>
      </c>
      <c r="B2344" s="20">
        <f ca="1">INDIRECT(ADDRESS(MATCH(A2344,Raw!$A:$A,0),2,1,1,"Raw"))</f>
        <v>0</v>
      </c>
      <c r="C2344" s="20">
        <f>INDEX(Raw!$C:$C,MATCH(A2344,Raw!$A:$A,0))</f>
        <v>0</v>
      </c>
      <c r="D2344" s="21"/>
    </row>
    <row r="2345" spans="1:4" ht="11.25" customHeight="1" x14ac:dyDescent="0.25">
      <c r="A2345" s="22" t="s">
        <v>2382</v>
      </c>
      <c r="B2345" s="20">
        <f ca="1">INDIRECT(ADDRESS(MATCH(A2345,Raw!$A:$A,0),2,1,1,"Raw"))</f>
        <v>0</v>
      </c>
      <c r="C2345" s="20">
        <f>INDEX(Raw!$C:$C,MATCH(A2345,Raw!$A:$A,0))</f>
        <v>0</v>
      </c>
      <c r="D2345" s="21"/>
    </row>
    <row r="2346" spans="1:4" ht="11.25" customHeight="1" x14ac:dyDescent="0.25">
      <c r="A2346" s="22" t="s">
        <v>2383</v>
      </c>
      <c r="B2346" s="20">
        <f ca="1">INDIRECT(ADDRESS(MATCH(A2346,Raw!$A:$A,0),2,1,1,"Raw"))</f>
        <v>0</v>
      </c>
      <c r="C2346" s="20">
        <f>INDEX(Raw!$C:$C,MATCH(A2346,Raw!$A:$A,0))</f>
        <v>0</v>
      </c>
      <c r="D2346" s="21"/>
    </row>
    <row r="2347" spans="1:4" ht="11.25" customHeight="1" x14ac:dyDescent="0.25">
      <c r="A2347" s="22" t="s">
        <v>2384</v>
      </c>
      <c r="B2347" s="20">
        <f ca="1">INDIRECT(ADDRESS(MATCH(A2347,Raw!$A:$A,0),2,1,1,"Raw"))</f>
        <v>0</v>
      </c>
      <c r="C2347" s="20">
        <f>INDEX(Raw!$C:$C,MATCH(A2347,Raw!$A:$A,0))</f>
        <v>0</v>
      </c>
      <c r="D2347" s="21"/>
    </row>
    <row r="2348" spans="1:4" ht="11.25" customHeight="1" x14ac:dyDescent="0.25">
      <c r="A2348" s="22" t="s">
        <v>2385</v>
      </c>
      <c r="B2348" s="20">
        <f ca="1">INDIRECT(ADDRESS(MATCH(A2348,Raw!$A:$A,0),2,1,1,"Raw"))</f>
        <v>0</v>
      </c>
      <c r="C2348" s="20">
        <f>INDEX(Raw!$C:$C,MATCH(A2348,Raw!$A:$A,0))</f>
        <v>0</v>
      </c>
      <c r="D2348" s="21"/>
    </row>
    <row r="2349" spans="1:4" ht="11.25" customHeight="1" x14ac:dyDescent="0.25">
      <c r="A2349" s="22" t="s">
        <v>2386</v>
      </c>
      <c r="B2349" s="20">
        <f ca="1">INDIRECT(ADDRESS(MATCH(A2349,Raw!$A:$A,0),2,1,1,"Raw"))</f>
        <v>0</v>
      </c>
      <c r="C2349" s="20">
        <f>INDEX(Raw!$C:$C,MATCH(A2349,Raw!$A:$A,0))</f>
        <v>0</v>
      </c>
      <c r="D2349" s="21"/>
    </row>
    <row r="2350" spans="1:4" ht="11.25" customHeight="1" x14ac:dyDescent="0.25">
      <c r="A2350" s="22" t="s">
        <v>2387</v>
      </c>
      <c r="B2350" s="20">
        <f ca="1">INDIRECT(ADDRESS(MATCH(A2350,Raw!$A:$A,0),2,1,1,"Raw"))</f>
        <v>0</v>
      </c>
      <c r="C2350" s="20">
        <f>INDEX(Raw!$C:$C,MATCH(A2350,Raw!$A:$A,0))</f>
        <v>0</v>
      </c>
      <c r="D2350" s="21"/>
    </row>
    <row r="2351" spans="1:4" ht="11.25" customHeight="1" x14ac:dyDescent="0.25">
      <c r="A2351" s="22" t="s">
        <v>2388</v>
      </c>
      <c r="B2351" s="20">
        <f ca="1">INDIRECT(ADDRESS(MATCH(A2351,Raw!$A:$A,0),2,1,1,"Raw"))</f>
        <v>0</v>
      </c>
      <c r="C2351" s="20">
        <f>INDEX(Raw!$C:$C,MATCH(A2351,Raw!$A:$A,0))</f>
        <v>0</v>
      </c>
      <c r="D2351" s="21"/>
    </row>
    <row r="2352" spans="1:4" ht="11.25" customHeight="1" x14ac:dyDescent="0.25">
      <c r="A2352" s="22" t="s">
        <v>2389</v>
      </c>
      <c r="B2352" s="20">
        <f ca="1">INDIRECT(ADDRESS(MATCH(A2352,Raw!$A:$A,0),2,1,1,"Raw"))</f>
        <v>0</v>
      </c>
      <c r="C2352" s="20">
        <f>INDEX(Raw!$C:$C,MATCH(A2352,Raw!$A:$A,0))</f>
        <v>0</v>
      </c>
      <c r="D2352" s="21"/>
    </row>
    <row r="2353" spans="1:4" ht="11.25" customHeight="1" x14ac:dyDescent="0.25">
      <c r="A2353" s="22" t="s">
        <v>2390</v>
      </c>
      <c r="B2353" s="20">
        <f ca="1">INDIRECT(ADDRESS(MATCH(A2353,Raw!$A:$A,0),2,1,1,"Raw"))</f>
        <v>0</v>
      </c>
      <c r="C2353" s="20">
        <f>INDEX(Raw!$C:$C,MATCH(A2353,Raw!$A:$A,0))</f>
        <v>0</v>
      </c>
      <c r="D2353" s="21"/>
    </row>
    <row r="2354" spans="1:4" ht="11.25" customHeight="1" x14ac:dyDescent="0.25">
      <c r="A2354" s="22" t="s">
        <v>2391</v>
      </c>
      <c r="B2354" s="20">
        <f ca="1">INDIRECT(ADDRESS(MATCH(A2354,Raw!$A:$A,0),2,1,1,"Raw"))</f>
        <v>0</v>
      </c>
      <c r="C2354" s="20">
        <f>INDEX(Raw!$C:$C,MATCH(A2354,Raw!$A:$A,0))</f>
        <v>0</v>
      </c>
      <c r="D2354" s="21"/>
    </row>
    <row r="2355" spans="1:4" ht="11.25" customHeight="1" x14ac:dyDescent="0.25">
      <c r="A2355" s="22" t="s">
        <v>2392</v>
      </c>
      <c r="B2355" s="20">
        <f ca="1">INDIRECT(ADDRESS(MATCH(A2355,Raw!$A:$A,0),2,1,1,"Raw"))</f>
        <v>0</v>
      </c>
      <c r="C2355" s="20">
        <f>INDEX(Raw!$C:$C,MATCH(A2355,Raw!$A:$A,0))</f>
        <v>0</v>
      </c>
      <c r="D2355" s="21"/>
    </row>
    <row r="2356" spans="1:4" ht="11.25" customHeight="1" x14ac:dyDescent="0.25">
      <c r="A2356" s="22" t="s">
        <v>2393</v>
      </c>
      <c r="B2356" s="20">
        <f ca="1">INDIRECT(ADDRESS(MATCH(A2356,Raw!$A:$A,0),2,1,1,"Raw"))</f>
        <v>0</v>
      </c>
      <c r="C2356" s="20">
        <f>INDEX(Raw!$C:$C,MATCH(A2356,Raw!$A:$A,0))</f>
        <v>0</v>
      </c>
      <c r="D2356" s="21"/>
    </row>
    <row r="2357" spans="1:4" ht="11.25" customHeight="1" x14ac:dyDescent="0.25">
      <c r="A2357" s="22" t="s">
        <v>2394</v>
      </c>
      <c r="B2357" s="20">
        <f ca="1">INDIRECT(ADDRESS(MATCH(A2357,Raw!$A:$A,0),2,1,1,"Raw"))</f>
        <v>0</v>
      </c>
      <c r="C2357" s="20">
        <f>INDEX(Raw!$C:$C,MATCH(A2357,Raw!$A:$A,0))</f>
        <v>0</v>
      </c>
      <c r="D2357" s="21"/>
    </row>
    <row r="2358" spans="1:4" ht="11.25" customHeight="1" x14ac:dyDescent="0.25">
      <c r="A2358" s="22" t="s">
        <v>2395</v>
      </c>
      <c r="B2358" s="20">
        <f ca="1">INDIRECT(ADDRESS(MATCH(A2358,Raw!$A:$A,0),2,1,1,"Raw"))</f>
        <v>0</v>
      </c>
      <c r="C2358" s="20">
        <f>INDEX(Raw!$C:$C,MATCH(A2358,Raw!$A:$A,0))</f>
        <v>0</v>
      </c>
      <c r="D2358" s="21"/>
    </row>
    <row r="2359" spans="1:4" ht="11.25" customHeight="1" x14ac:dyDescent="0.25">
      <c r="A2359" s="22" t="s">
        <v>2396</v>
      </c>
      <c r="B2359" s="20">
        <f ca="1">INDIRECT(ADDRESS(MATCH(A2359,Raw!$A:$A,0),2,1,1,"Raw"))</f>
        <v>0</v>
      </c>
      <c r="C2359" s="20">
        <f>INDEX(Raw!$C:$C,MATCH(A2359,Raw!$A:$A,0))</f>
        <v>0</v>
      </c>
      <c r="D2359" s="21"/>
    </row>
    <row r="2360" spans="1:4" ht="11.25" customHeight="1" x14ac:dyDescent="0.25">
      <c r="A2360" s="22" t="s">
        <v>2397</v>
      </c>
      <c r="B2360" s="20">
        <f ca="1">INDIRECT(ADDRESS(MATCH(A2360,Raw!$A:$A,0),2,1,1,"Raw"))</f>
        <v>0</v>
      </c>
      <c r="C2360" s="20">
        <f>INDEX(Raw!$C:$C,MATCH(A2360,Raw!$A:$A,0))</f>
        <v>0</v>
      </c>
      <c r="D2360" s="21"/>
    </row>
    <row r="2361" spans="1:4" ht="11.25" customHeight="1" x14ac:dyDescent="0.25">
      <c r="A2361" s="22" t="s">
        <v>2398</v>
      </c>
      <c r="B2361" s="20">
        <f ca="1">INDIRECT(ADDRESS(MATCH(A2361,Raw!$A:$A,0),2,1,1,"Raw"))</f>
        <v>0</v>
      </c>
      <c r="C2361" s="20">
        <f>INDEX(Raw!$C:$C,MATCH(A2361,Raw!$A:$A,0))</f>
        <v>0</v>
      </c>
      <c r="D2361" s="21"/>
    </row>
    <row r="2362" spans="1:4" ht="11.25" customHeight="1" x14ac:dyDescent="0.25">
      <c r="A2362" s="22" t="s">
        <v>2399</v>
      </c>
      <c r="B2362" s="20">
        <f ca="1">INDIRECT(ADDRESS(MATCH(A2362,Raw!$A:$A,0),2,1,1,"Raw"))</f>
        <v>0</v>
      </c>
      <c r="C2362" s="20">
        <f>INDEX(Raw!$C:$C,MATCH(A2362,Raw!$A:$A,0))</f>
        <v>0</v>
      </c>
      <c r="D2362" s="21"/>
    </row>
    <row r="2363" spans="1:4" ht="11.25" customHeight="1" x14ac:dyDescent="0.25">
      <c r="A2363" s="22" t="s">
        <v>2400</v>
      </c>
      <c r="B2363" s="20">
        <f ca="1">INDIRECT(ADDRESS(MATCH(A2363,Raw!$A:$A,0),2,1,1,"Raw"))</f>
        <v>0</v>
      </c>
      <c r="C2363" s="20">
        <f>INDEX(Raw!$C:$C,MATCH(A2363,Raw!$A:$A,0))</f>
        <v>0</v>
      </c>
      <c r="D2363" s="21"/>
    </row>
    <row r="2364" spans="1:4" ht="11.25" customHeight="1" x14ac:dyDescent="0.25">
      <c r="A2364" s="22" t="s">
        <v>2401</v>
      </c>
      <c r="B2364" s="20">
        <f ca="1">INDIRECT(ADDRESS(MATCH(A2364,Raw!$A:$A,0),2,1,1,"Raw"))</f>
        <v>0</v>
      </c>
      <c r="C2364" s="20">
        <f>INDEX(Raw!$C:$C,MATCH(A2364,Raw!$A:$A,0))</f>
        <v>0</v>
      </c>
      <c r="D2364" s="21"/>
    </row>
    <row r="2365" spans="1:4" ht="11.25" customHeight="1" x14ac:dyDescent="0.25">
      <c r="A2365" s="22" t="s">
        <v>2402</v>
      </c>
      <c r="B2365" s="20">
        <f ca="1">INDIRECT(ADDRESS(MATCH(A2365,Raw!$A:$A,0),2,1,1,"Raw"))</f>
        <v>0</v>
      </c>
      <c r="C2365" s="20">
        <f>INDEX(Raw!$C:$C,MATCH(A2365,Raw!$A:$A,0))</f>
        <v>0</v>
      </c>
      <c r="D2365" s="21"/>
    </row>
    <row r="2366" spans="1:4" ht="11.25" customHeight="1" x14ac:dyDescent="0.25">
      <c r="A2366" s="22" t="s">
        <v>2403</v>
      </c>
      <c r="B2366" s="20">
        <f ca="1">INDIRECT(ADDRESS(MATCH(A2366,Raw!$A:$A,0),2,1,1,"Raw"))</f>
        <v>0</v>
      </c>
      <c r="C2366" s="20">
        <f>INDEX(Raw!$C:$C,MATCH(A2366,Raw!$A:$A,0))</f>
        <v>0</v>
      </c>
      <c r="D2366" s="21"/>
    </row>
    <row r="2367" spans="1:4" ht="11.25" customHeight="1" x14ac:dyDescent="0.25">
      <c r="A2367" s="22" t="s">
        <v>2404</v>
      </c>
      <c r="B2367" s="20">
        <f ca="1">INDIRECT(ADDRESS(MATCH(A2367,Raw!$A:$A,0),2,1,1,"Raw"))</f>
        <v>0</v>
      </c>
      <c r="C2367" s="20">
        <f>INDEX(Raw!$C:$C,MATCH(A2367,Raw!$A:$A,0))</f>
        <v>0</v>
      </c>
      <c r="D2367" s="21"/>
    </row>
    <row r="2368" spans="1:4" ht="11.25" customHeight="1" x14ac:dyDescent="0.25">
      <c r="A2368" s="22" t="s">
        <v>2405</v>
      </c>
      <c r="B2368" s="20">
        <f ca="1">INDIRECT(ADDRESS(MATCH(A2368,Raw!$A:$A,0),2,1,1,"Raw"))</f>
        <v>0</v>
      </c>
      <c r="C2368" s="20">
        <f>INDEX(Raw!$C:$C,MATCH(A2368,Raw!$A:$A,0))</f>
        <v>0</v>
      </c>
      <c r="D2368" s="21"/>
    </row>
    <row r="2369" spans="1:4" ht="11.25" customHeight="1" x14ac:dyDescent="0.25">
      <c r="A2369" s="22" t="s">
        <v>2406</v>
      </c>
      <c r="B2369" s="20">
        <f ca="1">INDIRECT(ADDRESS(MATCH(A2369,Raw!$A:$A,0),2,1,1,"Raw"))</f>
        <v>0</v>
      </c>
      <c r="C2369" s="20">
        <f>INDEX(Raw!$C:$C,MATCH(A2369,Raw!$A:$A,0))</f>
        <v>0</v>
      </c>
      <c r="D2369" s="21"/>
    </row>
    <row r="2370" spans="1:4" ht="11.25" customHeight="1" x14ac:dyDescent="0.25">
      <c r="A2370" s="22" t="s">
        <v>2407</v>
      </c>
      <c r="B2370" s="20">
        <f ca="1">INDIRECT(ADDRESS(MATCH(A2370,Raw!$A:$A,0),2,1,1,"Raw"))</f>
        <v>0</v>
      </c>
      <c r="C2370" s="20">
        <f>INDEX(Raw!$C:$C,MATCH(A2370,Raw!$A:$A,0))</f>
        <v>0</v>
      </c>
      <c r="D2370" s="21"/>
    </row>
    <row r="2371" spans="1:4" ht="11.25" customHeight="1" x14ac:dyDescent="0.25">
      <c r="A2371" s="22" t="s">
        <v>2408</v>
      </c>
      <c r="B2371" s="20">
        <f ca="1">INDIRECT(ADDRESS(MATCH(A2371,Raw!$A:$A,0),2,1,1,"Raw"))</f>
        <v>0</v>
      </c>
      <c r="C2371" s="20">
        <f>INDEX(Raw!$C:$C,MATCH(A2371,Raw!$A:$A,0))</f>
        <v>0</v>
      </c>
      <c r="D2371" s="21"/>
    </row>
    <row r="2372" spans="1:4" ht="11.25" customHeight="1" x14ac:dyDescent="0.25">
      <c r="A2372" s="22" t="s">
        <v>2409</v>
      </c>
      <c r="B2372" s="20">
        <f ca="1">INDIRECT(ADDRESS(MATCH(A2372,Raw!$A:$A,0),2,1,1,"Raw"))</f>
        <v>0</v>
      </c>
      <c r="C2372" s="20">
        <f>INDEX(Raw!$C:$C,MATCH(A2372,Raw!$A:$A,0))</f>
        <v>0</v>
      </c>
      <c r="D2372" s="21"/>
    </row>
    <row r="2373" spans="1:4" ht="11.25" customHeight="1" x14ac:dyDescent="0.25">
      <c r="A2373" s="22" t="s">
        <v>2410</v>
      </c>
      <c r="B2373" s="20">
        <f ca="1">INDIRECT(ADDRESS(MATCH(A2373,Raw!$A:$A,0),2,1,1,"Raw"))</f>
        <v>0</v>
      </c>
      <c r="C2373" s="20">
        <f>INDEX(Raw!$C:$C,MATCH(A2373,Raw!$A:$A,0))</f>
        <v>0</v>
      </c>
      <c r="D2373" s="21"/>
    </row>
    <row r="2374" spans="1:4" ht="11.25" customHeight="1" x14ac:dyDescent="0.25">
      <c r="A2374" s="22" t="s">
        <v>2411</v>
      </c>
      <c r="B2374" s="20">
        <f ca="1">INDIRECT(ADDRESS(MATCH(A2374,Raw!$A:$A,0),2,1,1,"Raw"))</f>
        <v>0</v>
      </c>
      <c r="C2374" s="20">
        <f>INDEX(Raw!$C:$C,MATCH(A2374,Raw!$A:$A,0))</f>
        <v>0</v>
      </c>
      <c r="D2374" s="21"/>
    </row>
    <row r="2375" spans="1:4" ht="11.25" customHeight="1" x14ac:dyDescent="0.25">
      <c r="A2375" s="22" t="s">
        <v>2412</v>
      </c>
      <c r="B2375" s="20">
        <f ca="1">INDIRECT(ADDRESS(MATCH(A2375,Raw!$A:$A,0),2,1,1,"Raw"))</f>
        <v>0</v>
      </c>
      <c r="C2375" s="20">
        <f>INDEX(Raw!$C:$C,MATCH(A2375,Raw!$A:$A,0))</f>
        <v>0</v>
      </c>
      <c r="D2375" s="21"/>
    </row>
    <row r="2376" spans="1:4" ht="11.25" customHeight="1" x14ac:dyDescent="0.25">
      <c r="A2376" s="22" t="s">
        <v>2413</v>
      </c>
      <c r="B2376" s="20">
        <f ca="1">INDIRECT(ADDRESS(MATCH(A2376,Raw!$A:$A,0),2,1,1,"Raw"))</f>
        <v>0</v>
      </c>
      <c r="C2376" s="20">
        <f>INDEX(Raw!$C:$C,MATCH(A2376,Raw!$A:$A,0))</f>
        <v>0</v>
      </c>
      <c r="D2376" s="21"/>
    </row>
    <row r="2377" spans="1:4" ht="11.25" customHeight="1" x14ac:dyDescent="0.25">
      <c r="A2377" s="22" t="s">
        <v>2414</v>
      </c>
      <c r="B2377" s="20">
        <f ca="1">INDIRECT(ADDRESS(MATCH(A2377,Raw!$A:$A,0),2,1,1,"Raw"))</f>
        <v>0</v>
      </c>
      <c r="C2377" s="20">
        <f>INDEX(Raw!$C:$C,MATCH(A2377,Raw!$A:$A,0))</f>
        <v>0</v>
      </c>
      <c r="D2377" s="21"/>
    </row>
    <row r="2378" spans="1:4" ht="11.25" customHeight="1" x14ac:dyDescent="0.25">
      <c r="A2378" s="22" t="s">
        <v>2415</v>
      </c>
      <c r="B2378" s="20">
        <f ca="1">INDIRECT(ADDRESS(MATCH(A2378,Raw!$A:$A,0),2,1,1,"Raw"))</f>
        <v>0</v>
      </c>
      <c r="C2378" s="20">
        <f>INDEX(Raw!$C:$C,MATCH(A2378,Raw!$A:$A,0))</f>
        <v>0</v>
      </c>
      <c r="D2378" s="21"/>
    </row>
    <row r="2379" spans="1:4" ht="11.25" customHeight="1" x14ac:dyDescent="0.25">
      <c r="A2379" s="22" t="s">
        <v>2416</v>
      </c>
      <c r="B2379" s="20">
        <f ca="1">INDIRECT(ADDRESS(MATCH(A2379,Raw!$A:$A,0),2,1,1,"Raw"))</f>
        <v>0</v>
      </c>
      <c r="C2379" s="20">
        <f>INDEX(Raw!$C:$C,MATCH(A2379,Raw!$A:$A,0))</f>
        <v>0</v>
      </c>
      <c r="D2379" s="21"/>
    </row>
    <row r="2380" spans="1:4" ht="11.25" customHeight="1" x14ac:dyDescent="0.25">
      <c r="A2380" s="22" t="s">
        <v>2417</v>
      </c>
      <c r="B2380" s="20">
        <f ca="1">INDIRECT(ADDRESS(MATCH(A2380,Raw!$A:$A,0),2,1,1,"Raw"))</f>
        <v>0</v>
      </c>
      <c r="C2380" s="20">
        <f>INDEX(Raw!$C:$C,MATCH(A2380,Raw!$A:$A,0))</f>
        <v>0</v>
      </c>
      <c r="D2380" s="21"/>
    </row>
    <row r="2381" spans="1:4" ht="11.25" customHeight="1" x14ac:dyDescent="0.25">
      <c r="A2381" s="22" t="s">
        <v>2418</v>
      </c>
      <c r="B2381" s="20">
        <f ca="1">INDIRECT(ADDRESS(MATCH(A2381,Raw!$A:$A,0),2,1,1,"Raw"))</f>
        <v>0</v>
      </c>
      <c r="C2381" s="20">
        <f>INDEX(Raw!$C:$C,MATCH(A2381,Raw!$A:$A,0))</f>
        <v>0</v>
      </c>
      <c r="D2381" s="21"/>
    </row>
    <row r="2382" spans="1:4" ht="11.25" customHeight="1" x14ac:dyDescent="0.25">
      <c r="A2382" s="22" t="s">
        <v>2419</v>
      </c>
      <c r="B2382" s="20">
        <f ca="1">INDIRECT(ADDRESS(MATCH(A2382,Raw!$A:$A,0),2,1,1,"Raw"))</f>
        <v>0</v>
      </c>
      <c r="C2382" s="20">
        <f>INDEX(Raw!$C:$C,MATCH(A2382,Raw!$A:$A,0))</f>
        <v>0</v>
      </c>
      <c r="D2382" s="21"/>
    </row>
    <row r="2383" spans="1:4" ht="11.25" customHeight="1" x14ac:dyDescent="0.25">
      <c r="A2383" s="22" t="s">
        <v>2420</v>
      </c>
      <c r="B2383" s="20">
        <f ca="1">INDIRECT(ADDRESS(MATCH(A2383,Raw!$A:$A,0),2,1,1,"Raw"))</f>
        <v>0</v>
      </c>
      <c r="C2383" s="20">
        <f>INDEX(Raw!$C:$C,MATCH(A2383,Raw!$A:$A,0))</f>
        <v>0</v>
      </c>
      <c r="D2383" s="21"/>
    </row>
    <row r="2384" spans="1:4" ht="11.25" customHeight="1" x14ac:dyDescent="0.25">
      <c r="A2384" s="22" t="s">
        <v>2421</v>
      </c>
      <c r="B2384" s="20">
        <f ca="1">INDIRECT(ADDRESS(MATCH(A2384,Raw!$A:$A,0),2,1,1,"Raw"))</f>
        <v>0</v>
      </c>
      <c r="C2384" s="20">
        <f>INDEX(Raw!$C:$C,MATCH(A2384,Raw!$A:$A,0))</f>
        <v>0</v>
      </c>
      <c r="D2384" s="21"/>
    </row>
    <row r="2385" spans="1:4" ht="11.25" customHeight="1" x14ac:dyDescent="0.25">
      <c r="A2385" s="22" t="s">
        <v>2422</v>
      </c>
      <c r="B2385" s="20">
        <f ca="1">INDIRECT(ADDRESS(MATCH(A2385,Raw!$A:$A,0),2,1,1,"Raw"))</f>
        <v>0</v>
      </c>
      <c r="C2385" s="20">
        <f>INDEX(Raw!$C:$C,MATCH(A2385,Raw!$A:$A,0))</f>
        <v>0</v>
      </c>
      <c r="D2385" s="21"/>
    </row>
    <row r="2386" spans="1:4" ht="11.25" customHeight="1" x14ac:dyDescent="0.25">
      <c r="A2386" s="22" t="s">
        <v>2423</v>
      </c>
      <c r="B2386" s="20">
        <f ca="1">INDIRECT(ADDRESS(MATCH(A2386,Raw!$A:$A,0),2,1,1,"Raw"))</f>
        <v>0</v>
      </c>
      <c r="C2386" s="20">
        <f>INDEX(Raw!$C:$C,MATCH(A2386,Raw!$A:$A,0))</f>
        <v>0</v>
      </c>
      <c r="D2386" s="21"/>
    </row>
    <row r="2387" spans="1:4" ht="11.25" customHeight="1" x14ac:dyDescent="0.25">
      <c r="A2387" s="22" t="s">
        <v>2424</v>
      </c>
      <c r="B2387" s="20">
        <f ca="1">INDIRECT(ADDRESS(MATCH(A2387,Raw!$A:$A,0),2,1,1,"Raw"))</f>
        <v>0</v>
      </c>
      <c r="C2387" s="20">
        <f>INDEX(Raw!$C:$C,MATCH(A2387,Raw!$A:$A,0))</f>
        <v>0</v>
      </c>
      <c r="D2387" s="21"/>
    </row>
    <row r="2388" spans="1:4" ht="11.25" customHeight="1" x14ac:dyDescent="0.25">
      <c r="A2388" s="22" t="s">
        <v>2425</v>
      </c>
      <c r="B2388" s="20">
        <f ca="1">INDIRECT(ADDRESS(MATCH(A2388,Raw!$A:$A,0),2,1,1,"Raw"))</f>
        <v>0</v>
      </c>
      <c r="C2388" s="20">
        <f>INDEX(Raw!$C:$C,MATCH(A2388,Raw!$A:$A,0))</f>
        <v>0</v>
      </c>
      <c r="D2388" s="21"/>
    </row>
    <row r="2389" spans="1:4" ht="11.25" customHeight="1" x14ac:dyDescent="0.25">
      <c r="A2389" s="22" t="s">
        <v>2426</v>
      </c>
      <c r="B2389" s="20">
        <f ca="1">INDIRECT(ADDRESS(MATCH(A2389,Raw!$A:$A,0),2,1,1,"Raw"))</f>
        <v>0</v>
      </c>
      <c r="C2389" s="20">
        <f>INDEX(Raw!$C:$C,MATCH(A2389,Raw!$A:$A,0))</f>
        <v>0</v>
      </c>
      <c r="D2389" s="21"/>
    </row>
    <row r="2390" spans="1:4" ht="11.25" customHeight="1" x14ac:dyDescent="0.25">
      <c r="A2390" s="22" t="s">
        <v>2427</v>
      </c>
      <c r="B2390" s="20">
        <f ca="1">INDIRECT(ADDRESS(MATCH(A2390,Raw!$A:$A,0),2,1,1,"Raw"))</f>
        <v>0</v>
      </c>
      <c r="C2390" s="20">
        <f>INDEX(Raw!$C:$C,MATCH(A2390,Raw!$A:$A,0))</f>
        <v>0</v>
      </c>
      <c r="D2390" s="21"/>
    </row>
    <row r="2391" spans="1:4" ht="11.25" customHeight="1" x14ac:dyDescent="0.25">
      <c r="A2391" s="22" t="s">
        <v>2428</v>
      </c>
      <c r="B2391" s="20">
        <f ca="1">INDIRECT(ADDRESS(MATCH(A2391,Raw!$A:$A,0),2,1,1,"Raw"))</f>
        <v>0</v>
      </c>
      <c r="C2391" s="20">
        <f>INDEX(Raw!$C:$C,MATCH(A2391,Raw!$A:$A,0))</f>
        <v>0</v>
      </c>
      <c r="D2391" s="21"/>
    </row>
    <row r="2392" spans="1:4" ht="11.25" customHeight="1" x14ac:dyDescent="0.25">
      <c r="A2392" s="22" t="s">
        <v>2429</v>
      </c>
      <c r="B2392" s="20">
        <f ca="1">INDIRECT(ADDRESS(MATCH(A2392,Raw!$A:$A,0),2,1,1,"Raw"))</f>
        <v>0</v>
      </c>
      <c r="C2392" s="20">
        <f>INDEX(Raw!$C:$C,MATCH(A2392,Raw!$A:$A,0))</f>
        <v>0</v>
      </c>
      <c r="D2392" s="21"/>
    </row>
    <row r="2393" spans="1:4" ht="11.25" customHeight="1" x14ac:dyDescent="0.25">
      <c r="A2393" s="22" t="s">
        <v>2430</v>
      </c>
      <c r="B2393" s="20">
        <f ca="1">INDIRECT(ADDRESS(MATCH(A2393,Raw!$A:$A,0),2,1,1,"Raw"))</f>
        <v>0</v>
      </c>
      <c r="C2393" s="20">
        <f>INDEX(Raw!$C:$C,MATCH(A2393,Raw!$A:$A,0))</f>
        <v>0</v>
      </c>
      <c r="D2393" s="21"/>
    </row>
    <row r="2394" spans="1:4" ht="11.25" customHeight="1" x14ac:dyDescent="0.25">
      <c r="A2394" s="22" t="s">
        <v>2431</v>
      </c>
      <c r="B2394" s="20">
        <f ca="1">INDIRECT(ADDRESS(MATCH(A2394,Raw!$A:$A,0),2,1,1,"Raw"))</f>
        <v>0</v>
      </c>
      <c r="C2394" s="20">
        <f>INDEX(Raw!$C:$C,MATCH(A2394,Raw!$A:$A,0))</f>
        <v>0</v>
      </c>
      <c r="D2394" s="21"/>
    </row>
    <row r="2395" spans="1:4" ht="11.25" customHeight="1" x14ac:dyDescent="0.25">
      <c r="A2395" s="22" t="s">
        <v>2432</v>
      </c>
      <c r="B2395" s="20">
        <f ca="1">INDIRECT(ADDRESS(MATCH(A2395,Raw!$A:$A,0),2,1,1,"Raw"))</f>
        <v>0</v>
      </c>
      <c r="C2395" s="20">
        <f>INDEX(Raw!$C:$C,MATCH(A2395,Raw!$A:$A,0))</f>
        <v>0</v>
      </c>
      <c r="D2395" s="21"/>
    </row>
    <row r="2396" spans="1:4" ht="11.25" customHeight="1" x14ac:dyDescent="0.25">
      <c r="A2396" s="22" t="s">
        <v>2433</v>
      </c>
      <c r="B2396" s="20">
        <f ca="1">INDIRECT(ADDRESS(MATCH(A2396,Raw!$A:$A,0),2,1,1,"Raw"))</f>
        <v>0</v>
      </c>
      <c r="C2396" s="20">
        <f>INDEX(Raw!$C:$C,MATCH(A2396,Raw!$A:$A,0))</f>
        <v>0</v>
      </c>
      <c r="D2396" s="21"/>
    </row>
    <row r="2397" spans="1:4" ht="11.25" customHeight="1" x14ac:dyDescent="0.25">
      <c r="A2397" s="22" t="s">
        <v>2434</v>
      </c>
      <c r="B2397" s="20">
        <f ca="1">INDIRECT(ADDRESS(MATCH(A2397,Raw!$A:$A,0),2,1,1,"Raw"))</f>
        <v>0</v>
      </c>
      <c r="C2397" s="20">
        <f>INDEX(Raw!$C:$C,MATCH(A2397,Raw!$A:$A,0))</f>
        <v>0</v>
      </c>
      <c r="D2397" s="21"/>
    </row>
    <row r="2398" spans="1:4" ht="11.25" customHeight="1" x14ac:dyDescent="0.25">
      <c r="A2398" s="22" t="s">
        <v>2435</v>
      </c>
      <c r="B2398" s="20">
        <f ca="1">INDIRECT(ADDRESS(MATCH(A2398,Raw!$A:$A,0),2,1,1,"Raw"))</f>
        <v>0</v>
      </c>
      <c r="C2398" s="20">
        <f>INDEX(Raw!$C:$C,MATCH(A2398,Raw!$A:$A,0))</f>
        <v>0</v>
      </c>
      <c r="D2398" s="21"/>
    </row>
    <row r="2399" spans="1:4" ht="11.25" customHeight="1" x14ac:dyDescent="0.25">
      <c r="A2399" s="22" t="s">
        <v>2436</v>
      </c>
      <c r="B2399" s="20">
        <f ca="1">INDIRECT(ADDRESS(MATCH(A2399,Raw!$A:$A,0),2,1,1,"Raw"))</f>
        <v>0</v>
      </c>
      <c r="C2399" s="20">
        <f>INDEX(Raw!$C:$C,MATCH(A2399,Raw!$A:$A,0))</f>
        <v>0</v>
      </c>
      <c r="D2399" s="21"/>
    </row>
    <row r="2400" spans="1:4" ht="11.25" customHeight="1" x14ac:dyDescent="0.25">
      <c r="A2400" s="22" t="s">
        <v>2437</v>
      </c>
      <c r="B2400" s="20">
        <f ca="1">INDIRECT(ADDRESS(MATCH(A2400,Raw!$A:$A,0),2,1,1,"Raw"))</f>
        <v>0</v>
      </c>
      <c r="C2400" s="20">
        <f>INDEX(Raw!$C:$C,MATCH(A2400,Raw!$A:$A,0))</f>
        <v>0</v>
      </c>
      <c r="D2400" s="21"/>
    </row>
    <row r="2401" spans="1:4" ht="11.25" customHeight="1" x14ac:dyDescent="0.25">
      <c r="A2401" s="22" t="s">
        <v>2438</v>
      </c>
      <c r="B2401" s="20">
        <f ca="1">INDIRECT(ADDRESS(MATCH(A2401,Raw!$A:$A,0),2,1,1,"Raw"))</f>
        <v>0</v>
      </c>
      <c r="C2401" s="20">
        <f>INDEX(Raw!$C:$C,MATCH(A2401,Raw!$A:$A,0))</f>
        <v>0</v>
      </c>
      <c r="D2401" s="21"/>
    </row>
    <row r="2402" spans="1:4" ht="11.25" customHeight="1" x14ac:dyDescent="0.25">
      <c r="A2402" s="22" t="s">
        <v>2439</v>
      </c>
      <c r="B2402" s="20">
        <f ca="1">INDIRECT(ADDRESS(MATCH(A2402,Raw!$A:$A,0),2,1,1,"Raw"))</f>
        <v>0</v>
      </c>
      <c r="C2402" s="20">
        <f>INDEX(Raw!$C:$C,MATCH(A2402,Raw!$A:$A,0))</f>
        <v>0</v>
      </c>
      <c r="D2402" s="21"/>
    </row>
    <row r="2403" spans="1:4" ht="11.25" customHeight="1" x14ac:dyDescent="0.25">
      <c r="A2403" s="22" t="s">
        <v>2440</v>
      </c>
      <c r="B2403" s="20">
        <f ca="1">INDIRECT(ADDRESS(MATCH(A2403,Raw!$A:$A,0),2,1,1,"Raw"))</f>
        <v>0</v>
      </c>
      <c r="C2403" s="20">
        <f>INDEX(Raw!$C:$C,MATCH(A2403,Raw!$A:$A,0))</f>
        <v>0</v>
      </c>
      <c r="D2403" s="21"/>
    </row>
    <row r="2404" spans="1:4" ht="11.25" customHeight="1" x14ac:dyDescent="0.25">
      <c r="A2404" s="22" t="s">
        <v>2441</v>
      </c>
      <c r="B2404" s="20">
        <f ca="1">INDIRECT(ADDRESS(MATCH(A2404,Raw!$A:$A,0),2,1,1,"Raw"))</f>
        <v>0</v>
      </c>
      <c r="C2404" s="20">
        <f>INDEX(Raw!$C:$C,MATCH(A2404,Raw!$A:$A,0))</f>
        <v>0</v>
      </c>
      <c r="D2404" s="21"/>
    </row>
    <row r="2405" spans="1:4" ht="11.25" customHeight="1" x14ac:dyDescent="0.25">
      <c r="A2405" s="22" t="s">
        <v>2442</v>
      </c>
      <c r="B2405" s="20">
        <f ca="1">INDIRECT(ADDRESS(MATCH(A2405,Raw!$A:$A,0),2,1,1,"Raw"))</f>
        <v>0</v>
      </c>
      <c r="C2405" s="20">
        <f>INDEX(Raw!$C:$C,MATCH(A2405,Raw!$A:$A,0))</f>
        <v>0</v>
      </c>
      <c r="D2405" s="21"/>
    </row>
    <row r="2406" spans="1:4" ht="11.25" customHeight="1" x14ac:dyDescent="0.25">
      <c r="A2406" s="22" t="s">
        <v>2443</v>
      </c>
      <c r="B2406" s="20">
        <f ca="1">INDIRECT(ADDRESS(MATCH(A2406,Raw!$A:$A,0),2,1,1,"Raw"))</f>
        <v>0</v>
      </c>
      <c r="C2406" s="20">
        <f>INDEX(Raw!$C:$C,MATCH(A2406,Raw!$A:$A,0))</f>
        <v>0</v>
      </c>
      <c r="D2406" s="21"/>
    </row>
    <row r="2407" spans="1:4" ht="11.25" customHeight="1" x14ac:dyDescent="0.25">
      <c r="A2407" s="22" t="s">
        <v>2444</v>
      </c>
      <c r="B2407" s="20">
        <f ca="1">INDIRECT(ADDRESS(MATCH(A2407,Raw!$A:$A,0),2,1,1,"Raw"))</f>
        <v>0</v>
      </c>
      <c r="C2407" s="20">
        <f>INDEX(Raw!$C:$C,MATCH(A2407,Raw!$A:$A,0))</f>
        <v>0</v>
      </c>
      <c r="D2407" s="21"/>
    </row>
    <row r="2408" spans="1:4" ht="11.25" customHeight="1" x14ac:dyDescent="0.25">
      <c r="A2408" s="22" t="s">
        <v>2445</v>
      </c>
      <c r="B2408" s="20">
        <f ca="1">INDIRECT(ADDRESS(MATCH(A2408,Raw!$A:$A,0),2,1,1,"Raw"))</f>
        <v>0</v>
      </c>
      <c r="C2408" s="20">
        <f>INDEX(Raw!$C:$C,MATCH(A2408,Raw!$A:$A,0))</f>
        <v>0</v>
      </c>
      <c r="D2408" s="21"/>
    </row>
    <row r="2409" spans="1:4" ht="11.25" customHeight="1" x14ac:dyDescent="0.25">
      <c r="A2409" s="22" t="s">
        <v>2446</v>
      </c>
      <c r="B2409" s="20">
        <f ca="1">INDIRECT(ADDRESS(MATCH(A2409,Raw!$A:$A,0),2,1,1,"Raw"))</f>
        <v>0</v>
      </c>
      <c r="C2409" s="20">
        <f>INDEX(Raw!$C:$C,MATCH(A2409,Raw!$A:$A,0))</f>
        <v>0</v>
      </c>
      <c r="D2409" s="21"/>
    </row>
    <row r="2410" spans="1:4" ht="11.25" customHeight="1" x14ac:dyDescent="0.25">
      <c r="A2410" s="22" t="s">
        <v>2447</v>
      </c>
      <c r="B2410" s="20">
        <f ca="1">INDIRECT(ADDRESS(MATCH(A2410,Raw!$A:$A,0),2,1,1,"Raw"))</f>
        <v>0</v>
      </c>
      <c r="C2410" s="20">
        <f>INDEX(Raw!$C:$C,MATCH(A2410,Raw!$A:$A,0))</f>
        <v>0</v>
      </c>
      <c r="D2410" s="21"/>
    </row>
    <row r="2411" spans="1:4" ht="11.25" customHeight="1" x14ac:dyDescent="0.25">
      <c r="A2411" s="22" t="s">
        <v>2448</v>
      </c>
      <c r="B2411" s="20">
        <f ca="1">INDIRECT(ADDRESS(MATCH(A2411,Raw!$A:$A,0),2,1,1,"Raw"))</f>
        <v>0</v>
      </c>
      <c r="C2411" s="20">
        <f>INDEX(Raw!$C:$C,MATCH(A2411,Raw!$A:$A,0))</f>
        <v>0</v>
      </c>
      <c r="D2411" s="21"/>
    </row>
    <row r="2412" spans="1:4" ht="11.25" customHeight="1" x14ac:dyDescent="0.25">
      <c r="A2412" s="22" t="s">
        <v>2449</v>
      </c>
      <c r="B2412" s="20">
        <f ca="1">INDIRECT(ADDRESS(MATCH(A2412,Raw!$A:$A,0),2,1,1,"Raw"))</f>
        <v>0</v>
      </c>
      <c r="C2412" s="20">
        <f>INDEX(Raw!$C:$C,MATCH(A2412,Raw!$A:$A,0))</f>
        <v>0</v>
      </c>
      <c r="D2412" s="21"/>
    </row>
    <row r="2413" spans="1:4" ht="11.25" customHeight="1" x14ac:dyDescent="0.25">
      <c r="A2413" s="22" t="s">
        <v>2450</v>
      </c>
      <c r="B2413" s="20">
        <f ca="1">INDIRECT(ADDRESS(MATCH(A2413,Raw!$A:$A,0),2,1,1,"Raw"))</f>
        <v>0</v>
      </c>
      <c r="C2413" s="20">
        <f>INDEX(Raw!$C:$C,MATCH(A2413,Raw!$A:$A,0))</f>
        <v>0</v>
      </c>
      <c r="D2413" s="21"/>
    </row>
    <row r="2414" spans="1:4" ht="11.25" customHeight="1" x14ac:dyDescent="0.25">
      <c r="A2414" s="22" t="s">
        <v>2451</v>
      </c>
      <c r="B2414" s="20">
        <f ca="1">INDIRECT(ADDRESS(MATCH(A2414,Raw!$A:$A,0),2,1,1,"Raw"))</f>
        <v>0</v>
      </c>
      <c r="C2414" s="20">
        <f>INDEX(Raw!$C:$C,MATCH(A2414,Raw!$A:$A,0))</f>
        <v>0</v>
      </c>
      <c r="D2414" s="21"/>
    </row>
    <row r="2415" spans="1:4" ht="11.25" customHeight="1" x14ac:dyDescent="0.25">
      <c r="A2415" s="22" t="s">
        <v>2452</v>
      </c>
      <c r="B2415" s="20">
        <f ca="1">INDIRECT(ADDRESS(MATCH(A2415,Raw!$A:$A,0),2,1,1,"Raw"))</f>
        <v>0</v>
      </c>
      <c r="C2415" s="20">
        <f>INDEX(Raw!$C:$C,MATCH(A2415,Raw!$A:$A,0))</f>
        <v>0</v>
      </c>
      <c r="D2415" s="21"/>
    </row>
    <row r="2416" spans="1:4" ht="11.25" customHeight="1" x14ac:dyDescent="0.25">
      <c r="A2416" s="22" t="s">
        <v>2453</v>
      </c>
      <c r="B2416" s="20">
        <f ca="1">INDIRECT(ADDRESS(MATCH(A2416,Raw!$A:$A,0),2,1,1,"Raw"))</f>
        <v>0</v>
      </c>
      <c r="C2416" s="20">
        <f>INDEX(Raw!$C:$C,MATCH(A2416,Raw!$A:$A,0))</f>
        <v>0</v>
      </c>
      <c r="D2416" s="21"/>
    </row>
    <row r="2417" spans="1:4" ht="11.25" customHeight="1" x14ac:dyDescent="0.25">
      <c r="A2417" s="22" t="s">
        <v>2454</v>
      </c>
      <c r="B2417" s="20">
        <f ca="1">INDIRECT(ADDRESS(MATCH(A2417,Raw!$A:$A,0),2,1,1,"Raw"))</f>
        <v>0</v>
      </c>
      <c r="C2417" s="20">
        <f>INDEX(Raw!$C:$C,MATCH(A2417,Raw!$A:$A,0))</f>
        <v>0</v>
      </c>
      <c r="D2417" s="21"/>
    </row>
    <row r="2418" spans="1:4" ht="11.25" customHeight="1" x14ac:dyDescent="0.25">
      <c r="A2418" s="22" t="s">
        <v>2455</v>
      </c>
      <c r="B2418" s="20">
        <f ca="1">INDIRECT(ADDRESS(MATCH(A2418,Raw!$A:$A,0),2,1,1,"Raw"))</f>
        <v>0</v>
      </c>
      <c r="C2418" s="20">
        <f>INDEX(Raw!$C:$C,MATCH(A2418,Raw!$A:$A,0))</f>
        <v>0</v>
      </c>
      <c r="D2418" s="21"/>
    </row>
    <row r="2419" spans="1:4" ht="11.25" customHeight="1" x14ac:dyDescent="0.25">
      <c r="A2419" s="22" t="s">
        <v>2456</v>
      </c>
      <c r="B2419" s="20">
        <f ca="1">INDIRECT(ADDRESS(MATCH(A2419,Raw!$A:$A,0),2,1,1,"Raw"))</f>
        <v>0</v>
      </c>
      <c r="C2419" s="20">
        <f>INDEX(Raw!$C:$C,MATCH(A2419,Raw!$A:$A,0))</f>
        <v>0</v>
      </c>
      <c r="D2419" s="21"/>
    </row>
    <row r="2420" spans="1:4" ht="11.25" customHeight="1" x14ac:dyDescent="0.25">
      <c r="A2420" s="22" t="s">
        <v>2457</v>
      </c>
      <c r="B2420" s="20">
        <f ca="1">INDIRECT(ADDRESS(MATCH(A2420,Raw!$A:$A,0),2,1,1,"Raw"))</f>
        <v>0</v>
      </c>
      <c r="C2420" s="20">
        <f>INDEX(Raw!$C:$C,MATCH(A2420,Raw!$A:$A,0))</f>
        <v>0</v>
      </c>
      <c r="D2420" s="21"/>
    </row>
    <row r="2421" spans="1:4" ht="11.25" customHeight="1" x14ac:dyDescent="0.25">
      <c r="A2421" s="22" t="s">
        <v>2458</v>
      </c>
      <c r="B2421" s="20">
        <f ca="1">INDIRECT(ADDRESS(MATCH(A2421,Raw!$A:$A,0),2,1,1,"Raw"))</f>
        <v>0</v>
      </c>
      <c r="C2421" s="20">
        <f>INDEX(Raw!$C:$C,MATCH(A2421,Raw!$A:$A,0))</f>
        <v>0</v>
      </c>
      <c r="D2421" s="21"/>
    </row>
    <row r="2422" spans="1:4" ht="11.25" customHeight="1" x14ac:dyDescent="0.25">
      <c r="A2422" s="22" t="s">
        <v>2459</v>
      </c>
      <c r="B2422" s="20">
        <f ca="1">INDIRECT(ADDRESS(MATCH(A2422,Raw!$A:$A,0),2,1,1,"Raw"))</f>
        <v>0</v>
      </c>
      <c r="C2422" s="20">
        <f>INDEX(Raw!$C:$C,MATCH(A2422,Raw!$A:$A,0))</f>
        <v>0</v>
      </c>
      <c r="D2422" s="21"/>
    </row>
    <row r="2423" spans="1:4" ht="11.25" customHeight="1" x14ac:dyDescent="0.25">
      <c r="A2423" s="22" t="s">
        <v>2460</v>
      </c>
      <c r="B2423" s="20">
        <f ca="1">INDIRECT(ADDRESS(MATCH(A2423,Raw!$A:$A,0),2,1,1,"Raw"))</f>
        <v>0</v>
      </c>
      <c r="C2423" s="20">
        <f>INDEX(Raw!$C:$C,MATCH(A2423,Raw!$A:$A,0))</f>
        <v>0</v>
      </c>
      <c r="D2423" s="21"/>
    </row>
    <row r="2424" spans="1:4" ht="11.25" customHeight="1" x14ac:dyDescent="0.25">
      <c r="A2424" s="22" t="s">
        <v>2461</v>
      </c>
      <c r="B2424" s="20">
        <f ca="1">INDIRECT(ADDRESS(MATCH(A2424,Raw!$A:$A,0),2,1,1,"Raw"))</f>
        <v>0</v>
      </c>
      <c r="C2424" s="20">
        <f>INDEX(Raw!$C:$C,MATCH(A2424,Raw!$A:$A,0))</f>
        <v>0</v>
      </c>
      <c r="D2424" s="21"/>
    </row>
    <row r="2425" spans="1:4" ht="11.25" customHeight="1" x14ac:dyDescent="0.25">
      <c r="A2425" s="22" t="s">
        <v>2462</v>
      </c>
      <c r="B2425" s="20">
        <f ca="1">INDIRECT(ADDRESS(MATCH(A2425,Raw!$A:$A,0),2,1,1,"Raw"))</f>
        <v>0</v>
      </c>
      <c r="C2425" s="20">
        <f>INDEX(Raw!$C:$C,MATCH(A2425,Raw!$A:$A,0))</f>
        <v>0</v>
      </c>
      <c r="D2425" s="21"/>
    </row>
    <row r="2426" spans="1:4" ht="11.25" customHeight="1" x14ac:dyDescent="0.25">
      <c r="A2426" s="22" t="s">
        <v>2463</v>
      </c>
      <c r="B2426" s="20">
        <f ca="1">INDIRECT(ADDRESS(MATCH(A2426,Raw!$A:$A,0),2,1,1,"Raw"))</f>
        <v>0</v>
      </c>
      <c r="C2426" s="20">
        <f>INDEX(Raw!$C:$C,MATCH(A2426,Raw!$A:$A,0))</f>
        <v>0</v>
      </c>
      <c r="D2426" s="21"/>
    </row>
    <row r="2427" spans="1:4" ht="11.25" customHeight="1" x14ac:dyDescent="0.25">
      <c r="A2427" s="22" t="s">
        <v>2464</v>
      </c>
      <c r="B2427" s="20">
        <f ca="1">INDIRECT(ADDRESS(MATCH(A2427,Raw!$A:$A,0),2,1,1,"Raw"))</f>
        <v>0</v>
      </c>
      <c r="C2427" s="20">
        <f>INDEX(Raw!$C:$C,MATCH(A2427,Raw!$A:$A,0))</f>
        <v>0</v>
      </c>
      <c r="D2427" s="21"/>
    </row>
    <row r="2428" spans="1:4" ht="11.25" customHeight="1" x14ac:dyDescent="0.25">
      <c r="A2428" s="22" t="s">
        <v>2465</v>
      </c>
      <c r="B2428" s="20">
        <f ca="1">INDIRECT(ADDRESS(MATCH(A2428,Raw!$A:$A,0),2,1,1,"Raw"))</f>
        <v>0</v>
      </c>
      <c r="C2428" s="20">
        <f>INDEX(Raw!$C:$C,MATCH(A2428,Raw!$A:$A,0))</f>
        <v>0</v>
      </c>
      <c r="D2428" s="21"/>
    </row>
    <row r="2429" spans="1:4" ht="11.25" customHeight="1" x14ac:dyDescent="0.25">
      <c r="A2429" s="22" t="s">
        <v>2466</v>
      </c>
      <c r="B2429" s="20">
        <f ca="1">INDIRECT(ADDRESS(MATCH(A2429,Raw!$A:$A,0),2,1,1,"Raw"))</f>
        <v>0</v>
      </c>
      <c r="C2429" s="20">
        <f>INDEX(Raw!$C:$C,MATCH(A2429,Raw!$A:$A,0))</f>
        <v>0</v>
      </c>
      <c r="D2429" s="21"/>
    </row>
    <row r="2430" spans="1:4" ht="11.25" customHeight="1" x14ac:dyDescent="0.25">
      <c r="A2430" s="22" t="s">
        <v>2467</v>
      </c>
      <c r="B2430" s="20">
        <f ca="1">INDIRECT(ADDRESS(MATCH(A2430,Raw!$A:$A,0),2,1,1,"Raw"))</f>
        <v>0</v>
      </c>
      <c r="C2430" s="20">
        <f>INDEX(Raw!$C:$C,MATCH(A2430,Raw!$A:$A,0))</f>
        <v>0</v>
      </c>
      <c r="D2430" s="21"/>
    </row>
    <row r="2431" spans="1:4" ht="11.25" customHeight="1" x14ac:dyDescent="0.25">
      <c r="A2431" s="22" t="s">
        <v>2468</v>
      </c>
      <c r="B2431" s="20">
        <f ca="1">INDIRECT(ADDRESS(MATCH(A2431,Raw!$A:$A,0),2,1,1,"Raw"))</f>
        <v>0</v>
      </c>
      <c r="C2431" s="20">
        <f>INDEX(Raw!$C:$C,MATCH(A2431,Raw!$A:$A,0))</f>
        <v>0</v>
      </c>
      <c r="D2431" s="21"/>
    </row>
    <row r="2432" spans="1:4" ht="11.25" customHeight="1" x14ac:dyDescent="0.25">
      <c r="A2432" s="22" t="s">
        <v>2469</v>
      </c>
      <c r="B2432" s="20">
        <f ca="1">INDIRECT(ADDRESS(MATCH(A2432,Raw!$A:$A,0),2,1,1,"Raw"))</f>
        <v>0</v>
      </c>
      <c r="C2432" s="20">
        <f>INDEX(Raw!$C:$C,MATCH(A2432,Raw!$A:$A,0))</f>
        <v>0</v>
      </c>
      <c r="D2432" s="21"/>
    </row>
    <row r="2433" spans="1:4" ht="11.25" customHeight="1" x14ac:dyDescent="0.25">
      <c r="A2433" s="22" t="s">
        <v>2470</v>
      </c>
      <c r="B2433" s="20">
        <f ca="1">INDIRECT(ADDRESS(MATCH(A2433,Raw!$A:$A,0),2,1,1,"Raw"))</f>
        <v>0</v>
      </c>
      <c r="C2433" s="20">
        <f>INDEX(Raw!$C:$C,MATCH(A2433,Raw!$A:$A,0))</f>
        <v>0</v>
      </c>
      <c r="D2433" s="21"/>
    </row>
    <row r="2434" spans="1:4" ht="11.25" customHeight="1" x14ac:dyDescent="0.25">
      <c r="A2434" s="22" t="s">
        <v>2471</v>
      </c>
      <c r="B2434" s="20">
        <f ca="1">INDIRECT(ADDRESS(MATCH(A2434,Raw!$A:$A,0),2,1,1,"Raw"))</f>
        <v>0</v>
      </c>
      <c r="C2434" s="20">
        <f>INDEX(Raw!$C:$C,MATCH(A2434,Raw!$A:$A,0))</f>
        <v>0</v>
      </c>
      <c r="D2434" s="21"/>
    </row>
    <row r="2435" spans="1:4" ht="11.25" customHeight="1" x14ac:dyDescent="0.25">
      <c r="A2435" s="22" t="s">
        <v>2472</v>
      </c>
      <c r="B2435" s="20">
        <f ca="1">INDIRECT(ADDRESS(MATCH(A2435,Raw!$A:$A,0),2,1,1,"Raw"))</f>
        <v>0</v>
      </c>
      <c r="C2435" s="20">
        <f>INDEX(Raw!$C:$C,MATCH(A2435,Raw!$A:$A,0))</f>
        <v>0</v>
      </c>
      <c r="D2435" s="21"/>
    </row>
    <row r="2436" spans="1:4" ht="11.25" customHeight="1" x14ac:dyDescent="0.25">
      <c r="A2436" s="22" t="s">
        <v>2473</v>
      </c>
      <c r="B2436" s="20">
        <f ca="1">INDIRECT(ADDRESS(MATCH(A2436,Raw!$A:$A,0),2,1,1,"Raw"))</f>
        <v>0</v>
      </c>
      <c r="C2436" s="20">
        <f>INDEX(Raw!$C:$C,MATCH(A2436,Raw!$A:$A,0))</f>
        <v>0</v>
      </c>
      <c r="D2436" s="21"/>
    </row>
    <row r="2437" spans="1:4" ht="11.25" customHeight="1" x14ac:dyDescent="0.25">
      <c r="A2437" s="22" t="s">
        <v>2474</v>
      </c>
      <c r="B2437" s="20">
        <f ca="1">INDIRECT(ADDRESS(MATCH(A2437,Raw!$A:$A,0),2,1,1,"Raw"))</f>
        <v>0</v>
      </c>
      <c r="C2437" s="20">
        <f>INDEX(Raw!$C:$C,MATCH(A2437,Raw!$A:$A,0))</f>
        <v>0</v>
      </c>
      <c r="D2437" s="21"/>
    </row>
    <row r="2438" spans="1:4" ht="11.25" customHeight="1" x14ac:dyDescent="0.25">
      <c r="A2438" s="22" t="s">
        <v>2475</v>
      </c>
      <c r="B2438" s="20">
        <f ca="1">INDIRECT(ADDRESS(MATCH(A2438,Raw!$A:$A,0),2,1,1,"Raw"))</f>
        <v>0</v>
      </c>
      <c r="C2438" s="20">
        <f>INDEX(Raw!$C:$C,MATCH(A2438,Raw!$A:$A,0))</f>
        <v>0</v>
      </c>
      <c r="D2438" s="21"/>
    </row>
    <row r="2439" spans="1:4" ht="11.25" customHeight="1" x14ac:dyDescent="0.25">
      <c r="A2439" s="22" t="s">
        <v>2476</v>
      </c>
      <c r="B2439" s="20">
        <f ca="1">INDIRECT(ADDRESS(MATCH(A2439,Raw!$A:$A,0),2,1,1,"Raw"))</f>
        <v>0</v>
      </c>
      <c r="C2439" s="20">
        <f>INDEX(Raw!$C:$C,MATCH(A2439,Raw!$A:$A,0))</f>
        <v>0</v>
      </c>
      <c r="D2439" s="21"/>
    </row>
    <row r="2440" spans="1:4" ht="11.25" customHeight="1" x14ac:dyDescent="0.25">
      <c r="A2440" s="22" t="s">
        <v>2477</v>
      </c>
      <c r="B2440" s="20">
        <f ca="1">INDIRECT(ADDRESS(MATCH(A2440,Raw!$A:$A,0),2,1,1,"Raw"))</f>
        <v>0</v>
      </c>
      <c r="C2440" s="20">
        <f>INDEX(Raw!$C:$C,MATCH(A2440,Raw!$A:$A,0))</f>
        <v>0</v>
      </c>
      <c r="D2440" s="21"/>
    </row>
    <row r="2441" spans="1:4" ht="11.25" customHeight="1" x14ac:dyDescent="0.25">
      <c r="A2441" s="22" t="s">
        <v>2478</v>
      </c>
      <c r="B2441" s="20">
        <f ca="1">INDIRECT(ADDRESS(MATCH(A2441,Raw!$A:$A,0),2,1,1,"Raw"))</f>
        <v>0</v>
      </c>
      <c r="C2441" s="20">
        <f>INDEX(Raw!$C:$C,MATCH(A2441,Raw!$A:$A,0))</f>
        <v>0</v>
      </c>
      <c r="D2441" s="21"/>
    </row>
    <row r="2442" spans="1:4" ht="11.25" customHeight="1" x14ac:dyDescent="0.25">
      <c r="A2442" s="22" t="s">
        <v>2479</v>
      </c>
      <c r="B2442" s="20">
        <f ca="1">INDIRECT(ADDRESS(MATCH(A2442,Raw!$A:$A,0),2,1,1,"Raw"))</f>
        <v>0</v>
      </c>
      <c r="C2442" s="20">
        <f>INDEX(Raw!$C:$C,MATCH(A2442,Raw!$A:$A,0))</f>
        <v>0</v>
      </c>
      <c r="D2442" s="21"/>
    </row>
    <row r="2443" spans="1:4" ht="11.25" customHeight="1" x14ac:dyDescent="0.25">
      <c r="A2443" s="22" t="s">
        <v>2480</v>
      </c>
      <c r="B2443" s="20">
        <f ca="1">INDIRECT(ADDRESS(MATCH(A2443,Raw!$A:$A,0),2,1,1,"Raw"))</f>
        <v>0</v>
      </c>
      <c r="C2443" s="20">
        <f>INDEX(Raw!$C:$C,MATCH(A2443,Raw!$A:$A,0))</f>
        <v>0</v>
      </c>
      <c r="D2443" s="21"/>
    </row>
    <row r="2444" spans="1:4" ht="11.25" customHeight="1" x14ac:dyDescent="0.25">
      <c r="A2444" s="22" t="s">
        <v>2481</v>
      </c>
      <c r="B2444" s="20">
        <f ca="1">INDIRECT(ADDRESS(MATCH(A2444,Raw!$A:$A,0),2,1,1,"Raw"))</f>
        <v>0</v>
      </c>
      <c r="C2444" s="20">
        <f>INDEX(Raw!$C:$C,MATCH(A2444,Raw!$A:$A,0))</f>
        <v>0</v>
      </c>
      <c r="D2444" s="21"/>
    </row>
    <row r="2445" spans="1:4" ht="11.25" customHeight="1" x14ac:dyDescent="0.25">
      <c r="A2445" s="22" t="s">
        <v>2482</v>
      </c>
      <c r="B2445" s="20">
        <f ca="1">INDIRECT(ADDRESS(MATCH(A2445,Raw!$A:$A,0),2,1,1,"Raw"))</f>
        <v>0</v>
      </c>
      <c r="C2445" s="20">
        <f>INDEX(Raw!$C:$C,MATCH(A2445,Raw!$A:$A,0))</f>
        <v>0</v>
      </c>
      <c r="D2445" s="21"/>
    </row>
    <row r="2446" spans="1:4" ht="11.25" customHeight="1" x14ac:dyDescent="0.25">
      <c r="A2446" s="22" t="s">
        <v>2483</v>
      </c>
      <c r="B2446" s="20">
        <f ca="1">INDIRECT(ADDRESS(MATCH(A2446,Raw!$A:$A,0),2,1,1,"Raw"))</f>
        <v>0</v>
      </c>
      <c r="C2446" s="20">
        <f>INDEX(Raw!$C:$C,MATCH(A2446,Raw!$A:$A,0))</f>
        <v>0</v>
      </c>
      <c r="D2446" s="21"/>
    </row>
    <row r="2447" spans="1:4" ht="11.25" customHeight="1" x14ac:dyDescent="0.25">
      <c r="A2447" s="22" t="s">
        <v>2484</v>
      </c>
      <c r="B2447" s="20">
        <f ca="1">INDIRECT(ADDRESS(MATCH(A2447,Raw!$A:$A,0),2,1,1,"Raw"))</f>
        <v>0</v>
      </c>
      <c r="C2447" s="20">
        <f>INDEX(Raw!$C:$C,MATCH(A2447,Raw!$A:$A,0))</f>
        <v>0</v>
      </c>
      <c r="D2447" s="21"/>
    </row>
    <row r="2448" spans="1:4" ht="11.25" customHeight="1" x14ac:dyDescent="0.25">
      <c r="A2448" s="22" t="s">
        <v>2485</v>
      </c>
      <c r="B2448" s="20">
        <f ca="1">INDIRECT(ADDRESS(MATCH(A2448,Raw!$A:$A,0),2,1,1,"Raw"))</f>
        <v>0</v>
      </c>
      <c r="C2448" s="20">
        <f>INDEX(Raw!$C:$C,MATCH(A2448,Raw!$A:$A,0))</f>
        <v>0</v>
      </c>
      <c r="D2448" s="21"/>
    </row>
    <row r="2449" spans="1:4" ht="11.25" customHeight="1" x14ac:dyDescent="0.25">
      <c r="A2449" s="22" t="s">
        <v>2486</v>
      </c>
      <c r="B2449" s="20">
        <f ca="1">INDIRECT(ADDRESS(MATCH(A2449,Raw!$A:$A,0),2,1,1,"Raw"))</f>
        <v>0</v>
      </c>
      <c r="C2449" s="20">
        <f>INDEX(Raw!$C:$C,MATCH(A2449,Raw!$A:$A,0))</f>
        <v>0</v>
      </c>
      <c r="D2449" s="21"/>
    </row>
    <row r="2450" spans="1:4" ht="11.25" customHeight="1" x14ac:dyDescent="0.25">
      <c r="A2450" s="22" t="s">
        <v>2487</v>
      </c>
      <c r="B2450" s="20">
        <f ca="1">INDIRECT(ADDRESS(MATCH(A2450,Raw!$A:$A,0),2,1,1,"Raw"))</f>
        <v>0</v>
      </c>
      <c r="C2450" s="20">
        <f>INDEX(Raw!$C:$C,MATCH(A2450,Raw!$A:$A,0))</f>
        <v>0</v>
      </c>
      <c r="D2450" s="21"/>
    </row>
    <row r="2451" spans="1:4" ht="11.25" customHeight="1" x14ac:dyDescent="0.25">
      <c r="A2451" s="22" t="s">
        <v>2488</v>
      </c>
      <c r="B2451" s="20">
        <f ca="1">INDIRECT(ADDRESS(MATCH(A2451,Raw!$A:$A,0),2,1,1,"Raw"))</f>
        <v>0</v>
      </c>
      <c r="C2451" s="20">
        <f>INDEX(Raw!$C:$C,MATCH(A2451,Raw!$A:$A,0))</f>
        <v>0</v>
      </c>
      <c r="D2451" s="21"/>
    </row>
    <row r="2452" spans="1:4" ht="11.25" customHeight="1" x14ac:dyDescent="0.25">
      <c r="A2452" s="22" t="s">
        <v>2489</v>
      </c>
      <c r="B2452" s="20">
        <f ca="1">INDIRECT(ADDRESS(MATCH(A2452,Raw!$A:$A,0),2,1,1,"Raw"))</f>
        <v>0</v>
      </c>
      <c r="C2452" s="20">
        <f>INDEX(Raw!$C:$C,MATCH(A2452,Raw!$A:$A,0))</f>
        <v>0</v>
      </c>
      <c r="D2452" s="21"/>
    </row>
    <row r="2453" spans="1:4" ht="11.25" customHeight="1" x14ac:dyDescent="0.25">
      <c r="A2453" s="22" t="s">
        <v>2490</v>
      </c>
      <c r="B2453" s="20">
        <f ca="1">INDIRECT(ADDRESS(MATCH(A2453,Raw!$A:$A,0),2,1,1,"Raw"))</f>
        <v>0</v>
      </c>
      <c r="C2453" s="20">
        <f>INDEX(Raw!$C:$C,MATCH(A2453,Raw!$A:$A,0))</f>
        <v>0</v>
      </c>
      <c r="D2453" s="21"/>
    </row>
    <row r="2454" spans="1:4" ht="11.25" customHeight="1" x14ac:dyDescent="0.25">
      <c r="A2454" s="22" t="s">
        <v>2491</v>
      </c>
      <c r="B2454" s="20">
        <f ca="1">INDIRECT(ADDRESS(MATCH(A2454,Raw!$A:$A,0),2,1,1,"Raw"))</f>
        <v>0</v>
      </c>
      <c r="C2454" s="20">
        <f>INDEX(Raw!$C:$C,MATCH(A2454,Raw!$A:$A,0))</f>
        <v>0</v>
      </c>
      <c r="D2454" s="21"/>
    </row>
    <row r="2455" spans="1:4" ht="11.25" customHeight="1" x14ac:dyDescent="0.25">
      <c r="A2455" s="22" t="s">
        <v>2492</v>
      </c>
      <c r="B2455" s="20">
        <f ca="1">INDIRECT(ADDRESS(MATCH(A2455,Raw!$A:$A,0),2,1,1,"Raw"))</f>
        <v>0</v>
      </c>
      <c r="C2455" s="20">
        <f>INDEX(Raw!$C:$C,MATCH(A2455,Raw!$A:$A,0))</f>
        <v>0</v>
      </c>
      <c r="D2455" s="21"/>
    </row>
    <row r="2456" spans="1:4" ht="11.25" customHeight="1" x14ac:dyDescent="0.25">
      <c r="A2456" s="22" t="s">
        <v>2493</v>
      </c>
      <c r="B2456" s="20">
        <f ca="1">INDIRECT(ADDRESS(MATCH(A2456,Raw!$A:$A,0),2,1,1,"Raw"))</f>
        <v>0</v>
      </c>
      <c r="C2456" s="20">
        <f>INDEX(Raw!$C:$C,MATCH(A2456,Raw!$A:$A,0))</f>
        <v>0</v>
      </c>
      <c r="D2456" s="21"/>
    </row>
    <row r="2457" spans="1:4" ht="11.25" customHeight="1" x14ac:dyDescent="0.25">
      <c r="A2457" s="22" t="s">
        <v>2494</v>
      </c>
      <c r="B2457" s="20">
        <f ca="1">INDIRECT(ADDRESS(MATCH(A2457,Raw!$A:$A,0),2,1,1,"Raw"))</f>
        <v>0</v>
      </c>
      <c r="C2457" s="20">
        <f>INDEX(Raw!$C:$C,MATCH(A2457,Raw!$A:$A,0))</f>
        <v>0</v>
      </c>
      <c r="D2457" s="21"/>
    </row>
    <row r="2458" spans="1:4" ht="11.25" customHeight="1" x14ac:dyDescent="0.25">
      <c r="A2458" s="22" t="s">
        <v>2495</v>
      </c>
      <c r="B2458" s="20">
        <f ca="1">INDIRECT(ADDRESS(MATCH(A2458,Raw!$A:$A,0),2,1,1,"Raw"))</f>
        <v>0</v>
      </c>
      <c r="C2458" s="20">
        <f>INDEX(Raw!$C:$C,MATCH(A2458,Raw!$A:$A,0))</f>
        <v>0</v>
      </c>
      <c r="D2458" s="21"/>
    </row>
    <row r="2459" spans="1:4" ht="11.25" customHeight="1" x14ac:dyDescent="0.25">
      <c r="A2459" s="22" t="s">
        <v>2496</v>
      </c>
      <c r="B2459" s="20">
        <f ca="1">INDIRECT(ADDRESS(MATCH(A2459,Raw!$A:$A,0),2,1,1,"Raw"))</f>
        <v>0</v>
      </c>
      <c r="C2459" s="20">
        <f>INDEX(Raw!$C:$C,MATCH(A2459,Raw!$A:$A,0))</f>
        <v>0</v>
      </c>
      <c r="D2459" s="21"/>
    </row>
    <row r="2460" spans="1:4" ht="11.25" customHeight="1" x14ac:dyDescent="0.25">
      <c r="A2460" s="22" t="s">
        <v>2497</v>
      </c>
      <c r="B2460" s="20">
        <f ca="1">INDIRECT(ADDRESS(MATCH(A2460,Raw!$A:$A,0),2,1,1,"Raw"))</f>
        <v>0</v>
      </c>
      <c r="C2460" s="20">
        <f>INDEX(Raw!$C:$C,MATCH(A2460,Raw!$A:$A,0))</f>
        <v>0</v>
      </c>
      <c r="D2460" s="21"/>
    </row>
    <row r="2461" spans="1:4" ht="11.25" customHeight="1" x14ac:dyDescent="0.25">
      <c r="A2461" s="22" t="s">
        <v>2498</v>
      </c>
      <c r="B2461" s="20">
        <f ca="1">INDIRECT(ADDRESS(MATCH(A2461,Raw!$A:$A,0),2,1,1,"Raw"))</f>
        <v>0</v>
      </c>
      <c r="C2461" s="20">
        <f>INDEX(Raw!$C:$C,MATCH(A2461,Raw!$A:$A,0))</f>
        <v>0</v>
      </c>
      <c r="D2461" s="21"/>
    </row>
    <row r="2462" spans="1:4" ht="11.25" customHeight="1" x14ac:dyDescent="0.25">
      <c r="A2462" s="22" t="s">
        <v>2499</v>
      </c>
      <c r="B2462" s="20">
        <f ca="1">INDIRECT(ADDRESS(MATCH(A2462,Raw!$A:$A,0),2,1,1,"Raw"))</f>
        <v>0</v>
      </c>
      <c r="C2462" s="20">
        <f>INDEX(Raw!$C:$C,MATCH(A2462,Raw!$A:$A,0))</f>
        <v>0</v>
      </c>
      <c r="D2462" s="21"/>
    </row>
    <row r="2463" spans="1:4" ht="11.25" customHeight="1" x14ac:dyDescent="0.25">
      <c r="A2463" s="22" t="s">
        <v>2500</v>
      </c>
      <c r="B2463" s="20">
        <f ca="1">INDIRECT(ADDRESS(MATCH(A2463,Raw!$A:$A,0),2,1,1,"Raw"))</f>
        <v>0</v>
      </c>
      <c r="C2463" s="20">
        <f>INDEX(Raw!$C:$C,MATCH(A2463,Raw!$A:$A,0))</f>
        <v>0</v>
      </c>
      <c r="D2463" s="21"/>
    </row>
    <row r="2464" spans="1:4" ht="11.25" customHeight="1" x14ac:dyDescent="0.25">
      <c r="A2464" s="22" t="s">
        <v>2501</v>
      </c>
      <c r="B2464" s="20">
        <f ca="1">INDIRECT(ADDRESS(MATCH(A2464,Raw!$A:$A,0),2,1,1,"Raw"))</f>
        <v>0</v>
      </c>
      <c r="C2464" s="20">
        <f>INDEX(Raw!$C:$C,MATCH(A2464,Raw!$A:$A,0))</f>
        <v>0</v>
      </c>
      <c r="D2464" s="21"/>
    </row>
    <row r="2465" spans="1:4" ht="11.25" customHeight="1" x14ac:dyDescent="0.25">
      <c r="A2465" s="22" t="s">
        <v>2502</v>
      </c>
      <c r="B2465" s="20">
        <f ca="1">INDIRECT(ADDRESS(MATCH(A2465,Raw!$A:$A,0),2,1,1,"Raw"))</f>
        <v>0</v>
      </c>
      <c r="C2465" s="20">
        <f>INDEX(Raw!$C:$C,MATCH(A2465,Raw!$A:$A,0))</f>
        <v>0</v>
      </c>
      <c r="D2465" s="21"/>
    </row>
    <row r="2466" spans="1:4" ht="11.25" customHeight="1" x14ac:dyDescent="0.25">
      <c r="A2466" s="22" t="s">
        <v>2503</v>
      </c>
      <c r="B2466" s="20">
        <f ca="1">INDIRECT(ADDRESS(MATCH(A2466,Raw!$A:$A,0),2,1,1,"Raw"))</f>
        <v>0</v>
      </c>
      <c r="C2466" s="20">
        <f>INDEX(Raw!$C:$C,MATCH(A2466,Raw!$A:$A,0))</f>
        <v>0</v>
      </c>
      <c r="D2466" s="21"/>
    </row>
    <row r="2467" spans="1:4" ht="11.25" customHeight="1" x14ac:dyDescent="0.25">
      <c r="A2467" s="22" t="s">
        <v>2504</v>
      </c>
      <c r="B2467" s="20">
        <f ca="1">INDIRECT(ADDRESS(MATCH(A2467,Raw!$A:$A,0),2,1,1,"Raw"))</f>
        <v>0</v>
      </c>
      <c r="C2467" s="20">
        <f>INDEX(Raw!$C:$C,MATCH(A2467,Raw!$A:$A,0))</f>
        <v>0</v>
      </c>
      <c r="D2467" s="21"/>
    </row>
    <row r="2468" spans="1:4" ht="11.25" customHeight="1" x14ac:dyDescent="0.25">
      <c r="A2468" s="22" t="s">
        <v>2505</v>
      </c>
      <c r="B2468" s="20">
        <f ca="1">INDIRECT(ADDRESS(MATCH(A2468,Raw!$A:$A,0),2,1,1,"Raw"))</f>
        <v>0</v>
      </c>
      <c r="C2468" s="20">
        <f>INDEX(Raw!$C:$C,MATCH(A2468,Raw!$A:$A,0))</f>
        <v>0</v>
      </c>
      <c r="D2468" s="21"/>
    </row>
    <row r="2469" spans="1:4" ht="11.25" customHeight="1" x14ac:dyDescent="0.25">
      <c r="A2469" s="22" t="s">
        <v>2506</v>
      </c>
      <c r="B2469" s="20">
        <f ca="1">INDIRECT(ADDRESS(MATCH(A2469,Raw!$A:$A,0),2,1,1,"Raw"))</f>
        <v>0</v>
      </c>
      <c r="C2469" s="20">
        <f>INDEX(Raw!$C:$C,MATCH(A2469,Raw!$A:$A,0))</f>
        <v>0</v>
      </c>
      <c r="D2469" s="21"/>
    </row>
    <row r="2470" spans="1:4" ht="11.25" customHeight="1" x14ac:dyDescent="0.25">
      <c r="A2470" s="22" t="s">
        <v>2507</v>
      </c>
      <c r="B2470" s="20">
        <f ca="1">INDIRECT(ADDRESS(MATCH(A2470,Raw!$A:$A,0),2,1,1,"Raw"))</f>
        <v>0</v>
      </c>
      <c r="C2470" s="20">
        <f>INDEX(Raw!$C:$C,MATCH(A2470,Raw!$A:$A,0))</f>
        <v>0</v>
      </c>
      <c r="D2470" s="21"/>
    </row>
    <row r="2471" spans="1:4" ht="11.25" customHeight="1" x14ac:dyDescent="0.25">
      <c r="A2471" s="22" t="s">
        <v>2508</v>
      </c>
      <c r="B2471" s="20">
        <f ca="1">INDIRECT(ADDRESS(MATCH(A2471,Raw!$A:$A,0),2,1,1,"Raw"))</f>
        <v>0</v>
      </c>
      <c r="C2471" s="20">
        <f>INDEX(Raw!$C:$C,MATCH(A2471,Raw!$A:$A,0))</f>
        <v>0</v>
      </c>
      <c r="D2471" s="21"/>
    </row>
    <row r="2472" spans="1:4" ht="11.25" customHeight="1" x14ac:dyDescent="0.25">
      <c r="A2472" s="22" t="s">
        <v>2509</v>
      </c>
      <c r="B2472" s="20">
        <f ca="1">INDIRECT(ADDRESS(MATCH(A2472,Raw!$A:$A,0),2,1,1,"Raw"))</f>
        <v>0</v>
      </c>
      <c r="C2472" s="20">
        <f>INDEX(Raw!$C:$C,MATCH(A2472,Raw!$A:$A,0))</f>
        <v>0</v>
      </c>
      <c r="D2472" s="21"/>
    </row>
    <row r="2473" spans="1:4" ht="11.25" customHeight="1" x14ac:dyDescent="0.25">
      <c r="A2473" s="22" t="s">
        <v>2510</v>
      </c>
      <c r="B2473" s="20">
        <f ca="1">INDIRECT(ADDRESS(MATCH(A2473,Raw!$A:$A,0),2,1,1,"Raw"))</f>
        <v>0</v>
      </c>
      <c r="C2473" s="20">
        <f>INDEX(Raw!$C:$C,MATCH(A2473,Raw!$A:$A,0))</f>
        <v>0</v>
      </c>
      <c r="D2473" s="21"/>
    </row>
    <row r="2474" spans="1:4" ht="11.25" customHeight="1" x14ac:dyDescent="0.25">
      <c r="A2474" s="22" t="s">
        <v>2511</v>
      </c>
      <c r="B2474" s="20">
        <f ca="1">INDIRECT(ADDRESS(MATCH(A2474,Raw!$A:$A,0),2,1,1,"Raw"))</f>
        <v>0</v>
      </c>
      <c r="C2474" s="20">
        <f>INDEX(Raw!$C:$C,MATCH(A2474,Raw!$A:$A,0))</f>
        <v>0</v>
      </c>
      <c r="D2474" s="21"/>
    </row>
    <row r="2475" spans="1:4" ht="11.25" customHeight="1" x14ac:dyDescent="0.25">
      <c r="A2475" s="22" t="s">
        <v>2512</v>
      </c>
      <c r="B2475" s="20">
        <f ca="1">INDIRECT(ADDRESS(MATCH(A2475,Raw!$A:$A,0),2,1,1,"Raw"))</f>
        <v>0</v>
      </c>
      <c r="C2475" s="20">
        <f>INDEX(Raw!$C:$C,MATCH(A2475,Raw!$A:$A,0))</f>
        <v>0</v>
      </c>
      <c r="D2475" s="21"/>
    </row>
    <row r="2476" spans="1:4" ht="11.25" customHeight="1" x14ac:dyDescent="0.25">
      <c r="A2476" s="22" t="s">
        <v>2513</v>
      </c>
      <c r="B2476" s="20">
        <f ca="1">INDIRECT(ADDRESS(MATCH(A2476,Raw!$A:$A,0),2,1,1,"Raw"))</f>
        <v>0</v>
      </c>
      <c r="C2476" s="20">
        <f>INDEX(Raw!$C:$C,MATCH(A2476,Raw!$A:$A,0))</f>
        <v>0</v>
      </c>
      <c r="D2476" s="21"/>
    </row>
    <row r="2477" spans="1:4" ht="11.25" customHeight="1" x14ac:dyDescent="0.25">
      <c r="A2477" s="22" t="s">
        <v>2514</v>
      </c>
      <c r="B2477" s="20">
        <f ca="1">INDIRECT(ADDRESS(MATCH(A2477,Raw!$A:$A,0),2,1,1,"Raw"))</f>
        <v>0</v>
      </c>
      <c r="C2477" s="20">
        <f>INDEX(Raw!$C:$C,MATCH(A2477,Raw!$A:$A,0))</f>
        <v>0</v>
      </c>
      <c r="D2477" s="21"/>
    </row>
    <row r="2478" spans="1:4" ht="11.25" customHeight="1" x14ac:dyDescent="0.25">
      <c r="A2478" s="22" t="s">
        <v>2515</v>
      </c>
      <c r="B2478" s="20">
        <f ca="1">INDIRECT(ADDRESS(MATCH(A2478,Raw!$A:$A,0),2,1,1,"Raw"))</f>
        <v>0</v>
      </c>
      <c r="C2478" s="20">
        <f>INDEX(Raw!$C:$C,MATCH(A2478,Raw!$A:$A,0))</f>
        <v>0</v>
      </c>
      <c r="D2478" s="21"/>
    </row>
    <row r="2479" spans="1:4" ht="11.25" customHeight="1" x14ac:dyDescent="0.25">
      <c r="A2479" s="22" t="s">
        <v>2516</v>
      </c>
      <c r="B2479" s="20">
        <f ca="1">INDIRECT(ADDRESS(MATCH(A2479,Raw!$A:$A,0),2,1,1,"Raw"))</f>
        <v>0</v>
      </c>
      <c r="C2479" s="20">
        <f>INDEX(Raw!$C:$C,MATCH(A2479,Raw!$A:$A,0))</f>
        <v>0</v>
      </c>
      <c r="D2479" s="21"/>
    </row>
    <row r="2480" spans="1:4" ht="11.25" customHeight="1" x14ac:dyDescent="0.25">
      <c r="A2480" s="22" t="s">
        <v>2517</v>
      </c>
      <c r="B2480" s="20">
        <f ca="1">INDIRECT(ADDRESS(MATCH(A2480,Raw!$A:$A,0),2,1,1,"Raw"))</f>
        <v>0</v>
      </c>
      <c r="C2480" s="20">
        <f>INDEX(Raw!$C:$C,MATCH(A2480,Raw!$A:$A,0))</f>
        <v>0</v>
      </c>
      <c r="D2480" s="21"/>
    </row>
    <row r="2481" spans="1:4" ht="11.25" customHeight="1" x14ac:dyDescent="0.25">
      <c r="A2481" s="22" t="s">
        <v>2518</v>
      </c>
      <c r="B2481" s="20">
        <f ca="1">INDIRECT(ADDRESS(MATCH(A2481,Raw!$A:$A,0),2,1,1,"Raw"))</f>
        <v>0</v>
      </c>
      <c r="C2481" s="20">
        <f>INDEX(Raw!$C:$C,MATCH(A2481,Raw!$A:$A,0))</f>
        <v>0</v>
      </c>
      <c r="D2481" s="21"/>
    </row>
    <row r="2482" spans="1:4" ht="11.25" customHeight="1" x14ac:dyDescent="0.25">
      <c r="A2482" s="22" t="s">
        <v>2519</v>
      </c>
      <c r="B2482" s="20">
        <f ca="1">INDIRECT(ADDRESS(MATCH(A2482,Raw!$A:$A,0),2,1,1,"Raw"))</f>
        <v>0</v>
      </c>
      <c r="C2482" s="20">
        <f>INDEX(Raw!$C:$C,MATCH(A2482,Raw!$A:$A,0))</f>
        <v>0</v>
      </c>
      <c r="D2482" s="21"/>
    </row>
    <row r="2483" spans="1:4" ht="11.25" customHeight="1" x14ac:dyDescent="0.25">
      <c r="A2483" s="22" t="s">
        <v>2520</v>
      </c>
      <c r="B2483" s="20">
        <f ca="1">INDIRECT(ADDRESS(MATCH(A2483,Raw!$A:$A,0),2,1,1,"Raw"))</f>
        <v>0</v>
      </c>
      <c r="C2483" s="20">
        <f>INDEX(Raw!$C:$C,MATCH(A2483,Raw!$A:$A,0))</f>
        <v>0</v>
      </c>
      <c r="D2483" s="21"/>
    </row>
    <row r="2484" spans="1:4" ht="11.25" customHeight="1" x14ac:dyDescent="0.25">
      <c r="A2484" s="22" t="s">
        <v>2521</v>
      </c>
      <c r="B2484" s="20">
        <f ca="1">INDIRECT(ADDRESS(MATCH(A2484,Raw!$A:$A,0),2,1,1,"Raw"))</f>
        <v>0</v>
      </c>
      <c r="C2484" s="20">
        <f>INDEX(Raw!$C:$C,MATCH(A2484,Raw!$A:$A,0))</f>
        <v>0</v>
      </c>
      <c r="D2484" s="21"/>
    </row>
    <row r="2485" spans="1:4" ht="11.25" customHeight="1" x14ac:dyDescent="0.25">
      <c r="A2485" s="22" t="s">
        <v>2522</v>
      </c>
      <c r="B2485" s="20">
        <f ca="1">INDIRECT(ADDRESS(MATCH(A2485,Raw!$A:$A,0),2,1,1,"Raw"))</f>
        <v>0</v>
      </c>
      <c r="C2485" s="20">
        <f>INDEX(Raw!$C:$C,MATCH(A2485,Raw!$A:$A,0))</f>
        <v>0</v>
      </c>
      <c r="D2485" s="21"/>
    </row>
    <row r="2486" spans="1:4" ht="11.25" customHeight="1" x14ac:dyDescent="0.25">
      <c r="A2486" s="22" t="s">
        <v>2523</v>
      </c>
      <c r="B2486" s="20">
        <f ca="1">INDIRECT(ADDRESS(MATCH(A2486,Raw!$A:$A,0),2,1,1,"Raw"))</f>
        <v>0</v>
      </c>
      <c r="C2486" s="20">
        <f>INDEX(Raw!$C:$C,MATCH(A2486,Raw!$A:$A,0))</f>
        <v>0</v>
      </c>
      <c r="D2486" s="21"/>
    </row>
    <row r="2487" spans="1:4" ht="11.25" customHeight="1" x14ac:dyDescent="0.25">
      <c r="A2487" s="22" t="s">
        <v>2524</v>
      </c>
      <c r="B2487" s="20">
        <f ca="1">INDIRECT(ADDRESS(MATCH(A2487,Raw!$A:$A,0),2,1,1,"Raw"))</f>
        <v>0</v>
      </c>
      <c r="C2487" s="20">
        <f>INDEX(Raw!$C:$C,MATCH(A2487,Raw!$A:$A,0))</f>
        <v>0</v>
      </c>
      <c r="D2487" s="21"/>
    </row>
    <row r="2488" spans="1:4" ht="11.25" customHeight="1" x14ac:dyDescent="0.25">
      <c r="A2488" s="22" t="s">
        <v>2525</v>
      </c>
      <c r="B2488" s="20">
        <f ca="1">INDIRECT(ADDRESS(MATCH(A2488,Raw!$A:$A,0),2,1,1,"Raw"))</f>
        <v>0</v>
      </c>
      <c r="C2488" s="20">
        <f>INDEX(Raw!$C:$C,MATCH(A2488,Raw!$A:$A,0))</f>
        <v>0</v>
      </c>
      <c r="D2488" s="21"/>
    </row>
    <row r="2489" spans="1:4" ht="11.25" customHeight="1" x14ac:dyDescent="0.25">
      <c r="A2489" s="22" t="s">
        <v>2526</v>
      </c>
      <c r="B2489" s="20">
        <f ca="1">INDIRECT(ADDRESS(MATCH(A2489,Raw!$A:$A,0),2,1,1,"Raw"))</f>
        <v>0</v>
      </c>
      <c r="C2489" s="20">
        <f>INDEX(Raw!$C:$C,MATCH(A2489,Raw!$A:$A,0))</f>
        <v>0</v>
      </c>
      <c r="D2489" s="21"/>
    </row>
    <row r="2490" spans="1:4" ht="11.25" customHeight="1" x14ac:dyDescent="0.25">
      <c r="A2490" s="22" t="s">
        <v>2527</v>
      </c>
      <c r="B2490" s="20">
        <f ca="1">INDIRECT(ADDRESS(MATCH(A2490,Raw!$A:$A,0),2,1,1,"Raw"))</f>
        <v>0</v>
      </c>
      <c r="C2490" s="20">
        <f>INDEX(Raw!$C:$C,MATCH(A2490,Raw!$A:$A,0))</f>
        <v>0</v>
      </c>
      <c r="D2490" s="21"/>
    </row>
    <row r="2491" spans="1:4" ht="11.25" customHeight="1" x14ac:dyDescent="0.25">
      <c r="A2491" s="22" t="s">
        <v>2528</v>
      </c>
      <c r="B2491" s="20">
        <f ca="1">INDIRECT(ADDRESS(MATCH(A2491,Raw!$A:$A,0),2,1,1,"Raw"))</f>
        <v>0</v>
      </c>
      <c r="C2491" s="20">
        <f>INDEX(Raw!$C:$C,MATCH(A2491,Raw!$A:$A,0))</f>
        <v>0</v>
      </c>
      <c r="D2491" s="21"/>
    </row>
    <row r="2492" spans="1:4" ht="11.25" customHeight="1" x14ac:dyDescent="0.25">
      <c r="A2492" s="22" t="s">
        <v>2529</v>
      </c>
      <c r="B2492" s="20">
        <f ca="1">INDIRECT(ADDRESS(MATCH(A2492,Raw!$A:$A,0),2,1,1,"Raw"))</f>
        <v>0</v>
      </c>
      <c r="C2492" s="20">
        <f>INDEX(Raw!$C:$C,MATCH(A2492,Raw!$A:$A,0))</f>
        <v>0</v>
      </c>
      <c r="D2492" s="21"/>
    </row>
    <row r="2493" spans="1:4" ht="11.25" customHeight="1" x14ac:dyDescent="0.25">
      <c r="A2493" s="22" t="s">
        <v>2530</v>
      </c>
      <c r="B2493" s="20">
        <f ca="1">INDIRECT(ADDRESS(MATCH(A2493,Raw!$A:$A,0),2,1,1,"Raw"))</f>
        <v>0</v>
      </c>
      <c r="C2493" s="20">
        <f>INDEX(Raw!$C:$C,MATCH(A2493,Raw!$A:$A,0))</f>
        <v>0</v>
      </c>
      <c r="D2493" s="21"/>
    </row>
    <row r="2494" spans="1:4" ht="11.25" customHeight="1" x14ac:dyDescent="0.25">
      <c r="A2494" s="22" t="s">
        <v>2531</v>
      </c>
      <c r="B2494" s="20">
        <f ca="1">INDIRECT(ADDRESS(MATCH(A2494,Raw!$A:$A,0),2,1,1,"Raw"))</f>
        <v>0</v>
      </c>
      <c r="C2494" s="20">
        <f>INDEX(Raw!$C:$C,MATCH(A2494,Raw!$A:$A,0))</f>
        <v>0</v>
      </c>
      <c r="D2494" s="21"/>
    </row>
    <row r="2495" spans="1:4" ht="11.25" customHeight="1" x14ac:dyDescent="0.25">
      <c r="A2495" s="22" t="s">
        <v>2532</v>
      </c>
      <c r="B2495" s="20">
        <f ca="1">INDIRECT(ADDRESS(MATCH(A2495,Raw!$A:$A,0),2,1,1,"Raw"))</f>
        <v>0</v>
      </c>
      <c r="C2495" s="20">
        <f>INDEX(Raw!$C:$C,MATCH(A2495,Raw!$A:$A,0))</f>
        <v>0</v>
      </c>
      <c r="D2495" s="21"/>
    </row>
    <row r="2496" spans="1:4" ht="11.25" customHeight="1" x14ac:dyDescent="0.25">
      <c r="A2496" s="22" t="s">
        <v>2533</v>
      </c>
      <c r="B2496" s="20">
        <f ca="1">INDIRECT(ADDRESS(MATCH(A2496,Raw!$A:$A,0),2,1,1,"Raw"))</f>
        <v>0</v>
      </c>
      <c r="C2496" s="20">
        <f>INDEX(Raw!$C:$C,MATCH(A2496,Raw!$A:$A,0))</f>
        <v>0</v>
      </c>
      <c r="D2496" s="21"/>
    </row>
    <row r="2497" spans="1:4" ht="11.25" customHeight="1" x14ac:dyDescent="0.25">
      <c r="A2497" s="22" t="s">
        <v>2534</v>
      </c>
      <c r="B2497" s="20">
        <f ca="1">INDIRECT(ADDRESS(MATCH(A2497,Raw!$A:$A,0),2,1,1,"Raw"))</f>
        <v>0</v>
      </c>
      <c r="C2497" s="20">
        <f>INDEX(Raw!$C:$C,MATCH(A2497,Raw!$A:$A,0))</f>
        <v>0</v>
      </c>
      <c r="D2497" s="21"/>
    </row>
    <row r="2498" spans="1:4" ht="11.25" customHeight="1" x14ac:dyDescent="0.25">
      <c r="A2498" s="22" t="s">
        <v>2535</v>
      </c>
      <c r="B2498" s="20">
        <f ca="1">INDIRECT(ADDRESS(MATCH(A2498,Raw!$A:$A,0),2,1,1,"Raw"))</f>
        <v>0</v>
      </c>
      <c r="C2498" s="20">
        <f>INDEX(Raw!$C:$C,MATCH(A2498,Raw!$A:$A,0))</f>
        <v>0</v>
      </c>
      <c r="D2498" s="21"/>
    </row>
    <row r="2499" spans="1:4" ht="11.25" customHeight="1" x14ac:dyDescent="0.25">
      <c r="A2499" s="22" t="s">
        <v>2536</v>
      </c>
      <c r="B2499" s="20">
        <f ca="1">INDIRECT(ADDRESS(MATCH(A2499,Raw!$A:$A,0),2,1,1,"Raw"))</f>
        <v>0</v>
      </c>
      <c r="C2499" s="20">
        <f>INDEX(Raw!$C:$C,MATCH(A2499,Raw!$A:$A,0))</f>
        <v>0</v>
      </c>
      <c r="D2499" s="21"/>
    </row>
    <row r="2500" spans="1:4" ht="11.25" customHeight="1" x14ac:dyDescent="0.25">
      <c r="A2500" s="22" t="s">
        <v>2537</v>
      </c>
      <c r="B2500" s="20">
        <f ca="1">INDIRECT(ADDRESS(MATCH(A2500,Raw!$A:$A,0),2,1,1,"Raw"))</f>
        <v>0</v>
      </c>
      <c r="C2500" s="20">
        <f>INDEX(Raw!$C:$C,MATCH(A2500,Raw!$A:$A,0))</f>
        <v>0</v>
      </c>
      <c r="D2500" s="21"/>
    </row>
    <row r="2501" spans="1:4" ht="11.25" customHeight="1" x14ac:dyDescent="0.25">
      <c r="A2501" s="22" t="s">
        <v>2538</v>
      </c>
      <c r="B2501" s="20">
        <f ca="1">INDIRECT(ADDRESS(MATCH(A2501,Raw!$A:$A,0),2,1,1,"Raw"))</f>
        <v>0</v>
      </c>
      <c r="C2501" s="20">
        <f>INDEX(Raw!$C:$C,MATCH(A2501,Raw!$A:$A,0))</f>
        <v>0</v>
      </c>
      <c r="D2501" s="21"/>
    </row>
    <row r="2502" spans="1:4" ht="11.25" customHeight="1" x14ac:dyDescent="0.25">
      <c r="A2502" s="22" t="s">
        <v>2539</v>
      </c>
      <c r="B2502" s="20">
        <f ca="1">INDIRECT(ADDRESS(MATCH(A2502,Raw!$A:$A,0),2,1,1,"Raw"))</f>
        <v>0</v>
      </c>
      <c r="C2502" s="20">
        <f>INDEX(Raw!$C:$C,MATCH(A2502,Raw!$A:$A,0))</f>
        <v>0</v>
      </c>
      <c r="D2502" s="21"/>
    </row>
    <row r="2503" spans="1:4" ht="11.25" customHeight="1" x14ac:dyDescent="0.25">
      <c r="A2503" s="22" t="s">
        <v>2540</v>
      </c>
      <c r="B2503" s="20">
        <f ca="1">INDIRECT(ADDRESS(MATCH(A2503,Raw!$A:$A,0),2,1,1,"Raw"))</f>
        <v>0</v>
      </c>
      <c r="C2503" s="20">
        <f>INDEX(Raw!$C:$C,MATCH(A2503,Raw!$A:$A,0))</f>
        <v>0</v>
      </c>
      <c r="D2503" s="21"/>
    </row>
    <row r="2504" spans="1:4" ht="11.25" customHeight="1" x14ac:dyDescent="0.25">
      <c r="A2504" s="22" t="s">
        <v>2541</v>
      </c>
      <c r="B2504" s="20">
        <f ca="1">INDIRECT(ADDRESS(MATCH(A2504,Raw!$A:$A,0),2,1,1,"Raw"))</f>
        <v>0</v>
      </c>
      <c r="C2504" s="20">
        <f>INDEX(Raw!$C:$C,MATCH(A2504,Raw!$A:$A,0))</f>
        <v>0</v>
      </c>
      <c r="D2504" s="21"/>
    </row>
    <row r="2505" spans="1:4" ht="11.25" customHeight="1" x14ac:dyDescent="0.25">
      <c r="A2505" s="22" t="s">
        <v>2542</v>
      </c>
      <c r="B2505" s="20">
        <f ca="1">INDIRECT(ADDRESS(MATCH(A2505,Raw!$A:$A,0),2,1,1,"Raw"))</f>
        <v>0</v>
      </c>
      <c r="C2505" s="20">
        <f>INDEX(Raw!$C:$C,MATCH(A2505,Raw!$A:$A,0))</f>
        <v>0</v>
      </c>
      <c r="D2505" s="21"/>
    </row>
    <row r="2506" spans="1:4" ht="11.25" customHeight="1" x14ac:dyDescent="0.25">
      <c r="A2506" s="22" t="s">
        <v>2543</v>
      </c>
      <c r="B2506" s="20">
        <f ca="1">INDIRECT(ADDRESS(MATCH(A2506,Raw!$A:$A,0),2,1,1,"Raw"))</f>
        <v>0</v>
      </c>
      <c r="C2506" s="20">
        <f>INDEX(Raw!$C:$C,MATCH(A2506,Raw!$A:$A,0))</f>
        <v>0</v>
      </c>
      <c r="D2506" s="21"/>
    </row>
    <row r="2507" spans="1:4" ht="11.25" customHeight="1" x14ac:dyDescent="0.25">
      <c r="A2507" s="22" t="s">
        <v>2544</v>
      </c>
      <c r="B2507" s="20">
        <f ca="1">INDIRECT(ADDRESS(MATCH(A2507,Raw!$A:$A,0),2,1,1,"Raw"))</f>
        <v>0</v>
      </c>
      <c r="C2507" s="20">
        <f>INDEX(Raw!$C:$C,MATCH(A2507,Raw!$A:$A,0))</f>
        <v>0</v>
      </c>
      <c r="D2507" s="21"/>
    </row>
    <row r="2508" spans="1:4" ht="11.25" customHeight="1" x14ac:dyDescent="0.25">
      <c r="A2508" s="22" t="s">
        <v>2545</v>
      </c>
      <c r="B2508" s="20">
        <f ca="1">INDIRECT(ADDRESS(MATCH(A2508,Raw!$A:$A,0),2,1,1,"Raw"))</f>
        <v>0</v>
      </c>
      <c r="C2508" s="20">
        <f>INDEX(Raw!$C:$C,MATCH(A2508,Raw!$A:$A,0))</f>
        <v>0</v>
      </c>
      <c r="D2508" s="21"/>
    </row>
    <row r="2509" spans="1:4" ht="11.25" customHeight="1" x14ac:dyDescent="0.25">
      <c r="A2509" s="22" t="s">
        <v>2546</v>
      </c>
      <c r="B2509" s="20">
        <f ca="1">INDIRECT(ADDRESS(MATCH(A2509,Raw!$A:$A,0),2,1,1,"Raw"))</f>
        <v>0</v>
      </c>
      <c r="C2509" s="20">
        <f>INDEX(Raw!$C:$C,MATCH(A2509,Raw!$A:$A,0))</f>
        <v>0</v>
      </c>
      <c r="D2509" s="21"/>
    </row>
    <row r="2510" spans="1:4" ht="11.25" customHeight="1" x14ac:dyDescent="0.25">
      <c r="A2510" s="22" t="s">
        <v>2547</v>
      </c>
      <c r="B2510" s="20">
        <f ca="1">INDIRECT(ADDRESS(MATCH(A2510,Raw!$A:$A,0),2,1,1,"Raw"))</f>
        <v>0</v>
      </c>
      <c r="C2510" s="20">
        <f>INDEX(Raw!$C:$C,MATCH(A2510,Raw!$A:$A,0))</f>
        <v>0</v>
      </c>
      <c r="D2510" s="21"/>
    </row>
    <row r="2511" spans="1:4" ht="11.25" customHeight="1" x14ac:dyDescent="0.25">
      <c r="A2511" s="22" t="s">
        <v>2548</v>
      </c>
      <c r="B2511" s="20">
        <f ca="1">INDIRECT(ADDRESS(MATCH(A2511,Raw!$A:$A,0),2,1,1,"Raw"))</f>
        <v>0</v>
      </c>
      <c r="C2511" s="20">
        <f>INDEX(Raw!$C:$C,MATCH(A2511,Raw!$A:$A,0))</f>
        <v>0</v>
      </c>
      <c r="D2511" s="21"/>
    </row>
    <row r="2512" spans="1:4" ht="11.25" customHeight="1" x14ac:dyDescent="0.25">
      <c r="A2512" s="22" t="s">
        <v>2549</v>
      </c>
      <c r="B2512" s="20">
        <f ca="1">INDIRECT(ADDRESS(MATCH(A2512,Raw!$A:$A,0),2,1,1,"Raw"))</f>
        <v>0</v>
      </c>
      <c r="C2512" s="20">
        <f>INDEX(Raw!$C:$C,MATCH(A2512,Raw!$A:$A,0))</f>
        <v>0</v>
      </c>
      <c r="D2512" s="21"/>
    </row>
    <row r="2513" spans="1:4" ht="11.25" customHeight="1" x14ac:dyDescent="0.25">
      <c r="A2513" s="22" t="s">
        <v>2550</v>
      </c>
      <c r="B2513" s="20">
        <f ca="1">INDIRECT(ADDRESS(MATCH(A2513,Raw!$A:$A,0),2,1,1,"Raw"))</f>
        <v>0</v>
      </c>
      <c r="C2513" s="20">
        <f>INDEX(Raw!$C:$C,MATCH(A2513,Raw!$A:$A,0))</f>
        <v>0</v>
      </c>
      <c r="D2513" s="21"/>
    </row>
    <row r="2514" spans="1:4" ht="11.25" customHeight="1" x14ac:dyDescent="0.25">
      <c r="A2514" s="22" t="s">
        <v>2551</v>
      </c>
      <c r="B2514" s="20">
        <f ca="1">INDIRECT(ADDRESS(MATCH(A2514,Raw!$A:$A,0),2,1,1,"Raw"))</f>
        <v>0</v>
      </c>
      <c r="C2514" s="20">
        <f>INDEX(Raw!$C:$C,MATCH(A2514,Raw!$A:$A,0))</f>
        <v>0</v>
      </c>
      <c r="D2514" s="21"/>
    </row>
    <row r="2515" spans="1:4" ht="11.25" customHeight="1" x14ac:dyDescent="0.25">
      <c r="A2515" s="22" t="s">
        <v>2552</v>
      </c>
      <c r="B2515" s="20">
        <f ca="1">INDIRECT(ADDRESS(MATCH(A2515,Raw!$A:$A,0),2,1,1,"Raw"))</f>
        <v>0</v>
      </c>
      <c r="C2515" s="20">
        <f>INDEX(Raw!$C:$C,MATCH(A2515,Raw!$A:$A,0))</f>
        <v>0</v>
      </c>
      <c r="D2515" s="21"/>
    </row>
    <row r="2516" spans="1:4" ht="11.25" customHeight="1" x14ac:dyDescent="0.25">
      <c r="A2516" s="22" t="s">
        <v>2553</v>
      </c>
      <c r="B2516" s="20">
        <f ca="1">INDIRECT(ADDRESS(MATCH(A2516,Raw!$A:$A,0),2,1,1,"Raw"))</f>
        <v>0</v>
      </c>
      <c r="C2516" s="20">
        <f>INDEX(Raw!$C:$C,MATCH(A2516,Raw!$A:$A,0))</f>
        <v>0</v>
      </c>
      <c r="D2516" s="21"/>
    </row>
    <row r="2517" spans="1:4" ht="11.25" customHeight="1" x14ac:dyDescent="0.25">
      <c r="A2517" s="22" t="s">
        <v>2554</v>
      </c>
      <c r="B2517" s="20">
        <f ca="1">INDIRECT(ADDRESS(MATCH(A2517,Raw!$A:$A,0),2,1,1,"Raw"))</f>
        <v>0</v>
      </c>
      <c r="C2517" s="20">
        <f>INDEX(Raw!$C:$C,MATCH(A2517,Raw!$A:$A,0))</f>
        <v>0</v>
      </c>
      <c r="D2517" s="21"/>
    </row>
    <row r="2518" spans="1:4" ht="11.25" customHeight="1" x14ac:dyDescent="0.25">
      <c r="A2518" s="22" t="s">
        <v>2555</v>
      </c>
      <c r="B2518" s="20">
        <f ca="1">INDIRECT(ADDRESS(MATCH(A2518,Raw!$A:$A,0),2,1,1,"Raw"))</f>
        <v>0</v>
      </c>
      <c r="C2518" s="20">
        <f>INDEX(Raw!$C:$C,MATCH(A2518,Raw!$A:$A,0))</f>
        <v>0</v>
      </c>
      <c r="D2518" s="21"/>
    </row>
    <row r="2519" spans="1:4" ht="11.25" customHeight="1" x14ac:dyDescent="0.25">
      <c r="A2519" s="22" t="s">
        <v>2556</v>
      </c>
      <c r="B2519" s="20">
        <f ca="1">INDIRECT(ADDRESS(MATCH(A2519,Raw!$A:$A,0),2,1,1,"Raw"))</f>
        <v>0</v>
      </c>
      <c r="C2519" s="20">
        <f>INDEX(Raw!$C:$C,MATCH(A2519,Raw!$A:$A,0))</f>
        <v>0</v>
      </c>
      <c r="D2519" s="21"/>
    </row>
    <row r="2520" spans="1:4" ht="11.25" customHeight="1" x14ac:dyDescent="0.25">
      <c r="A2520" s="22" t="s">
        <v>2557</v>
      </c>
      <c r="B2520" s="20">
        <f ca="1">INDIRECT(ADDRESS(MATCH(A2520,Raw!$A:$A,0),2,1,1,"Raw"))</f>
        <v>0</v>
      </c>
      <c r="C2520" s="20">
        <f>INDEX(Raw!$C:$C,MATCH(A2520,Raw!$A:$A,0))</f>
        <v>0</v>
      </c>
      <c r="D2520" s="21"/>
    </row>
    <row r="2521" spans="1:4" ht="11.25" customHeight="1" x14ac:dyDescent="0.25">
      <c r="A2521" s="22" t="s">
        <v>2558</v>
      </c>
      <c r="B2521" s="20">
        <f ca="1">INDIRECT(ADDRESS(MATCH(A2521,Raw!$A:$A,0),2,1,1,"Raw"))</f>
        <v>0</v>
      </c>
      <c r="C2521" s="20">
        <f>INDEX(Raw!$C:$C,MATCH(A2521,Raw!$A:$A,0))</f>
        <v>0</v>
      </c>
      <c r="D2521" s="21"/>
    </row>
    <row r="2522" spans="1:4" ht="11.25" customHeight="1" x14ac:dyDescent="0.25">
      <c r="A2522" s="22" t="s">
        <v>2559</v>
      </c>
      <c r="B2522" s="20">
        <f ca="1">INDIRECT(ADDRESS(MATCH(A2522,Raw!$A:$A,0),2,1,1,"Raw"))</f>
        <v>0</v>
      </c>
      <c r="C2522" s="20">
        <f>INDEX(Raw!$C:$C,MATCH(A2522,Raw!$A:$A,0))</f>
        <v>0</v>
      </c>
      <c r="D2522" s="21"/>
    </row>
    <row r="2523" spans="1:4" ht="11.25" customHeight="1" x14ac:dyDescent="0.25">
      <c r="A2523" s="22" t="s">
        <v>2560</v>
      </c>
      <c r="B2523" s="20">
        <f ca="1">INDIRECT(ADDRESS(MATCH(A2523,Raw!$A:$A,0),2,1,1,"Raw"))</f>
        <v>0</v>
      </c>
      <c r="C2523" s="20">
        <f>INDEX(Raw!$C:$C,MATCH(A2523,Raw!$A:$A,0))</f>
        <v>0</v>
      </c>
      <c r="D2523" s="21"/>
    </row>
    <row r="2524" spans="1:4" ht="11.25" customHeight="1" x14ac:dyDescent="0.25">
      <c r="A2524" s="22" t="s">
        <v>2561</v>
      </c>
      <c r="B2524" s="20">
        <f ca="1">INDIRECT(ADDRESS(MATCH(A2524,Raw!$A:$A,0),2,1,1,"Raw"))</f>
        <v>0</v>
      </c>
      <c r="C2524" s="20">
        <f>INDEX(Raw!$C:$C,MATCH(A2524,Raw!$A:$A,0))</f>
        <v>0</v>
      </c>
      <c r="D2524" s="21"/>
    </row>
    <row r="2525" spans="1:4" ht="11.25" customHeight="1" x14ac:dyDescent="0.25">
      <c r="A2525" s="22" t="s">
        <v>2562</v>
      </c>
      <c r="B2525" s="20">
        <f ca="1">INDIRECT(ADDRESS(MATCH(A2525,Raw!$A:$A,0),2,1,1,"Raw"))</f>
        <v>0</v>
      </c>
      <c r="C2525" s="20">
        <f>INDEX(Raw!$C:$C,MATCH(A2525,Raw!$A:$A,0))</f>
        <v>0</v>
      </c>
      <c r="D2525" s="21"/>
    </row>
    <row r="2526" spans="1:4" ht="11.25" customHeight="1" x14ac:dyDescent="0.25">
      <c r="A2526" s="22" t="s">
        <v>2563</v>
      </c>
      <c r="B2526" s="20">
        <f ca="1">INDIRECT(ADDRESS(MATCH(A2526,Raw!$A:$A,0),2,1,1,"Raw"))</f>
        <v>0</v>
      </c>
      <c r="C2526" s="20">
        <f>INDEX(Raw!$C:$C,MATCH(A2526,Raw!$A:$A,0))</f>
        <v>0</v>
      </c>
      <c r="D2526" s="21"/>
    </row>
    <row r="2527" spans="1:4" ht="11.25" customHeight="1" x14ac:dyDescent="0.25">
      <c r="A2527" s="22" t="s">
        <v>2564</v>
      </c>
      <c r="B2527" s="20">
        <f ca="1">INDIRECT(ADDRESS(MATCH(A2527,Raw!$A:$A,0),2,1,1,"Raw"))</f>
        <v>0</v>
      </c>
      <c r="C2527" s="20">
        <f>INDEX(Raw!$C:$C,MATCH(A2527,Raw!$A:$A,0))</f>
        <v>0</v>
      </c>
      <c r="D2527" s="21"/>
    </row>
    <row r="2528" spans="1:4" ht="11.25" customHeight="1" x14ac:dyDescent="0.25">
      <c r="A2528" s="22" t="s">
        <v>2565</v>
      </c>
      <c r="B2528" s="20">
        <f ca="1">INDIRECT(ADDRESS(MATCH(A2528,Raw!$A:$A,0),2,1,1,"Raw"))</f>
        <v>0</v>
      </c>
      <c r="C2528" s="20">
        <f>INDEX(Raw!$C:$C,MATCH(A2528,Raw!$A:$A,0))</f>
        <v>0</v>
      </c>
      <c r="D2528" s="21"/>
    </row>
    <row r="2529" spans="1:4" ht="11.25" customHeight="1" x14ac:dyDescent="0.25">
      <c r="A2529" s="22" t="s">
        <v>2566</v>
      </c>
      <c r="B2529" s="20">
        <f ca="1">INDIRECT(ADDRESS(MATCH(A2529,Raw!$A:$A,0),2,1,1,"Raw"))</f>
        <v>0</v>
      </c>
      <c r="C2529" s="20">
        <f>INDEX(Raw!$C:$C,MATCH(A2529,Raw!$A:$A,0))</f>
        <v>0</v>
      </c>
      <c r="D2529" s="21"/>
    </row>
    <row r="2530" spans="1:4" ht="11.25" customHeight="1" x14ac:dyDescent="0.25">
      <c r="A2530" s="22" t="s">
        <v>2567</v>
      </c>
      <c r="B2530" s="20">
        <f ca="1">INDIRECT(ADDRESS(MATCH(A2530,Raw!$A:$A,0),2,1,1,"Raw"))</f>
        <v>0</v>
      </c>
      <c r="C2530" s="20">
        <f>INDEX(Raw!$C:$C,MATCH(A2530,Raw!$A:$A,0))</f>
        <v>0</v>
      </c>
      <c r="D2530" s="21"/>
    </row>
    <row r="2531" spans="1:4" ht="11.25" customHeight="1" x14ac:dyDescent="0.25">
      <c r="A2531" s="22" t="s">
        <v>2568</v>
      </c>
      <c r="B2531" s="20">
        <f ca="1">INDIRECT(ADDRESS(MATCH(A2531,Raw!$A:$A,0),2,1,1,"Raw"))</f>
        <v>0</v>
      </c>
      <c r="C2531" s="20">
        <f>INDEX(Raw!$C:$C,MATCH(A2531,Raw!$A:$A,0))</f>
        <v>0</v>
      </c>
      <c r="D2531" s="21"/>
    </row>
    <row r="2532" spans="1:4" ht="11.25" customHeight="1" x14ac:dyDescent="0.25">
      <c r="A2532" s="22" t="s">
        <v>2569</v>
      </c>
      <c r="B2532" s="20">
        <f ca="1">INDIRECT(ADDRESS(MATCH(A2532,Raw!$A:$A,0),2,1,1,"Raw"))</f>
        <v>0</v>
      </c>
      <c r="C2532" s="20">
        <f>INDEX(Raw!$C:$C,MATCH(A2532,Raw!$A:$A,0))</f>
        <v>0</v>
      </c>
      <c r="D2532" s="21"/>
    </row>
    <row r="2533" spans="1:4" ht="11.25" customHeight="1" x14ac:dyDescent="0.25">
      <c r="A2533" s="22" t="s">
        <v>2570</v>
      </c>
      <c r="B2533" s="20">
        <f ca="1">INDIRECT(ADDRESS(MATCH(A2533,Raw!$A:$A,0),2,1,1,"Raw"))</f>
        <v>0</v>
      </c>
      <c r="C2533" s="20">
        <f>INDEX(Raw!$C:$C,MATCH(A2533,Raw!$A:$A,0))</f>
        <v>0</v>
      </c>
      <c r="D2533" s="21"/>
    </row>
    <row r="2534" spans="1:4" ht="11.25" customHeight="1" x14ac:dyDescent="0.25">
      <c r="A2534" s="22" t="s">
        <v>2571</v>
      </c>
      <c r="B2534" s="20">
        <f ca="1">INDIRECT(ADDRESS(MATCH(A2534,Raw!$A:$A,0),2,1,1,"Raw"))</f>
        <v>0</v>
      </c>
      <c r="C2534" s="20">
        <f>INDEX(Raw!$C:$C,MATCH(A2534,Raw!$A:$A,0))</f>
        <v>0</v>
      </c>
      <c r="D2534" s="21"/>
    </row>
    <row r="2535" spans="1:4" ht="11.25" customHeight="1" x14ac:dyDescent="0.25">
      <c r="A2535" s="22" t="s">
        <v>2572</v>
      </c>
      <c r="B2535" s="20">
        <f ca="1">INDIRECT(ADDRESS(MATCH(A2535,Raw!$A:$A,0),2,1,1,"Raw"))</f>
        <v>0</v>
      </c>
      <c r="C2535" s="20">
        <f>INDEX(Raw!$C:$C,MATCH(A2535,Raw!$A:$A,0))</f>
        <v>0</v>
      </c>
      <c r="D2535" s="21"/>
    </row>
    <row r="2536" spans="1:4" ht="11.25" customHeight="1" x14ac:dyDescent="0.25">
      <c r="A2536" s="22" t="s">
        <v>2573</v>
      </c>
      <c r="B2536" s="20">
        <f ca="1">INDIRECT(ADDRESS(MATCH(A2536,Raw!$A:$A,0),2,1,1,"Raw"))</f>
        <v>0</v>
      </c>
      <c r="C2536" s="20">
        <f>INDEX(Raw!$C:$C,MATCH(A2536,Raw!$A:$A,0))</f>
        <v>0</v>
      </c>
      <c r="D2536" s="21"/>
    </row>
    <row r="2537" spans="1:4" ht="11.25" customHeight="1" x14ac:dyDescent="0.25">
      <c r="A2537" s="22" t="s">
        <v>2574</v>
      </c>
      <c r="B2537" s="20">
        <f ca="1">INDIRECT(ADDRESS(MATCH(A2537,Raw!$A:$A,0),2,1,1,"Raw"))</f>
        <v>0</v>
      </c>
      <c r="C2537" s="20">
        <f>INDEX(Raw!$C:$C,MATCH(A2537,Raw!$A:$A,0))</f>
        <v>0</v>
      </c>
      <c r="D2537" s="21"/>
    </row>
    <row r="2538" spans="1:4" ht="11.25" customHeight="1" x14ac:dyDescent="0.25">
      <c r="A2538" s="22" t="s">
        <v>2575</v>
      </c>
      <c r="B2538" s="20">
        <f ca="1">INDIRECT(ADDRESS(MATCH(A2538,Raw!$A:$A,0),2,1,1,"Raw"))</f>
        <v>0</v>
      </c>
      <c r="C2538" s="20">
        <f>INDEX(Raw!$C:$C,MATCH(A2538,Raw!$A:$A,0))</f>
        <v>0</v>
      </c>
      <c r="D2538" s="21"/>
    </row>
    <row r="2539" spans="1:4" ht="11.25" customHeight="1" x14ac:dyDescent="0.25">
      <c r="A2539" s="22" t="s">
        <v>2576</v>
      </c>
      <c r="B2539" s="20">
        <f ca="1">INDIRECT(ADDRESS(MATCH(A2539,Raw!$A:$A,0),2,1,1,"Raw"))</f>
        <v>0</v>
      </c>
      <c r="C2539" s="20">
        <f>INDEX(Raw!$C:$C,MATCH(A2539,Raw!$A:$A,0))</f>
        <v>0</v>
      </c>
      <c r="D2539" s="21"/>
    </row>
    <row r="2540" spans="1:4" ht="11.25" customHeight="1" x14ac:dyDescent="0.25">
      <c r="A2540" s="22" t="s">
        <v>2577</v>
      </c>
      <c r="B2540" s="20">
        <f ca="1">INDIRECT(ADDRESS(MATCH(A2540,Raw!$A:$A,0),2,1,1,"Raw"))</f>
        <v>0</v>
      </c>
      <c r="C2540" s="20">
        <f>INDEX(Raw!$C:$C,MATCH(A2540,Raw!$A:$A,0))</f>
        <v>0</v>
      </c>
      <c r="D2540" s="21"/>
    </row>
    <row r="2541" spans="1:4" ht="11.25" customHeight="1" x14ac:dyDescent="0.25">
      <c r="A2541" s="22" t="s">
        <v>2578</v>
      </c>
      <c r="B2541" s="20">
        <f ca="1">INDIRECT(ADDRESS(MATCH(A2541,Raw!$A:$A,0),2,1,1,"Raw"))</f>
        <v>0</v>
      </c>
      <c r="C2541" s="20">
        <f>INDEX(Raw!$C:$C,MATCH(A2541,Raw!$A:$A,0))</f>
        <v>0</v>
      </c>
      <c r="D2541" s="21"/>
    </row>
    <row r="2542" spans="1:4" ht="11.25" customHeight="1" x14ac:dyDescent="0.25">
      <c r="A2542" s="22" t="s">
        <v>2579</v>
      </c>
      <c r="B2542" s="20">
        <f ca="1">INDIRECT(ADDRESS(MATCH(A2542,Raw!$A:$A,0),2,1,1,"Raw"))</f>
        <v>0</v>
      </c>
      <c r="C2542" s="20">
        <f>INDEX(Raw!$C:$C,MATCH(A2542,Raw!$A:$A,0))</f>
        <v>0</v>
      </c>
      <c r="D2542" s="21"/>
    </row>
    <row r="2543" spans="1:4" ht="11.25" customHeight="1" x14ac:dyDescent="0.25">
      <c r="A2543" s="22" t="s">
        <v>2580</v>
      </c>
      <c r="B2543" s="20">
        <f ca="1">INDIRECT(ADDRESS(MATCH(A2543,Raw!$A:$A,0),2,1,1,"Raw"))</f>
        <v>0</v>
      </c>
      <c r="C2543" s="20">
        <f>INDEX(Raw!$C:$C,MATCH(A2543,Raw!$A:$A,0))</f>
        <v>0</v>
      </c>
      <c r="D2543" s="21"/>
    </row>
    <row r="2544" spans="1:4" ht="11.25" customHeight="1" x14ac:dyDescent="0.25">
      <c r="A2544" s="22" t="s">
        <v>2581</v>
      </c>
      <c r="B2544" s="20">
        <f ca="1">INDIRECT(ADDRESS(MATCH(A2544,Raw!$A:$A,0),2,1,1,"Raw"))</f>
        <v>0</v>
      </c>
      <c r="C2544" s="20">
        <f>INDEX(Raw!$C:$C,MATCH(A2544,Raw!$A:$A,0))</f>
        <v>0</v>
      </c>
      <c r="D2544" s="21"/>
    </row>
    <row r="2545" spans="1:4" ht="11.25" customHeight="1" x14ac:dyDescent="0.25">
      <c r="A2545" s="22" t="s">
        <v>2582</v>
      </c>
      <c r="B2545" s="20">
        <f ca="1">INDIRECT(ADDRESS(MATCH(A2545,Raw!$A:$A,0),2,1,1,"Raw"))</f>
        <v>0</v>
      </c>
      <c r="C2545" s="20">
        <f>INDEX(Raw!$C:$C,MATCH(A2545,Raw!$A:$A,0))</f>
        <v>0</v>
      </c>
      <c r="D2545" s="21"/>
    </row>
    <row r="2546" spans="1:4" ht="11.25" customHeight="1" x14ac:dyDescent="0.25">
      <c r="A2546" s="22" t="s">
        <v>2583</v>
      </c>
      <c r="B2546" s="20">
        <f ca="1">INDIRECT(ADDRESS(MATCH(A2546,Raw!$A:$A,0),2,1,1,"Raw"))</f>
        <v>0</v>
      </c>
      <c r="C2546" s="20">
        <f>INDEX(Raw!$C:$C,MATCH(A2546,Raw!$A:$A,0))</f>
        <v>0</v>
      </c>
      <c r="D2546" s="21"/>
    </row>
    <row r="2547" spans="1:4" ht="11.25" customHeight="1" x14ac:dyDescent="0.25">
      <c r="A2547" s="22" t="s">
        <v>2584</v>
      </c>
      <c r="B2547" s="20">
        <f ca="1">INDIRECT(ADDRESS(MATCH(A2547,Raw!$A:$A,0),2,1,1,"Raw"))</f>
        <v>0</v>
      </c>
      <c r="C2547" s="20">
        <f>INDEX(Raw!$C:$C,MATCH(A2547,Raw!$A:$A,0))</f>
        <v>0</v>
      </c>
      <c r="D2547" s="21"/>
    </row>
    <row r="2548" spans="1:4" ht="11.25" customHeight="1" x14ac:dyDescent="0.25">
      <c r="A2548" s="22" t="s">
        <v>2585</v>
      </c>
      <c r="B2548" s="20">
        <f ca="1">INDIRECT(ADDRESS(MATCH(A2548,Raw!$A:$A,0),2,1,1,"Raw"))</f>
        <v>0</v>
      </c>
      <c r="C2548" s="20">
        <f>INDEX(Raw!$C:$C,MATCH(A2548,Raw!$A:$A,0))</f>
        <v>0</v>
      </c>
      <c r="D2548" s="21"/>
    </row>
    <row r="2549" spans="1:4" ht="11.25" customHeight="1" x14ac:dyDescent="0.25">
      <c r="A2549" s="22" t="s">
        <v>2586</v>
      </c>
      <c r="B2549" s="20">
        <f ca="1">INDIRECT(ADDRESS(MATCH(A2549,Raw!$A:$A,0),2,1,1,"Raw"))</f>
        <v>0</v>
      </c>
      <c r="C2549" s="20">
        <f>INDEX(Raw!$C:$C,MATCH(A2549,Raw!$A:$A,0))</f>
        <v>0</v>
      </c>
      <c r="D2549" s="21"/>
    </row>
    <row r="2550" spans="1:4" ht="11.25" customHeight="1" x14ac:dyDescent="0.25">
      <c r="A2550" s="22" t="s">
        <v>2587</v>
      </c>
      <c r="B2550" s="20">
        <f ca="1">INDIRECT(ADDRESS(MATCH(A2550,Raw!$A:$A,0),2,1,1,"Raw"))</f>
        <v>0</v>
      </c>
      <c r="C2550" s="20">
        <f>INDEX(Raw!$C:$C,MATCH(A2550,Raw!$A:$A,0))</f>
        <v>0</v>
      </c>
      <c r="D2550" s="21"/>
    </row>
    <row r="2551" spans="1:4" ht="11.25" customHeight="1" x14ac:dyDescent="0.25">
      <c r="A2551" s="22" t="s">
        <v>2588</v>
      </c>
      <c r="B2551" s="20">
        <f ca="1">INDIRECT(ADDRESS(MATCH(A2551,Raw!$A:$A,0),2,1,1,"Raw"))</f>
        <v>0</v>
      </c>
      <c r="C2551" s="20">
        <f>INDEX(Raw!$C:$C,MATCH(A2551,Raw!$A:$A,0))</f>
        <v>0</v>
      </c>
      <c r="D2551" s="21"/>
    </row>
    <row r="2552" spans="1:4" ht="11.25" customHeight="1" x14ac:dyDescent="0.25">
      <c r="A2552" s="22" t="s">
        <v>2589</v>
      </c>
      <c r="B2552" s="20">
        <f ca="1">INDIRECT(ADDRESS(MATCH(A2552,Raw!$A:$A,0),2,1,1,"Raw"))</f>
        <v>0</v>
      </c>
      <c r="C2552" s="20">
        <f>INDEX(Raw!$C:$C,MATCH(A2552,Raw!$A:$A,0))</f>
        <v>0</v>
      </c>
      <c r="D2552" s="21"/>
    </row>
    <row r="2553" spans="1:4" ht="11.25" customHeight="1" x14ac:dyDescent="0.25">
      <c r="A2553" s="22" t="s">
        <v>2590</v>
      </c>
      <c r="B2553" s="20">
        <f ca="1">INDIRECT(ADDRESS(MATCH(A2553,Raw!$A:$A,0),2,1,1,"Raw"))</f>
        <v>0</v>
      </c>
      <c r="C2553" s="20">
        <f>INDEX(Raw!$C:$C,MATCH(A2553,Raw!$A:$A,0))</f>
        <v>0</v>
      </c>
      <c r="D2553" s="21"/>
    </row>
    <row r="2554" spans="1:4" ht="11.25" customHeight="1" x14ac:dyDescent="0.25">
      <c r="A2554" s="22" t="s">
        <v>2591</v>
      </c>
      <c r="B2554" s="20">
        <f ca="1">INDIRECT(ADDRESS(MATCH(A2554,Raw!$A:$A,0),2,1,1,"Raw"))</f>
        <v>0</v>
      </c>
      <c r="C2554" s="20">
        <f>INDEX(Raw!$C:$C,MATCH(A2554,Raw!$A:$A,0))</f>
        <v>0</v>
      </c>
      <c r="D2554" s="21"/>
    </row>
    <row r="2555" spans="1:4" ht="11.25" customHeight="1" x14ac:dyDescent="0.25">
      <c r="A2555" s="22" t="s">
        <v>2592</v>
      </c>
      <c r="B2555" s="20">
        <f ca="1">INDIRECT(ADDRESS(MATCH(A2555,Raw!$A:$A,0),2,1,1,"Raw"))</f>
        <v>0</v>
      </c>
      <c r="C2555" s="20">
        <f>INDEX(Raw!$C:$C,MATCH(A2555,Raw!$A:$A,0))</f>
        <v>0</v>
      </c>
      <c r="D2555" s="21"/>
    </row>
    <row r="2556" spans="1:4" ht="11.25" customHeight="1" x14ac:dyDescent="0.25">
      <c r="A2556" s="22" t="s">
        <v>2593</v>
      </c>
      <c r="B2556" s="20">
        <f ca="1">INDIRECT(ADDRESS(MATCH(A2556,Raw!$A:$A,0),2,1,1,"Raw"))</f>
        <v>0</v>
      </c>
      <c r="C2556" s="20">
        <f>INDEX(Raw!$C:$C,MATCH(A2556,Raw!$A:$A,0))</f>
        <v>0</v>
      </c>
      <c r="D2556" s="21"/>
    </row>
    <row r="2557" spans="1:4" ht="11.25" customHeight="1" x14ac:dyDescent="0.25">
      <c r="A2557" s="22" t="s">
        <v>2594</v>
      </c>
      <c r="B2557" s="20">
        <f ca="1">INDIRECT(ADDRESS(MATCH(A2557,Raw!$A:$A,0),2,1,1,"Raw"))</f>
        <v>0</v>
      </c>
      <c r="C2557" s="20">
        <f>INDEX(Raw!$C:$C,MATCH(A2557,Raw!$A:$A,0))</f>
        <v>0</v>
      </c>
      <c r="D2557" s="21"/>
    </row>
    <row r="2558" spans="1:4" ht="11.25" customHeight="1" x14ac:dyDescent="0.25">
      <c r="A2558" s="22" t="s">
        <v>2595</v>
      </c>
      <c r="B2558" s="20">
        <f ca="1">INDIRECT(ADDRESS(MATCH(A2558,Raw!$A:$A,0),2,1,1,"Raw"))</f>
        <v>0</v>
      </c>
      <c r="C2558" s="20">
        <f>INDEX(Raw!$C:$C,MATCH(A2558,Raw!$A:$A,0))</f>
        <v>0</v>
      </c>
      <c r="D2558" s="21"/>
    </row>
    <row r="2559" spans="1:4" ht="11.25" customHeight="1" x14ac:dyDescent="0.25">
      <c r="A2559" s="22" t="s">
        <v>2596</v>
      </c>
      <c r="B2559" s="20">
        <f ca="1">INDIRECT(ADDRESS(MATCH(A2559,Raw!$A:$A,0),2,1,1,"Raw"))</f>
        <v>0</v>
      </c>
      <c r="C2559" s="20">
        <f>INDEX(Raw!$C:$C,MATCH(A2559,Raw!$A:$A,0))</f>
        <v>0</v>
      </c>
      <c r="D2559" s="21"/>
    </row>
    <row r="2560" spans="1:4" ht="11.25" customHeight="1" x14ac:dyDescent="0.25">
      <c r="A2560" s="22" t="s">
        <v>2597</v>
      </c>
      <c r="B2560" s="20">
        <f ca="1">INDIRECT(ADDRESS(MATCH(A2560,Raw!$A:$A,0),2,1,1,"Raw"))</f>
        <v>0</v>
      </c>
      <c r="C2560" s="20">
        <f>INDEX(Raw!$C:$C,MATCH(A2560,Raw!$A:$A,0))</f>
        <v>0</v>
      </c>
      <c r="D2560" s="21"/>
    </row>
    <row r="2561" spans="1:4" ht="11.25" customHeight="1" x14ac:dyDescent="0.25">
      <c r="A2561" s="22" t="s">
        <v>2598</v>
      </c>
      <c r="B2561" s="20">
        <f ca="1">INDIRECT(ADDRESS(MATCH(A2561,Raw!$A:$A,0),2,1,1,"Raw"))</f>
        <v>0</v>
      </c>
      <c r="C2561" s="20">
        <f>INDEX(Raw!$C:$C,MATCH(A2561,Raw!$A:$A,0))</f>
        <v>0</v>
      </c>
      <c r="D2561" s="21"/>
    </row>
    <row r="2562" spans="1:4" ht="11.25" customHeight="1" x14ac:dyDescent="0.25">
      <c r="A2562" s="22" t="s">
        <v>2599</v>
      </c>
      <c r="B2562" s="20">
        <f ca="1">INDIRECT(ADDRESS(MATCH(A2562,Raw!$A:$A,0),2,1,1,"Raw"))</f>
        <v>0</v>
      </c>
      <c r="C2562" s="20">
        <f>INDEX(Raw!$C:$C,MATCH(A2562,Raw!$A:$A,0))</f>
        <v>0</v>
      </c>
      <c r="D2562" s="21"/>
    </row>
    <row r="2563" spans="1:4" ht="11.25" customHeight="1" x14ac:dyDescent="0.25">
      <c r="A2563" s="22" t="s">
        <v>2600</v>
      </c>
      <c r="B2563" s="20">
        <f ca="1">INDIRECT(ADDRESS(MATCH(A2563,Raw!$A:$A,0),2,1,1,"Raw"))</f>
        <v>0</v>
      </c>
      <c r="C2563" s="20">
        <f>INDEX(Raw!$C:$C,MATCH(A2563,Raw!$A:$A,0))</f>
        <v>0</v>
      </c>
      <c r="D2563" s="21"/>
    </row>
    <row r="2564" spans="1:4" ht="11.25" customHeight="1" x14ac:dyDescent="0.25">
      <c r="A2564" s="22" t="s">
        <v>2601</v>
      </c>
      <c r="B2564" s="20">
        <f ca="1">INDIRECT(ADDRESS(MATCH(A2564,Raw!$A:$A,0),2,1,1,"Raw"))</f>
        <v>0</v>
      </c>
      <c r="C2564" s="20">
        <f>INDEX(Raw!$C:$C,MATCH(A2564,Raw!$A:$A,0))</f>
        <v>0</v>
      </c>
      <c r="D2564" s="21"/>
    </row>
    <row r="2565" spans="1:4" ht="11.25" customHeight="1" x14ac:dyDescent="0.25">
      <c r="A2565" s="22" t="s">
        <v>2602</v>
      </c>
      <c r="B2565" s="20">
        <f ca="1">INDIRECT(ADDRESS(MATCH(A2565,Raw!$A:$A,0),2,1,1,"Raw"))</f>
        <v>0</v>
      </c>
      <c r="C2565" s="20">
        <f>INDEX(Raw!$C:$C,MATCH(A2565,Raw!$A:$A,0))</f>
        <v>0</v>
      </c>
      <c r="D2565" s="21"/>
    </row>
    <row r="2566" spans="1:4" ht="11.25" customHeight="1" x14ac:dyDescent="0.25">
      <c r="A2566" s="22" t="s">
        <v>2603</v>
      </c>
      <c r="B2566" s="20">
        <f ca="1">INDIRECT(ADDRESS(MATCH(A2566,Raw!$A:$A,0),2,1,1,"Raw"))</f>
        <v>0</v>
      </c>
      <c r="C2566" s="20">
        <f>INDEX(Raw!$C:$C,MATCH(A2566,Raw!$A:$A,0))</f>
        <v>0</v>
      </c>
      <c r="D2566" s="21"/>
    </row>
    <row r="2567" spans="1:4" ht="11.25" customHeight="1" x14ac:dyDescent="0.25">
      <c r="A2567" s="22" t="s">
        <v>2604</v>
      </c>
      <c r="B2567" s="20">
        <f ca="1">INDIRECT(ADDRESS(MATCH(A2567,Raw!$A:$A,0),2,1,1,"Raw"))</f>
        <v>0</v>
      </c>
      <c r="C2567" s="20">
        <f>INDEX(Raw!$C:$C,MATCH(A2567,Raw!$A:$A,0))</f>
        <v>0</v>
      </c>
      <c r="D2567" s="21"/>
    </row>
    <row r="2568" spans="1:4" ht="11.25" customHeight="1" x14ac:dyDescent="0.25">
      <c r="A2568" s="22" t="s">
        <v>2605</v>
      </c>
      <c r="B2568" s="20">
        <f ca="1">INDIRECT(ADDRESS(MATCH(A2568,Raw!$A:$A,0),2,1,1,"Raw"))</f>
        <v>0</v>
      </c>
      <c r="C2568" s="20">
        <f>INDEX(Raw!$C:$C,MATCH(A2568,Raw!$A:$A,0))</f>
        <v>0</v>
      </c>
      <c r="D2568" s="21"/>
    </row>
    <row r="2569" spans="1:4" ht="11.25" customHeight="1" x14ac:dyDescent="0.25">
      <c r="A2569" s="22" t="s">
        <v>2606</v>
      </c>
      <c r="B2569" s="20">
        <f ca="1">INDIRECT(ADDRESS(MATCH(A2569,Raw!$A:$A,0),2,1,1,"Raw"))</f>
        <v>0</v>
      </c>
      <c r="C2569" s="20">
        <f>INDEX(Raw!$C:$C,MATCH(A2569,Raw!$A:$A,0))</f>
        <v>0</v>
      </c>
      <c r="D2569" s="21"/>
    </row>
    <row r="2570" spans="1:4" ht="11.25" customHeight="1" x14ac:dyDescent="0.25">
      <c r="A2570" s="22" t="s">
        <v>2607</v>
      </c>
      <c r="B2570" s="20">
        <f ca="1">INDIRECT(ADDRESS(MATCH(A2570,Raw!$A:$A,0),2,1,1,"Raw"))</f>
        <v>0</v>
      </c>
      <c r="C2570" s="20">
        <f>INDEX(Raw!$C:$C,MATCH(A2570,Raw!$A:$A,0))</f>
        <v>0</v>
      </c>
      <c r="D2570" s="21"/>
    </row>
    <row r="2571" spans="1:4" ht="11.25" customHeight="1" x14ac:dyDescent="0.25">
      <c r="A2571" s="22" t="s">
        <v>2608</v>
      </c>
      <c r="B2571" s="20">
        <f ca="1">INDIRECT(ADDRESS(MATCH(A2571,Raw!$A:$A,0),2,1,1,"Raw"))</f>
        <v>0</v>
      </c>
      <c r="C2571" s="20">
        <f>INDEX(Raw!$C:$C,MATCH(A2571,Raw!$A:$A,0))</f>
        <v>0</v>
      </c>
      <c r="D2571" s="21"/>
    </row>
    <row r="2572" spans="1:4" ht="11.25" customHeight="1" x14ac:dyDescent="0.25">
      <c r="A2572" s="22" t="s">
        <v>2609</v>
      </c>
      <c r="B2572" s="20">
        <f ca="1">INDIRECT(ADDRESS(MATCH(A2572,Raw!$A:$A,0),2,1,1,"Raw"))</f>
        <v>0</v>
      </c>
      <c r="C2572" s="20">
        <f>INDEX(Raw!$C:$C,MATCH(A2572,Raw!$A:$A,0))</f>
        <v>0</v>
      </c>
      <c r="D2572" s="21"/>
    </row>
    <row r="2573" spans="1:4" ht="11.25" customHeight="1" x14ac:dyDescent="0.25">
      <c r="A2573" s="22" t="s">
        <v>2610</v>
      </c>
      <c r="B2573" s="20">
        <f ca="1">INDIRECT(ADDRESS(MATCH(A2573,Raw!$A:$A,0),2,1,1,"Raw"))</f>
        <v>0</v>
      </c>
      <c r="C2573" s="20">
        <f>INDEX(Raw!$C:$C,MATCH(A2573,Raw!$A:$A,0))</f>
        <v>0</v>
      </c>
      <c r="D2573" s="21"/>
    </row>
    <row r="2574" spans="1:4" ht="11.25" customHeight="1" x14ac:dyDescent="0.25">
      <c r="A2574" s="22" t="s">
        <v>2611</v>
      </c>
      <c r="B2574" s="20">
        <f ca="1">INDIRECT(ADDRESS(MATCH(A2574,Raw!$A:$A,0),2,1,1,"Raw"))</f>
        <v>0</v>
      </c>
      <c r="C2574" s="20">
        <f>INDEX(Raw!$C:$C,MATCH(A2574,Raw!$A:$A,0))</f>
        <v>0</v>
      </c>
      <c r="D2574" s="21"/>
    </row>
    <row r="2575" spans="1:4" ht="11.25" customHeight="1" x14ac:dyDescent="0.25">
      <c r="A2575" s="22" t="s">
        <v>2612</v>
      </c>
      <c r="B2575" s="20">
        <f ca="1">INDIRECT(ADDRESS(MATCH(A2575,Raw!$A:$A,0),2,1,1,"Raw"))</f>
        <v>0</v>
      </c>
      <c r="C2575" s="20">
        <f>INDEX(Raw!$C:$C,MATCH(A2575,Raw!$A:$A,0))</f>
        <v>0</v>
      </c>
      <c r="D2575" s="21"/>
    </row>
    <row r="2576" spans="1:4" ht="11.25" customHeight="1" x14ac:dyDescent="0.25">
      <c r="A2576" s="22" t="s">
        <v>2613</v>
      </c>
      <c r="B2576" s="20">
        <f ca="1">INDIRECT(ADDRESS(MATCH(A2576,Raw!$A:$A,0),2,1,1,"Raw"))</f>
        <v>0</v>
      </c>
      <c r="C2576" s="20">
        <f>INDEX(Raw!$C:$C,MATCH(A2576,Raw!$A:$A,0))</f>
        <v>0</v>
      </c>
      <c r="D2576" s="21"/>
    </row>
    <row r="2577" spans="1:4" ht="11.25" customHeight="1" x14ac:dyDescent="0.25">
      <c r="A2577" s="22" t="s">
        <v>2614</v>
      </c>
      <c r="B2577" s="20">
        <f ca="1">INDIRECT(ADDRESS(MATCH(A2577,Raw!$A:$A,0),2,1,1,"Raw"))</f>
        <v>0</v>
      </c>
      <c r="C2577" s="20">
        <f>INDEX(Raw!$C:$C,MATCH(A2577,Raw!$A:$A,0))</f>
        <v>0</v>
      </c>
      <c r="D2577" s="21"/>
    </row>
    <row r="2578" spans="1:4" ht="11.25" customHeight="1" x14ac:dyDescent="0.25">
      <c r="A2578" s="22" t="s">
        <v>2615</v>
      </c>
      <c r="B2578" s="20">
        <f ca="1">INDIRECT(ADDRESS(MATCH(A2578,Raw!$A:$A,0),2,1,1,"Raw"))</f>
        <v>0</v>
      </c>
      <c r="C2578" s="20">
        <f>INDEX(Raw!$C:$C,MATCH(A2578,Raw!$A:$A,0))</f>
        <v>0</v>
      </c>
      <c r="D2578" s="21"/>
    </row>
    <row r="2579" spans="1:4" ht="11.25" customHeight="1" x14ac:dyDescent="0.25">
      <c r="A2579" s="22" t="s">
        <v>2616</v>
      </c>
      <c r="B2579" s="20">
        <f ca="1">INDIRECT(ADDRESS(MATCH(A2579,Raw!$A:$A,0),2,1,1,"Raw"))</f>
        <v>0</v>
      </c>
      <c r="C2579" s="20">
        <f>INDEX(Raw!$C:$C,MATCH(A2579,Raw!$A:$A,0))</f>
        <v>0</v>
      </c>
      <c r="D2579" s="21"/>
    </row>
    <row r="2580" spans="1:4" ht="11.25" customHeight="1" x14ac:dyDescent="0.25">
      <c r="A2580" s="22" t="s">
        <v>2617</v>
      </c>
      <c r="B2580" s="20">
        <f ca="1">INDIRECT(ADDRESS(MATCH(A2580,Raw!$A:$A,0),2,1,1,"Raw"))</f>
        <v>0</v>
      </c>
      <c r="C2580" s="20">
        <f>INDEX(Raw!$C:$C,MATCH(A2580,Raw!$A:$A,0))</f>
        <v>0</v>
      </c>
      <c r="D2580" s="21"/>
    </row>
    <row r="2581" spans="1:4" ht="11.25" customHeight="1" x14ac:dyDescent="0.25">
      <c r="A2581" s="22" t="s">
        <v>2618</v>
      </c>
      <c r="B2581" s="20">
        <f ca="1">INDIRECT(ADDRESS(MATCH(A2581,Raw!$A:$A,0),2,1,1,"Raw"))</f>
        <v>0</v>
      </c>
      <c r="C2581" s="20">
        <f>INDEX(Raw!$C:$C,MATCH(A2581,Raw!$A:$A,0))</f>
        <v>0</v>
      </c>
      <c r="D2581" s="21"/>
    </row>
    <row r="2582" spans="1:4" ht="11.25" customHeight="1" x14ac:dyDescent="0.25">
      <c r="A2582" s="22" t="s">
        <v>2619</v>
      </c>
      <c r="B2582" s="20">
        <f ca="1">INDIRECT(ADDRESS(MATCH(A2582,Raw!$A:$A,0),2,1,1,"Raw"))</f>
        <v>0</v>
      </c>
      <c r="C2582" s="20">
        <f>INDEX(Raw!$C:$C,MATCH(A2582,Raw!$A:$A,0))</f>
        <v>0</v>
      </c>
      <c r="D2582" s="21"/>
    </row>
    <row r="2583" spans="1:4" ht="11.25" customHeight="1" x14ac:dyDescent="0.25">
      <c r="A2583" s="22" t="s">
        <v>2620</v>
      </c>
      <c r="B2583" s="20">
        <f ca="1">INDIRECT(ADDRESS(MATCH(A2583,Raw!$A:$A,0),2,1,1,"Raw"))</f>
        <v>0</v>
      </c>
      <c r="C2583" s="20">
        <f>INDEX(Raw!$C:$C,MATCH(A2583,Raw!$A:$A,0))</f>
        <v>0</v>
      </c>
      <c r="D2583" s="21"/>
    </row>
    <row r="2584" spans="1:4" ht="11.25" customHeight="1" x14ac:dyDescent="0.25">
      <c r="A2584" s="22" t="s">
        <v>2621</v>
      </c>
      <c r="B2584" s="20">
        <f ca="1">INDIRECT(ADDRESS(MATCH(A2584,Raw!$A:$A,0),2,1,1,"Raw"))</f>
        <v>0</v>
      </c>
      <c r="C2584" s="20">
        <f>INDEX(Raw!$C:$C,MATCH(A2584,Raw!$A:$A,0))</f>
        <v>0</v>
      </c>
      <c r="D2584" s="21"/>
    </row>
    <row r="2585" spans="1:4" ht="11.25" customHeight="1" x14ac:dyDescent="0.25">
      <c r="A2585" s="22" t="s">
        <v>2622</v>
      </c>
      <c r="B2585" s="20">
        <f ca="1">INDIRECT(ADDRESS(MATCH(A2585,Raw!$A:$A,0),2,1,1,"Raw"))</f>
        <v>0</v>
      </c>
      <c r="C2585" s="20">
        <f>INDEX(Raw!$C:$C,MATCH(A2585,Raw!$A:$A,0))</f>
        <v>0</v>
      </c>
      <c r="D2585" s="21"/>
    </row>
    <row r="2586" spans="1:4" ht="11.25" customHeight="1" x14ac:dyDescent="0.25">
      <c r="A2586" s="22" t="s">
        <v>2623</v>
      </c>
      <c r="B2586" s="20">
        <f ca="1">INDIRECT(ADDRESS(MATCH(A2586,Raw!$A:$A,0),2,1,1,"Raw"))</f>
        <v>0</v>
      </c>
      <c r="C2586" s="20">
        <f>INDEX(Raw!$C:$C,MATCH(A2586,Raw!$A:$A,0))</f>
        <v>0</v>
      </c>
      <c r="D2586" s="21"/>
    </row>
    <row r="2587" spans="1:4" ht="11.25" customHeight="1" x14ac:dyDescent="0.25">
      <c r="A2587" s="22" t="s">
        <v>2624</v>
      </c>
      <c r="B2587" s="20">
        <f ca="1">INDIRECT(ADDRESS(MATCH(A2587,Raw!$A:$A,0),2,1,1,"Raw"))</f>
        <v>0</v>
      </c>
      <c r="C2587" s="20">
        <f>INDEX(Raw!$C:$C,MATCH(A2587,Raw!$A:$A,0))</f>
        <v>0</v>
      </c>
      <c r="D2587" s="21"/>
    </row>
    <row r="2588" spans="1:4" ht="11.25" customHeight="1" x14ac:dyDescent="0.25">
      <c r="A2588" s="22" t="s">
        <v>2625</v>
      </c>
      <c r="B2588" s="20">
        <f ca="1">INDIRECT(ADDRESS(MATCH(A2588,Raw!$A:$A,0),2,1,1,"Raw"))</f>
        <v>0</v>
      </c>
      <c r="C2588" s="20">
        <f>INDEX(Raw!$C:$C,MATCH(A2588,Raw!$A:$A,0))</f>
        <v>0</v>
      </c>
      <c r="D2588" s="21"/>
    </row>
    <row r="2589" spans="1:4" ht="11.25" customHeight="1" x14ac:dyDescent="0.25">
      <c r="A2589" s="22" t="s">
        <v>2626</v>
      </c>
      <c r="B2589" s="20">
        <f ca="1">INDIRECT(ADDRESS(MATCH(A2589,Raw!$A:$A,0),2,1,1,"Raw"))</f>
        <v>0</v>
      </c>
      <c r="C2589" s="20">
        <f>INDEX(Raw!$C:$C,MATCH(A2589,Raw!$A:$A,0))</f>
        <v>0</v>
      </c>
      <c r="D2589" s="21"/>
    </row>
    <row r="2590" spans="1:4" ht="11.25" customHeight="1" x14ac:dyDescent="0.25">
      <c r="A2590" s="22" t="s">
        <v>2627</v>
      </c>
      <c r="B2590" s="20">
        <f ca="1">INDIRECT(ADDRESS(MATCH(A2590,Raw!$A:$A,0),2,1,1,"Raw"))</f>
        <v>0</v>
      </c>
      <c r="C2590" s="20">
        <f>INDEX(Raw!$C:$C,MATCH(A2590,Raw!$A:$A,0))</f>
        <v>0</v>
      </c>
      <c r="D2590" s="21"/>
    </row>
    <row r="2591" spans="1:4" ht="11.25" customHeight="1" x14ac:dyDescent="0.25">
      <c r="A2591" s="22" t="s">
        <v>2628</v>
      </c>
      <c r="B2591" s="20">
        <f ca="1">INDIRECT(ADDRESS(MATCH(A2591,Raw!$A:$A,0),2,1,1,"Raw"))</f>
        <v>0</v>
      </c>
      <c r="C2591" s="20">
        <f>INDEX(Raw!$C:$C,MATCH(A2591,Raw!$A:$A,0))</f>
        <v>0</v>
      </c>
      <c r="D2591" s="21"/>
    </row>
    <row r="2592" spans="1:4" ht="11.25" customHeight="1" x14ac:dyDescent="0.25">
      <c r="A2592" s="22" t="s">
        <v>2629</v>
      </c>
      <c r="B2592" s="20">
        <f ca="1">INDIRECT(ADDRESS(MATCH(A2592,Raw!$A:$A,0),2,1,1,"Raw"))</f>
        <v>0</v>
      </c>
      <c r="C2592" s="20">
        <f>INDEX(Raw!$C:$C,MATCH(A2592,Raw!$A:$A,0))</f>
        <v>0</v>
      </c>
      <c r="D2592" s="21"/>
    </row>
    <row r="2593" spans="1:4" ht="11.25" customHeight="1" x14ac:dyDescent="0.25">
      <c r="A2593" s="22" t="s">
        <v>2630</v>
      </c>
      <c r="B2593" s="20">
        <f ca="1">INDIRECT(ADDRESS(MATCH(A2593,Raw!$A:$A,0),2,1,1,"Raw"))</f>
        <v>0</v>
      </c>
      <c r="C2593" s="20">
        <f>INDEX(Raw!$C:$C,MATCH(A2593,Raw!$A:$A,0))</f>
        <v>0</v>
      </c>
      <c r="D2593" s="21"/>
    </row>
    <row r="2594" spans="1:4" ht="11.25" customHeight="1" x14ac:dyDescent="0.25">
      <c r="A2594" s="22" t="s">
        <v>2631</v>
      </c>
      <c r="B2594" s="20">
        <f ca="1">INDIRECT(ADDRESS(MATCH(A2594,Raw!$A:$A,0),2,1,1,"Raw"))</f>
        <v>0</v>
      </c>
      <c r="C2594" s="20">
        <f>INDEX(Raw!$C:$C,MATCH(A2594,Raw!$A:$A,0))</f>
        <v>0</v>
      </c>
      <c r="D2594" s="21"/>
    </row>
    <row r="2595" spans="1:4" ht="11.25" customHeight="1" x14ac:dyDescent="0.25">
      <c r="A2595" s="22" t="s">
        <v>2632</v>
      </c>
      <c r="B2595" s="20">
        <f ca="1">INDIRECT(ADDRESS(MATCH(A2595,Raw!$A:$A,0),2,1,1,"Raw"))</f>
        <v>0</v>
      </c>
      <c r="C2595" s="20">
        <f>INDEX(Raw!$C:$C,MATCH(A2595,Raw!$A:$A,0))</f>
        <v>0</v>
      </c>
      <c r="D2595" s="21"/>
    </row>
    <row r="2596" spans="1:4" ht="11.25" customHeight="1" x14ac:dyDescent="0.25">
      <c r="A2596" s="22" t="s">
        <v>2633</v>
      </c>
      <c r="B2596" s="20">
        <f ca="1">INDIRECT(ADDRESS(MATCH(A2596,Raw!$A:$A,0),2,1,1,"Raw"))</f>
        <v>0</v>
      </c>
      <c r="C2596" s="20">
        <f>INDEX(Raw!$C:$C,MATCH(A2596,Raw!$A:$A,0))</f>
        <v>0</v>
      </c>
      <c r="D2596" s="21"/>
    </row>
    <row r="2597" spans="1:4" ht="11.25" customHeight="1" x14ac:dyDescent="0.25">
      <c r="A2597" s="22" t="s">
        <v>2634</v>
      </c>
      <c r="B2597" s="20">
        <f ca="1">INDIRECT(ADDRESS(MATCH(A2597,Raw!$A:$A,0),2,1,1,"Raw"))</f>
        <v>0</v>
      </c>
      <c r="C2597" s="20">
        <f>INDEX(Raw!$C:$C,MATCH(A2597,Raw!$A:$A,0))</f>
        <v>0</v>
      </c>
      <c r="D2597" s="21"/>
    </row>
    <row r="2598" spans="1:4" ht="11.25" customHeight="1" x14ac:dyDescent="0.25">
      <c r="A2598" s="22" t="s">
        <v>2635</v>
      </c>
      <c r="B2598" s="20">
        <f ca="1">INDIRECT(ADDRESS(MATCH(A2598,Raw!$A:$A,0),2,1,1,"Raw"))</f>
        <v>0</v>
      </c>
      <c r="C2598" s="20">
        <f>INDEX(Raw!$C:$C,MATCH(A2598,Raw!$A:$A,0))</f>
        <v>0</v>
      </c>
      <c r="D2598" s="21"/>
    </row>
    <row r="2599" spans="1:4" ht="11.25" customHeight="1" x14ac:dyDescent="0.25">
      <c r="A2599" s="22" t="s">
        <v>2636</v>
      </c>
      <c r="B2599" s="20">
        <f ca="1">INDIRECT(ADDRESS(MATCH(A2599,Raw!$A:$A,0),2,1,1,"Raw"))</f>
        <v>0</v>
      </c>
      <c r="C2599" s="20">
        <f>INDEX(Raw!$C:$C,MATCH(A2599,Raw!$A:$A,0))</f>
        <v>0</v>
      </c>
      <c r="D2599" s="21"/>
    </row>
    <row r="2600" spans="1:4" ht="11.25" customHeight="1" x14ac:dyDescent="0.25">
      <c r="A2600" s="22" t="s">
        <v>2637</v>
      </c>
      <c r="B2600" s="20">
        <f ca="1">INDIRECT(ADDRESS(MATCH(A2600,Raw!$A:$A,0),2,1,1,"Raw"))</f>
        <v>0</v>
      </c>
      <c r="C2600" s="20">
        <f>INDEX(Raw!$C:$C,MATCH(A2600,Raw!$A:$A,0))</f>
        <v>0</v>
      </c>
      <c r="D2600" s="21"/>
    </row>
    <row r="2601" spans="1:4" ht="11.25" customHeight="1" x14ac:dyDescent="0.25">
      <c r="A2601" s="22" t="s">
        <v>2638</v>
      </c>
      <c r="B2601" s="20">
        <f ca="1">INDIRECT(ADDRESS(MATCH(A2601,Raw!$A:$A,0),2,1,1,"Raw"))</f>
        <v>0</v>
      </c>
      <c r="C2601" s="20">
        <f>INDEX(Raw!$C:$C,MATCH(A2601,Raw!$A:$A,0))</f>
        <v>0</v>
      </c>
      <c r="D2601" s="21"/>
    </row>
    <row r="2602" spans="1:4" ht="11.25" customHeight="1" x14ac:dyDescent="0.25">
      <c r="A2602" s="22" t="s">
        <v>2639</v>
      </c>
      <c r="B2602" s="20">
        <f ca="1">INDIRECT(ADDRESS(MATCH(A2602,Raw!$A:$A,0),2,1,1,"Raw"))</f>
        <v>0</v>
      </c>
      <c r="C2602" s="20">
        <f>INDEX(Raw!$C:$C,MATCH(A2602,Raw!$A:$A,0))</f>
        <v>0</v>
      </c>
      <c r="D2602" s="21"/>
    </row>
    <row r="2603" spans="1:4" ht="11.25" customHeight="1" x14ac:dyDescent="0.25">
      <c r="A2603" s="22" t="s">
        <v>2640</v>
      </c>
      <c r="B2603" s="20">
        <f ca="1">INDIRECT(ADDRESS(MATCH(A2603,Raw!$A:$A,0),2,1,1,"Raw"))</f>
        <v>0</v>
      </c>
      <c r="C2603" s="20">
        <f>INDEX(Raw!$C:$C,MATCH(A2603,Raw!$A:$A,0))</f>
        <v>0</v>
      </c>
      <c r="D2603" s="21"/>
    </row>
    <row r="2604" spans="1:4" ht="11.25" customHeight="1" x14ac:dyDescent="0.25">
      <c r="A2604" s="22" t="s">
        <v>2641</v>
      </c>
      <c r="B2604" s="20">
        <f ca="1">INDIRECT(ADDRESS(MATCH(A2604,Raw!$A:$A,0),2,1,1,"Raw"))</f>
        <v>0</v>
      </c>
      <c r="C2604" s="20">
        <f>INDEX(Raw!$C:$C,MATCH(A2604,Raw!$A:$A,0))</f>
        <v>0</v>
      </c>
      <c r="D2604" s="21"/>
    </row>
    <row r="2605" spans="1:4" ht="11.25" customHeight="1" x14ac:dyDescent="0.25">
      <c r="A2605" s="22" t="s">
        <v>2642</v>
      </c>
      <c r="B2605" s="20">
        <f ca="1">INDIRECT(ADDRESS(MATCH(A2605,Raw!$A:$A,0),2,1,1,"Raw"))</f>
        <v>0</v>
      </c>
      <c r="C2605" s="20">
        <f>INDEX(Raw!$C:$C,MATCH(A2605,Raw!$A:$A,0))</f>
        <v>0</v>
      </c>
      <c r="D2605" s="21"/>
    </row>
    <row r="2606" spans="1:4" ht="11.25" customHeight="1" x14ac:dyDescent="0.25">
      <c r="A2606" s="22" t="s">
        <v>2643</v>
      </c>
      <c r="B2606" s="20">
        <f ca="1">INDIRECT(ADDRESS(MATCH(A2606,Raw!$A:$A,0),2,1,1,"Raw"))</f>
        <v>0</v>
      </c>
      <c r="C2606" s="20">
        <f>INDEX(Raw!$C:$C,MATCH(A2606,Raw!$A:$A,0))</f>
        <v>0</v>
      </c>
      <c r="D2606" s="21"/>
    </row>
    <row r="2607" spans="1:4" ht="11.25" customHeight="1" x14ac:dyDescent="0.25">
      <c r="A2607" s="22" t="s">
        <v>2644</v>
      </c>
      <c r="B2607" s="20">
        <f ca="1">INDIRECT(ADDRESS(MATCH(A2607,Raw!$A:$A,0),2,1,1,"Raw"))</f>
        <v>0</v>
      </c>
      <c r="C2607" s="20">
        <f>INDEX(Raw!$C:$C,MATCH(A2607,Raw!$A:$A,0))</f>
        <v>0</v>
      </c>
      <c r="D2607" s="21"/>
    </row>
    <row r="2608" spans="1:4" ht="11.25" customHeight="1" x14ac:dyDescent="0.25">
      <c r="A2608" s="22" t="s">
        <v>2645</v>
      </c>
      <c r="B2608" s="20">
        <f ca="1">INDIRECT(ADDRESS(MATCH(A2608,Raw!$A:$A,0),2,1,1,"Raw"))</f>
        <v>0</v>
      </c>
      <c r="C2608" s="20">
        <f>INDEX(Raw!$C:$C,MATCH(A2608,Raw!$A:$A,0))</f>
        <v>0</v>
      </c>
      <c r="D2608" s="21"/>
    </row>
    <row r="2609" spans="1:4" ht="11.25" customHeight="1" x14ac:dyDescent="0.25">
      <c r="A2609" s="22" t="s">
        <v>2646</v>
      </c>
      <c r="B2609" s="20">
        <f ca="1">INDIRECT(ADDRESS(MATCH(A2609,Raw!$A:$A,0),2,1,1,"Raw"))</f>
        <v>0</v>
      </c>
      <c r="C2609" s="20">
        <f>INDEX(Raw!$C:$C,MATCH(A2609,Raw!$A:$A,0))</f>
        <v>0</v>
      </c>
      <c r="D2609" s="21"/>
    </row>
    <row r="2610" spans="1:4" ht="11.25" customHeight="1" x14ac:dyDescent="0.25">
      <c r="A2610" s="22" t="s">
        <v>2647</v>
      </c>
      <c r="B2610" s="20">
        <f ca="1">INDIRECT(ADDRESS(MATCH(A2610,Raw!$A:$A,0),2,1,1,"Raw"))</f>
        <v>0</v>
      </c>
      <c r="C2610" s="20">
        <f>INDEX(Raw!$C:$C,MATCH(A2610,Raw!$A:$A,0))</f>
        <v>0</v>
      </c>
      <c r="D2610" s="21"/>
    </row>
    <row r="2611" spans="1:4" ht="11.25" customHeight="1" x14ac:dyDescent="0.25">
      <c r="A2611" s="22" t="s">
        <v>2648</v>
      </c>
      <c r="B2611" s="20">
        <f ca="1">INDIRECT(ADDRESS(MATCH(A2611,Raw!$A:$A,0),2,1,1,"Raw"))</f>
        <v>0</v>
      </c>
      <c r="C2611" s="20">
        <f>INDEX(Raw!$C:$C,MATCH(A2611,Raw!$A:$A,0))</f>
        <v>0</v>
      </c>
      <c r="D2611" s="21"/>
    </row>
    <row r="2612" spans="1:4" ht="11.25" customHeight="1" x14ac:dyDescent="0.25">
      <c r="A2612" s="22" t="s">
        <v>2649</v>
      </c>
      <c r="B2612" s="20">
        <f ca="1">INDIRECT(ADDRESS(MATCH(A2612,Raw!$A:$A,0),2,1,1,"Raw"))</f>
        <v>0</v>
      </c>
      <c r="C2612" s="20">
        <f>INDEX(Raw!$C:$C,MATCH(A2612,Raw!$A:$A,0))</f>
        <v>0</v>
      </c>
      <c r="D2612" s="21"/>
    </row>
    <row r="2613" spans="1:4" ht="11.25" customHeight="1" x14ac:dyDescent="0.25">
      <c r="A2613" s="22" t="s">
        <v>2650</v>
      </c>
      <c r="B2613" s="20">
        <f ca="1">INDIRECT(ADDRESS(MATCH(A2613,Raw!$A:$A,0),2,1,1,"Raw"))</f>
        <v>0</v>
      </c>
      <c r="C2613" s="20">
        <f>INDEX(Raw!$C:$C,MATCH(A2613,Raw!$A:$A,0))</f>
        <v>0</v>
      </c>
      <c r="D2613" s="21"/>
    </row>
    <row r="2614" spans="1:4" ht="11.25" customHeight="1" x14ac:dyDescent="0.25">
      <c r="A2614" s="22" t="s">
        <v>2651</v>
      </c>
      <c r="B2614" s="20">
        <f ca="1">INDIRECT(ADDRESS(MATCH(A2614,Raw!$A:$A,0),2,1,1,"Raw"))</f>
        <v>0</v>
      </c>
      <c r="C2614" s="20">
        <f>INDEX(Raw!$C:$C,MATCH(A2614,Raw!$A:$A,0))</f>
        <v>0</v>
      </c>
      <c r="D2614" s="21"/>
    </row>
    <row r="2615" spans="1:4" ht="11.25" customHeight="1" x14ac:dyDescent="0.25">
      <c r="A2615" s="22" t="s">
        <v>2652</v>
      </c>
      <c r="B2615" s="20">
        <f ca="1">INDIRECT(ADDRESS(MATCH(A2615,Raw!$A:$A,0),2,1,1,"Raw"))</f>
        <v>0</v>
      </c>
      <c r="C2615" s="20">
        <f>INDEX(Raw!$C:$C,MATCH(A2615,Raw!$A:$A,0))</f>
        <v>0</v>
      </c>
      <c r="D2615" s="21"/>
    </row>
    <row r="2616" spans="1:4" ht="11.25" customHeight="1" x14ac:dyDescent="0.25">
      <c r="A2616" s="22" t="s">
        <v>2653</v>
      </c>
      <c r="B2616" s="20">
        <f ca="1">INDIRECT(ADDRESS(MATCH(A2616,Raw!$A:$A,0),2,1,1,"Raw"))</f>
        <v>0</v>
      </c>
      <c r="C2616" s="20">
        <f>INDEX(Raw!$C:$C,MATCH(A2616,Raw!$A:$A,0))</f>
        <v>0</v>
      </c>
      <c r="D2616" s="21"/>
    </row>
    <row r="2617" spans="1:4" ht="11.25" customHeight="1" x14ac:dyDescent="0.25">
      <c r="A2617" s="22" t="s">
        <v>2654</v>
      </c>
      <c r="B2617" s="20">
        <f ca="1">INDIRECT(ADDRESS(MATCH(A2617,Raw!$A:$A,0),2,1,1,"Raw"))</f>
        <v>0</v>
      </c>
      <c r="C2617" s="20">
        <f>INDEX(Raw!$C:$C,MATCH(A2617,Raw!$A:$A,0))</f>
        <v>0</v>
      </c>
      <c r="D2617" s="21"/>
    </row>
    <row r="2618" spans="1:4" ht="11.25" customHeight="1" x14ac:dyDescent="0.25">
      <c r="A2618" s="22" t="s">
        <v>2655</v>
      </c>
      <c r="B2618" s="20">
        <f ca="1">INDIRECT(ADDRESS(MATCH(A2618,Raw!$A:$A,0),2,1,1,"Raw"))</f>
        <v>0</v>
      </c>
      <c r="C2618" s="20">
        <f>INDEX(Raw!$C:$C,MATCH(A2618,Raw!$A:$A,0))</f>
        <v>0</v>
      </c>
      <c r="D2618" s="21"/>
    </row>
    <row r="2619" spans="1:4" ht="11.25" customHeight="1" x14ac:dyDescent="0.25">
      <c r="A2619" s="22" t="s">
        <v>2656</v>
      </c>
      <c r="B2619" s="20">
        <f ca="1">INDIRECT(ADDRESS(MATCH(A2619,Raw!$A:$A,0),2,1,1,"Raw"))</f>
        <v>0</v>
      </c>
      <c r="C2619" s="20">
        <f>INDEX(Raw!$C:$C,MATCH(A2619,Raw!$A:$A,0))</f>
        <v>0</v>
      </c>
      <c r="D2619" s="21"/>
    </row>
    <row r="2620" spans="1:4" ht="11.25" customHeight="1" x14ac:dyDescent="0.25">
      <c r="A2620" s="22" t="s">
        <v>2657</v>
      </c>
      <c r="B2620" s="20">
        <f ca="1">INDIRECT(ADDRESS(MATCH(A2620,Raw!$A:$A,0),2,1,1,"Raw"))</f>
        <v>0</v>
      </c>
      <c r="C2620" s="20">
        <f>INDEX(Raw!$C:$C,MATCH(A2620,Raw!$A:$A,0))</f>
        <v>0</v>
      </c>
      <c r="D2620" s="21"/>
    </row>
    <row r="2621" spans="1:4" ht="11.25" customHeight="1" x14ac:dyDescent="0.25">
      <c r="A2621" s="22" t="s">
        <v>2658</v>
      </c>
      <c r="B2621" s="20">
        <f ca="1">INDIRECT(ADDRESS(MATCH(A2621,Raw!$A:$A,0),2,1,1,"Raw"))</f>
        <v>0</v>
      </c>
      <c r="C2621" s="20">
        <f>INDEX(Raw!$C:$C,MATCH(A2621,Raw!$A:$A,0))</f>
        <v>0</v>
      </c>
      <c r="D2621" s="21"/>
    </row>
    <row r="2622" spans="1:4" ht="11.25" customHeight="1" x14ac:dyDescent="0.25">
      <c r="A2622" s="22" t="s">
        <v>2659</v>
      </c>
      <c r="B2622" s="20">
        <f ca="1">INDIRECT(ADDRESS(MATCH(A2622,Raw!$A:$A,0),2,1,1,"Raw"))</f>
        <v>0</v>
      </c>
      <c r="C2622" s="20">
        <f>INDEX(Raw!$C:$C,MATCH(A2622,Raw!$A:$A,0))</f>
        <v>0</v>
      </c>
      <c r="D2622" s="21"/>
    </row>
    <row r="2623" spans="1:4" ht="11.25" customHeight="1" x14ac:dyDescent="0.25">
      <c r="A2623" s="22" t="s">
        <v>2660</v>
      </c>
      <c r="B2623" s="20">
        <f ca="1">INDIRECT(ADDRESS(MATCH(A2623,Raw!$A:$A,0),2,1,1,"Raw"))</f>
        <v>0</v>
      </c>
      <c r="C2623" s="20">
        <f>INDEX(Raw!$C:$C,MATCH(A2623,Raw!$A:$A,0))</f>
        <v>0</v>
      </c>
      <c r="D2623" s="21"/>
    </row>
    <row r="2624" spans="1:4" ht="11.25" customHeight="1" x14ac:dyDescent="0.25">
      <c r="A2624" s="22" t="s">
        <v>2661</v>
      </c>
      <c r="B2624" s="20">
        <f ca="1">INDIRECT(ADDRESS(MATCH(A2624,Raw!$A:$A,0),2,1,1,"Raw"))</f>
        <v>0</v>
      </c>
      <c r="C2624" s="20">
        <f>INDEX(Raw!$C:$C,MATCH(A2624,Raw!$A:$A,0))</f>
        <v>0</v>
      </c>
      <c r="D2624" s="21"/>
    </row>
    <row r="2625" spans="1:4" ht="11.25" customHeight="1" x14ac:dyDescent="0.25">
      <c r="A2625" s="22" t="s">
        <v>2662</v>
      </c>
      <c r="B2625" s="20">
        <f ca="1">INDIRECT(ADDRESS(MATCH(A2625,Raw!$A:$A,0),2,1,1,"Raw"))</f>
        <v>0</v>
      </c>
      <c r="C2625" s="20">
        <f>INDEX(Raw!$C:$C,MATCH(A2625,Raw!$A:$A,0))</f>
        <v>0</v>
      </c>
      <c r="D2625" s="21"/>
    </row>
    <row r="2626" spans="1:4" ht="11.25" customHeight="1" x14ac:dyDescent="0.25">
      <c r="A2626" s="22" t="s">
        <v>2663</v>
      </c>
      <c r="B2626" s="20">
        <f ca="1">INDIRECT(ADDRESS(MATCH(A2626,Raw!$A:$A,0),2,1,1,"Raw"))</f>
        <v>0</v>
      </c>
      <c r="C2626" s="20">
        <f>INDEX(Raw!$C:$C,MATCH(A2626,Raw!$A:$A,0))</f>
        <v>0</v>
      </c>
      <c r="D2626" s="21"/>
    </row>
    <row r="2627" spans="1:4" ht="11.25" customHeight="1" x14ac:dyDescent="0.25">
      <c r="A2627" s="22" t="s">
        <v>2664</v>
      </c>
      <c r="B2627" s="20">
        <f ca="1">INDIRECT(ADDRESS(MATCH(A2627,Raw!$A:$A,0),2,1,1,"Raw"))</f>
        <v>0</v>
      </c>
      <c r="C2627" s="20">
        <f>INDEX(Raw!$C:$C,MATCH(A2627,Raw!$A:$A,0))</f>
        <v>0</v>
      </c>
      <c r="D2627" s="21"/>
    </row>
    <row r="2628" spans="1:4" ht="11.25" customHeight="1" x14ac:dyDescent="0.25">
      <c r="A2628" s="22" t="s">
        <v>2665</v>
      </c>
      <c r="B2628" s="20">
        <f ca="1">INDIRECT(ADDRESS(MATCH(A2628,Raw!$A:$A,0),2,1,1,"Raw"))</f>
        <v>0</v>
      </c>
      <c r="C2628" s="20">
        <f>INDEX(Raw!$C:$C,MATCH(A2628,Raw!$A:$A,0))</f>
        <v>0</v>
      </c>
      <c r="D2628" s="21"/>
    </row>
    <row r="2629" spans="1:4" ht="11.25" customHeight="1" x14ac:dyDescent="0.25">
      <c r="A2629" s="22" t="s">
        <v>2666</v>
      </c>
      <c r="B2629" s="20">
        <f ca="1">INDIRECT(ADDRESS(MATCH(A2629,Raw!$A:$A,0),2,1,1,"Raw"))</f>
        <v>0</v>
      </c>
      <c r="C2629" s="20">
        <f>INDEX(Raw!$C:$C,MATCH(A2629,Raw!$A:$A,0))</f>
        <v>0</v>
      </c>
      <c r="D2629" s="21"/>
    </row>
    <row r="2630" spans="1:4" ht="11.25" customHeight="1" x14ac:dyDescent="0.25">
      <c r="A2630" s="22" t="s">
        <v>2667</v>
      </c>
      <c r="B2630" s="20">
        <f ca="1">INDIRECT(ADDRESS(MATCH(A2630,Raw!$A:$A,0),2,1,1,"Raw"))</f>
        <v>0</v>
      </c>
      <c r="C2630" s="20">
        <f>INDEX(Raw!$C:$C,MATCH(A2630,Raw!$A:$A,0))</f>
        <v>0</v>
      </c>
      <c r="D2630" s="21"/>
    </row>
    <row r="2631" spans="1:4" ht="11.25" customHeight="1" x14ac:dyDescent="0.25">
      <c r="A2631" s="22" t="s">
        <v>2668</v>
      </c>
      <c r="B2631" s="20">
        <f ca="1">INDIRECT(ADDRESS(MATCH(A2631,Raw!$A:$A,0),2,1,1,"Raw"))</f>
        <v>0</v>
      </c>
      <c r="C2631" s="20">
        <f>INDEX(Raw!$C:$C,MATCH(A2631,Raw!$A:$A,0))</f>
        <v>0</v>
      </c>
      <c r="D2631" s="21"/>
    </row>
    <row r="2632" spans="1:4" ht="11.25" customHeight="1" x14ac:dyDescent="0.25">
      <c r="A2632" s="22" t="s">
        <v>2669</v>
      </c>
      <c r="B2632" s="20">
        <f ca="1">INDIRECT(ADDRESS(MATCH(A2632,Raw!$A:$A,0),2,1,1,"Raw"))</f>
        <v>0</v>
      </c>
      <c r="C2632" s="20">
        <f>INDEX(Raw!$C:$C,MATCH(A2632,Raw!$A:$A,0))</f>
        <v>0</v>
      </c>
      <c r="D2632" s="21"/>
    </row>
    <row r="2633" spans="1:4" ht="11.25" customHeight="1" x14ac:dyDescent="0.25">
      <c r="A2633" s="22" t="s">
        <v>2670</v>
      </c>
      <c r="B2633" s="20">
        <f ca="1">INDIRECT(ADDRESS(MATCH(A2633,Raw!$A:$A,0),2,1,1,"Raw"))</f>
        <v>0</v>
      </c>
      <c r="C2633" s="20">
        <f>INDEX(Raw!$C:$C,MATCH(A2633,Raw!$A:$A,0))</f>
        <v>0</v>
      </c>
      <c r="D2633" s="21"/>
    </row>
    <row r="2634" spans="1:4" ht="11.25" customHeight="1" x14ac:dyDescent="0.25">
      <c r="A2634" s="22" t="s">
        <v>2671</v>
      </c>
      <c r="B2634" s="20">
        <f ca="1">INDIRECT(ADDRESS(MATCH(A2634,Raw!$A:$A,0),2,1,1,"Raw"))</f>
        <v>0</v>
      </c>
      <c r="C2634" s="20">
        <f>INDEX(Raw!$C:$C,MATCH(A2634,Raw!$A:$A,0))</f>
        <v>0</v>
      </c>
      <c r="D2634" s="21"/>
    </row>
    <row r="2635" spans="1:4" ht="11.25" customHeight="1" x14ac:dyDescent="0.25">
      <c r="A2635" s="22" t="s">
        <v>2672</v>
      </c>
      <c r="B2635" s="20">
        <f ca="1">INDIRECT(ADDRESS(MATCH(A2635,Raw!$A:$A,0),2,1,1,"Raw"))</f>
        <v>0</v>
      </c>
      <c r="C2635" s="20">
        <f>INDEX(Raw!$C:$C,MATCH(A2635,Raw!$A:$A,0))</f>
        <v>0</v>
      </c>
      <c r="D2635" s="21"/>
    </row>
    <row r="2636" spans="1:4" ht="11.25" customHeight="1" x14ac:dyDescent="0.25">
      <c r="A2636" s="22" t="s">
        <v>2673</v>
      </c>
      <c r="B2636" s="20">
        <f ca="1">INDIRECT(ADDRESS(MATCH(A2636,Raw!$A:$A,0),2,1,1,"Raw"))</f>
        <v>0</v>
      </c>
      <c r="C2636" s="20">
        <f>INDEX(Raw!$C:$C,MATCH(A2636,Raw!$A:$A,0))</f>
        <v>0</v>
      </c>
      <c r="D2636" s="21"/>
    </row>
    <row r="2637" spans="1:4" ht="11.25" customHeight="1" x14ac:dyDescent="0.25">
      <c r="A2637" s="22" t="s">
        <v>2674</v>
      </c>
      <c r="B2637" s="20">
        <f ca="1">INDIRECT(ADDRESS(MATCH(A2637,Raw!$A:$A,0),2,1,1,"Raw"))</f>
        <v>0</v>
      </c>
      <c r="C2637" s="20">
        <f>INDEX(Raw!$C:$C,MATCH(A2637,Raw!$A:$A,0))</f>
        <v>0</v>
      </c>
      <c r="D2637" s="21"/>
    </row>
    <row r="2638" spans="1:4" ht="11.25" customHeight="1" x14ac:dyDescent="0.25">
      <c r="A2638" s="22" t="s">
        <v>2675</v>
      </c>
      <c r="B2638" s="20">
        <f ca="1">INDIRECT(ADDRESS(MATCH(A2638,Raw!$A:$A,0),2,1,1,"Raw"))</f>
        <v>0</v>
      </c>
      <c r="C2638" s="20">
        <f>INDEX(Raw!$C:$C,MATCH(A2638,Raw!$A:$A,0))</f>
        <v>0</v>
      </c>
      <c r="D2638" s="21"/>
    </row>
    <row r="2639" spans="1:4" ht="11.25" customHeight="1" x14ac:dyDescent="0.25">
      <c r="A2639" s="22" t="s">
        <v>2676</v>
      </c>
      <c r="B2639" s="20">
        <f ca="1">INDIRECT(ADDRESS(MATCH(A2639,Raw!$A:$A,0),2,1,1,"Raw"))</f>
        <v>0</v>
      </c>
      <c r="C2639" s="20">
        <f>INDEX(Raw!$C:$C,MATCH(A2639,Raw!$A:$A,0))</f>
        <v>0</v>
      </c>
      <c r="D2639" s="21"/>
    </row>
    <row r="2640" spans="1:4" ht="11.25" customHeight="1" x14ac:dyDescent="0.25">
      <c r="A2640" s="22" t="s">
        <v>2677</v>
      </c>
      <c r="B2640" s="20">
        <f ca="1">INDIRECT(ADDRESS(MATCH(A2640,Raw!$A:$A,0),2,1,1,"Raw"))</f>
        <v>0</v>
      </c>
      <c r="C2640" s="20">
        <f>INDEX(Raw!$C:$C,MATCH(A2640,Raw!$A:$A,0))</f>
        <v>0</v>
      </c>
      <c r="D2640" s="21"/>
    </row>
    <row r="2641" spans="1:4" ht="11.25" customHeight="1" x14ac:dyDescent="0.25">
      <c r="A2641" s="22" t="s">
        <v>2678</v>
      </c>
      <c r="B2641" s="20">
        <f ca="1">INDIRECT(ADDRESS(MATCH(A2641,Raw!$A:$A,0),2,1,1,"Raw"))</f>
        <v>0</v>
      </c>
      <c r="C2641" s="20">
        <f>INDEX(Raw!$C:$C,MATCH(A2641,Raw!$A:$A,0))</f>
        <v>0</v>
      </c>
      <c r="D2641" s="21"/>
    </row>
    <row r="2642" spans="1:4" ht="11.25" customHeight="1" x14ac:dyDescent="0.25">
      <c r="A2642" s="22" t="s">
        <v>2679</v>
      </c>
      <c r="B2642" s="20">
        <f ca="1">INDIRECT(ADDRESS(MATCH(A2642,Raw!$A:$A,0),2,1,1,"Raw"))</f>
        <v>0</v>
      </c>
      <c r="C2642" s="20">
        <f>INDEX(Raw!$C:$C,MATCH(A2642,Raw!$A:$A,0))</f>
        <v>0</v>
      </c>
      <c r="D2642" s="21"/>
    </row>
    <row r="2643" spans="1:4" ht="11.25" customHeight="1" x14ac:dyDescent="0.25">
      <c r="A2643" s="22" t="s">
        <v>2680</v>
      </c>
      <c r="B2643" s="20">
        <f ca="1">INDIRECT(ADDRESS(MATCH(A2643,Raw!$A:$A,0),2,1,1,"Raw"))</f>
        <v>0</v>
      </c>
      <c r="C2643" s="20">
        <f>INDEX(Raw!$C:$C,MATCH(A2643,Raw!$A:$A,0))</f>
        <v>0</v>
      </c>
      <c r="D2643" s="21"/>
    </row>
    <row r="2644" spans="1:4" ht="11.25" customHeight="1" x14ac:dyDescent="0.25">
      <c r="A2644" s="22" t="s">
        <v>2681</v>
      </c>
      <c r="B2644" s="20">
        <f ca="1">INDIRECT(ADDRESS(MATCH(A2644,Raw!$A:$A,0),2,1,1,"Raw"))</f>
        <v>0</v>
      </c>
      <c r="C2644" s="20">
        <f>INDEX(Raw!$C:$C,MATCH(A2644,Raw!$A:$A,0))</f>
        <v>0</v>
      </c>
      <c r="D2644" s="21"/>
    </row>
    <row r="2645" spans="1:4" ht="11.25" customHeight="1" x14ac:dyDescent="0.25">
      <c r="A2645" s="22" t="s">
        <v>2682</v>
      </c>
      <c r="B2645" s="20">
        <f ca="1">INDIRECT(ADDRESS(MATCH(A2645,Raw!$A:$A,0),2,1,1,"Raw"))</f>
        <v>0</v>
      </c>
      <c r="C2645" s="20">
        <f>INDEX(Raw!$C:$C,MATCH(A2645,Raw!$A:$A,0))</f>
        <v>0</v>
      </c>
      <c r="D2645" s="21"/>
    </row>
    <row r="2646" spans="1:4" ht="11.25" customHeight="1" x14ac:dyDescent="0.25">
      <c r="A2646" s="22" t="s">
        <v>2683</v>
      </c>
      <c r="B2646" s="20">
        <f ca="1">INDIRECT(ADDRESS(MATCH(A2646,Raw!$A:$A,0),2,1,1,"Raw"))</f>
        <v>0</v>
      </c>
      <c r="C2646" s="20">
        <f>INDEX(Raw!$C:$C,MATCH(A2646,Raw!$A:$A,0))</f>
        <v>0</v>
      </c>
      <c r="D2646" s="21"/>
    </row>
    <row r="2647" spans="1:4" ht="11.25" customHeight="1" x14ac:dyDescent="0.25">
      <c r="A2647" s="22" t="s">
        <v>2684</v>
      </c>
      <c r="B2647" s="20">
        <f ca="1">INDIRECT(ADDRESS(MATCH(A2647,Raw!$A:$A,0),2,1,1,"Raw"))</f>
        <v>0</v>
      </c>
      <c r="C2647" s="20">
        <f>INDEX(Raw!$C:$C,MATCH(A2647,Raw!$A:$A,0))</f>
        <v>0</v>
      </c>
      <c r="D2647" s="21"/>
    </row>
    <row r="2648" spans="1:4" ht="11.25" customHeight="1" x14ac:dyDescent="0.25">
      <c r="A2648" s="22" t="s">
        <v>2685</v>
      </c>
      <c r="B2648" s="20">
        <f ca="1">INDIRECT(ADDRESS(MATCH(A2648,Raw!$A:$A,0),2,1,1,"Raw"))</f>
        <v>0</v>
      </c>
      <c r="C2648" s="20">
        <f>INDEX(Raw!$C:$C,MATCH(A2648,Raw!$A:$A,0))</f>
        <v>0</v>
      </c>
      <c r="D2648" s="21"/>
    </row>
    <row r="2649" spans="1:4" ht="11.25" customHeight="1" x14ac:dyDescent="0.25">
      <c r="A2649" s="22" t="s">
        <v>2686</v>
      </c>
      <c r="B2649" s="20">
        <f ca="1">INDIRECT(ADDRESS(MATCH(A2649,Raw!$A:$A,0),2,1,1,"Raw"))</f>
        <v>0</v>
      </c>
      <c r="C2649" s="20">
        <f>INDEX(Raw!$C:$C,MATCH(A2649,Raw!$A:$A,0))</f>
        <v>0</v>
      </c>
      <c r="D2649" s="21"/>
    </row>
    <row r="2650" spans="1:4" ht="11.25" customHeight="1" x14ac:dyDescent="0.25">
      <c r="A2650" s="22" t="s">
        <v>2687</v>
      </c>
      <c r="B2650" s="20">
        <f ca="1">INDIRECT(ADDRESS(MATCH(A2650,Raw!$A:$A,0),2,1,1,"Raw"))</f>
        <v>0</v>
      </c>
      <c r="C2650" s="20">
        <f>INDEX(Raw!$C:$C,MATCH(A2650,Raw!$A:$A,0))</f>
        <v>0</v>
      </c>
      <c r="D2650" s="21"/>
    </row>
    <row r="2651" spans="1:4" ht="11.25" customHeight="1" x14ac:dyDescent="0.25">
      <c r="A2651" s="22" t="s">
        <v>2688</v>
      </c>
      <c r="B2651" s="20">
        <f ca="1">INDIRECT(ADDRESS(MATCH(A2651,Raw!$A:$A,0),2,1,1,"Raw"))</f>
        <v>0</v>
      </c>
      <c r="C2651" s="20">
        <f>INDEX(Raw!$C:$C,MATCH(A2651,Raw!$A:$A,0))</f>
        <v>0</v>
      </c>
      <c r="D2651" s="21"/>
    </row>
    <row r="2652" spans="1:4" ht="11.25" customHeight="1" x14ac:dyDescent="0.25">
      <c r="A2652" s="22" t="s">
        <v>2689</v>
      </c>
      <c r="B2652" s="20">
        <f ca="1">INDIRECT(ADDRESS(MATCH(A2652,Raw!$A:$A,0),2,1,1,"Raw"))</f>
        <v>0</v>
      </c>
      <c r="C2652" s="20">
        <f>INDEX(Raw!$C:$C,MATCH(A2652,Raw!$A:$A,0))</f>
        <v>0</v>
      </c>
      <c r="D2652" s="21"/>
    </row>
    <row r="2653" spans="1:4" ht="11.25" customHeight="1" x14ac:dyDescent="0.25">
      <c r="A2653" s="22" t="s">
        <v>2690</v>
      </c>
      <c r="B2653" s="20">
        <f ca="1">INDIRECT(ADDRESS(MATCH(A2653,Raw!$A:$A,0),2,1,1,"Raw"))</f>
        <v>0</v>
      </c>
      <c r="C2653" s="20">
        <f>INDEX(Raw!$C:$C,MATCH(A2653,Raw!$A:$A,0))</f>
        <v>0</v>
      </c>
      <c r="D2653" s="21"/>
    </row>
    <row r="2654" spans="1:4" ht="11.25" customHeight="1" x14ac:dyDescent="0.25">
      <c r="A2654" s="22" t="s">
        <v>2691</v>
      </c>
      <c r="B2654" s="20">
        <f ca="1">INDIRECT(ADDRESS(MATCH(A2654,Raw!$A:$A,0),2,1,1,"Raw"))</f>
        <v>0</v>
      </c>
      <c r="C2654" s="20">
        <f>INDEX(Raw!$C:$C,MATCH(A2654,Raw!$A:$A,0))</f>
        <v>0</v>
      </c>
      <c r="D2654" s="21"/>
    </row>
    <row r="2655" spans="1:4" ht="11.25" customHeight="1" x14ac:dyDescent="0.25">
      <c r="A2655" s="22" t="s">
        <v>2692</v>
      </c>
      <c r="B2655" s="20">
        <f ca="1">INDIRECT(ADDRESS(MATCH(A2655,Raw!$A:$A,0),2,1,1,"Raw"))</f>
        <v>0</v>
      </c>
      <c r="C2655" s="20">
        <f>INDEX(Raw!$C:$C,MATCH(A2655,Raw!$A:$A,0))</f>
        <v>0</v>
      </c>
      <c r="D2655" s="21"/>
    </row>
    <row r="2656" spans="1:4" ht="11.25" customHeight="1" x14ac:dyDescent="0.25">
      <c r="A2656" s="22" t="s">
        <v>2693</v>
      </c>
      <c r="B2656" s="20">
        <f ca="1">INDIRECT(ADDRESS(MATCH(A2656,Raw!$A:$A,0),2,1,1,"Raw"))</f>
        <v>0</v>
      </c>
      <c r="C2656" s="20">
        <f>INDEX(Raw!$C:$C,MATCH(A2656,Raw!$A:$A,0))</f>
        <v>0</v>
      </c>
      <c r="D2656" s="21"/>
    </row>
    <row r="2657" spans="1:4" ht="11.25" customHeight="1" x14ac:dyDescent="0.25">
      <c r="A2657" s="22" t="s">
        <v>2694</v>
      </c>
      <c r="B2657" s="20">
        <f ca="1">INDIRECT(ADDRESS(MATCH(A2657,Raw!$A:$A,0),2,1,1,"Raw"))</f>
        <v>0</v>
      </c>
      <c r="C2657" s="20">
        <f>INDEX(Raw!$C:$C,MATCH(A2657,Raw!$A:$A,0))</f>
        <v>0</v>
      </c>
      <c r="D2657" s="21"/>
    </row>
    <row r="2658" spans="1:4" ht="11.25" customHeight="1" x14ac:dyDescent="0.25">
      <c r="A2658" s="22" t="s">
        <v>2695</v>
      </c>
      <c r="B2658" s="20">
        <f ca="1">INDIRECT(ADDRESS(MATCH(A2658,Raw!$A:$A,0),2,1,1,"Raw"))</f>
        <v>0</v>
      </c>
      <c r="C2658" s="20">
        <f>INDEX(Raw!$C:$C,MATCH(A2658,Raw!$A:$A,0))</f>
        <v>0</v>
      </c>
      <c r="D2658" s="21"/>
    </row>
    <row r="2659" spans="1:4" ht="11.25" customHeight="1" x14ac:dyDescent="0.25">
      <c r="A2659" s="22" t="s">
        <v>2696</v>
      </c>
      <c r="B2659" s="20">
        <f ca="1">INDIRECT(ADDRESS(MATCH(A2659,Raw!$A:$A,0),2,1,1,"Raw"))</f>
        <v>0</v>
      </c>
      <c r="C2659" s="20">
        <f>INDEX(Raw!$C:$C,MATCH(A2659,Raw!$A:$A,0))</f>
        <v>0</v>
      </c>
      <c r="D2659" s="21"/>
    </row>
    <row r="2660" spans="1:4" ht="11.25" customHeight="1" x14ac:dyDescent="0.25">
      <c r="A2660" s="22" t="s">
        <v>2697</v>
      </c>
      <c r="B2660" s="20">
        <f ca="1">INDIRECT(ADDRESS(MATCH(A2660,Raw!$A:$A,0),2,1,1,"Raw"))</f>
        <v>0</v>
      </c>
      <c r="C2660" s="20">
        <f>INDEX(Raw!$C:$C,MATCH(A2660,Raw!$A:$A,0))</f>
        <v>0</v>
      </c>
      <c r="D2660" s="21"/>
    </row>
    <row r="2661" spans="1:4" ht="11.25" customHeight="1" x14ac:dyDescent="0.25">
      <c r="A2661" s="22" t="s">
        <v>2698</v>
      </c>
      <c r="B2661" s="20">
        <f ca="1">INDIRECT(ADDRESS(MATCH(A2661,Raw!$A:$A,0),2,1,1,"Raw"))</f>
        <v>0</v>
      </c>
      <c r="C2661" s="20">
        <f>INDEX(Raw!$C:$C,MATCH(A2661,Raw!$A:$A,0))</f>
        <v>0</v>
      </c>
      <c r="D2661" s="21"/>
    </row>
    <row r="2662" spans="1:4" ht="11.25" customHeight="1" x14ac:dyDescent="0.25">
      <c r="A2662" s="22" t="s">
        <v>2699</v>
      </c>
      <c r="B2662" s="20">
        <f ca="1">INDIRECT(ADDRESS(MATCH(A2662,Raw!$A:$A,0),2,1,1,"Raw"))</f>
        <v>0</v>
      </c>
      <c r="C2662" s="20">
        <f>INDEX(Raw!$C:$C,MATCH(A2662,Raw!$A:$A,0))</f>
        <v>0</v>
      </c>
      <c r="D2662" s="21"/>
    </row>
    <row r="2663" spans="1:4" ht="11.25" customHeight="1" x14ac:dyDescent="0.25">
      <c r="A2663" s="22" t="s">
        <v>2700</v>
      </c>
      <c r="B2663" s="20">
        <f ca="1">INDIRECT(ADDRESS(MATCH(A2663,Raw!$A:$A,0),2,1,1,"Raw"))</f>
        <v>0</v>
      </c>
      <c r="C2663" s="20">
        <f>INDEX(Raw!$C:$C,MATCH(A2663,Raw!$A:$A,0))</f>
        <v>0</v>
      </c>
      <c r="D2663" s="21"/>
    </row>
    <row r="2664" spans="1:4" ht="11.25" customHeight="1" x14ac:dyDescent="0.25">
      <c r="A2664" s="22" t="s">
        <v>2701</v>
      </c>
      <c r="B2664" s="20">
        <f ca="1">INDIRECT(ADDRESS(MATCH(A2664,Raw!$A:$A,0),2,1,1,"Raw"))</f>
        <v>0</v>
      </c>
      <c r="C2664" s="20">
        <f>INDEX(Raw!$C:$C,MATCH(A2664,Raw!$A:$A,0))</f>
        <v>0</v>
      </c>
      <c r="D2664" s="21"/>
    </row>
    <row r="2665" spans="1:4" ht="11.25" customHeight="1" x14ac:dyDescent="0.25">
      <c r="A2665" s="22" t="s">
        <v>2702</v>
      </c>
      <c r="B2665" s="20">
        <f ca="1">INDIRECT(ADDRESS(MATCH(A2665,Raw!$A:$A,0),2,1,1,"Raw"))</f>
        <v>0</v>
      </c>
      <c r="C2665" s="20">
        <f>INDEX(Raw!$C:$C,MATCH(A2665,Raw!$A:$A,0))</f>
        <v>0</v>
      </c>
      <c r="D2665" s="21"/>
    </row>
    <row r="2666" spans="1:4" ht="11.25" customHeight="1" x14ac:dyDescent="0.25">
      <c r="A2666" s="22" t="s">
        <v>2703</v>
      </c>
      <c r="B2666" s="20">
        <f ca="1">INDIRECT(ADDRESS(MATCH(A2666,Raw!$A:$A,0),2,1,1,"Raw"))</f>
        <v>0</v>
      </c>
      <c r="C2666" s="20">
        <f>INDEX(Raw!$C:$C,MATCH(A2666,Raw!$A:$A,0))</f>
        <v>0</v>
      </c>
      <c r="D2666" s="21"/>
    </row>
    <row r="2667" spans="1:4" ht="11.25" customHeight="1" x14ac:dyDescent="0.25">
      <c r="A2667" s="22" t="s">
        <v>2704</v>
      </c>
      <c r="B2667" s="20">
        <f ca="1">INDIRECT(ADDRESS(MATCH(A2667,Raw!$A:$A,0),2,1,1,"Raw"))</f>
        <v>0</v>
      </c>
      <c r="C2667" s="20">
        <f>INDEX(Raw!$C:$C,MATCH(A2667,Raw!$A:$A,0))</f>
        <v>0</v>
      </c>
      <c r="D2667" s="21"/>
    </row>
    <row r="2668" spans="1:4" ht="11.25" customHeight="1" x14ac:dyDescent="0.25">
      <c r="A2668" s="22" t="s">
        <v>2705</v>
      </c>
      <c r="B2668" s="20">
        <f ca="1">INDIRECT(ADDRESS(MATCH(A2668,Raw!$A:$A,0),2,1,1,"Raw"))</f>
        <v>0</v>
      </c>
      <c r="C2668" s="20">
        <f>INDEX(Raw!$C:$C,MATCH(A2668,Raw!$A:$A,0))</f>
        <v>0</v>
      </c>
      <c r="D2668" s="21"/>
    </row>
    <row r="2669" spans="1:4" ht="11.25" customHeight="1" x14ac:dyDescent="0.25">
      <c r="A2669" s="22" t="s">
        <v>2706</v>
      </c>
      <c r="B2669" s="20">
        <f ca="1">INDIRECT(ADDRESS(MATCH(A2669,Raw!$A:$A,0),2,1,1,"Raw"))</f>
        <v>0</v>
      </c>
      <c r="C2669" s="20">
        <f>INDEX(Raw!$C:$C,MATCH(A2669,Raw!$A:$A,0))</f>
        <v>0</v>
      </c>
      <c r="D2669" s="21"/>
    </row>
    <row r="2670" spans="1:4" ht="11.25" customHeight="1" x14ac:dyDescent="0.25">
      <c r="A2670" s="22" t="s">
        <v>2707</v>
      </c>
      <c r="B2670" s="20">
        <f ca="1">INDIRECT(ADDRESS(MATCH(A2670,Raw!$A:$A,0),2,1,1,"Raw"))</f>
        <v>0</v>
      </c>
      <c r="C2670" s="20">
        <f>INDEX(Raw!$C:$C,MATCH(A2670,Raw!$A:$A,0))</f>
        <v>0</v>
      </c>
      <c r="D2670" s="21"/>
    </row>
    <row r="2671" spans="1:4" ht="11.25" customHeight="1" x14ac:dyDescent="0.25">
      <c r="A2671" s="22" t="s">
        <v>2708</v>
      </c>
      <c r="B2671" s="20">
        <f ca="1">INDIRECT(ADDRESS(MATCH(A2671,Raw!$A:$A,0),2,1,1,"Raw"))</f>
        <v>0</v>
      </c>
      <c r="C2671" s="20">
        <f>INDEX(Raw!$C:$C,MATCH(A2671,Raw!$A:$A,0))</f>
        <v>0</v>
      </c>
      <c r="D2671" s="21"/>
    </row>
    <row r="2672" spans="1:4" ht="11.25" customHeight="1" x14ac:dyDescent="0.25">
      <c r="A2672" s="22" t="s">
        <v>2709</v>
      </c>
      <c r="B2672" s="20">
        <f ca="1">INDIRECT(ADDRESS(MATCH(A2672,Raw!$A:$A,0),2,1,1,"Raw"))</f>
        <v>0</v>
      </c>
      <c r="C2672" s="20">
        <f>INDEX(Raw!$C:$C,MATCH(A2672,Raw!$A:$A,0))</f>
        <v>0</v>
      </c>
      <c r="D2672" s="21"/>
    </row>
    <row r="2673" spans="1:4" ht="11.25" customHeight="1" x14ac:dyDescent="0.25">
      <c r="A2673" s="22" t="s">
        <v>2710</v>
      </c>
      <c r="B2673" s="20">
        <f ca="1">INDIRECT(ADDRESS(MATCH(A2673,Raw!$A:$A,0),2,1,1,"Raw"))</f>
        <v>0</v>
      </c>
      <c r="C2673" s="20">
        <f>INDEX(Raw!$C:$C,MATCH(A2673,Raw!$A:$A,0))</f>
        <v>0</v>
      </c>
      <c r="D2673" s="21"/>
    </row>
    <row r="2674" spans="1:4" ht="11.25" customHeight="1" x14ac:dyDescent="0.25">
      <c r="A2674" s="22" t="s">
        <v>2711</v>
      </c>
      <c r="B2674" s="20">
        <f ca="1">INDIRECT(ADDRESS(MATCH(A2674,Raw!$A:$A,0),2,1,1,"Raw"))</f>
        <v>0</v>
      </c>
      <c r="C2674" s="20">
        <f>INDEX(Raw!$C:$C,MATCH(A2674,Raw!$A:$A,0))</f>
        <v>0</v>
      </c>
      <c r="D2674" s="21"/>
    </row>
    <row r="2675" spans="1:4" ht="11.25" customHeight="1" x14ac:dyDescent="0.25">
      <c r="A2675" s="22" t="s">
        <v>2712</v>
      </c>
      <c r="B2675" s="20">
        <f ca="1">INDIRECT(ADDRESS(MATCH(A2675,Raw!$A:$A,0),2,1,1,"Raw"))</f>
        <v>0</v>
      </c>
      <c r="C2675" s="20">
        <f>INDEX(Raw!$C:$C,MATCH(A2675,Raw!$A:$A,0))</f>
        <v>0</v>
      </c>
      <c r="D2675" s="21"/>
    </row>
    <row r="2676" spans="1:4" ht="11.25" customHeight="1" x14ac:dyDescent="0.25">
      <c r="A2676" s="22" t="s">
        <v>2713</v>
      </c>
      <c r="B2676" s="20">
        <f ca="1">INDIRECT(ADDRESS(MATCH(A2676,Raw!$A:$A,0),2,1,1,"Raw"))</f>
        <v>0</v>
      </c>
      <c r="C2676" s="20">
        <f>INDEX(Raw!$C:$C,MATCH(A2676,Raw!$A:$A,0))</f>
        <v>0</v>
      </c>
      <c r="D2676" s="21"/>
    </row>
    <row r="2677" spans="1:4" ht="11.25" customHeight="1" x14ac:dyDescent="0.25">
      <c r="A2677" s="22" t="s">
        <v>2714</v>
      </c>
      <c r="B2677" s="20">
        <f ca="1">INDIRECT(ADDRESS(MATCH(A2677,Raw!$A:$A,0),2,1,1,"Raw"))</f>
        <v>0</v>
      </c>
      <c r="C2677" s="20">
        <f>INDEX(Raw!$C:$C,MATCH(A2677,Raw!$A:$A,0))</f>
        <v>0</v>
      </c>
      <c r="D2677" s="21"/>
    </row>
    <row r="2678" spans="1:4" ht="11.25" customHeight="1" x14ac:dyDescent="0.25">
      <c r="A2678" s="22" t="s">
        <v>2715</v>
      </c>
      <c r="B2678" s="20">
        <f ca="1">INDIRECT(ADDRESS(MATCH(A2678,Raw!$A:$A,0),2,1,1,"Raw"))</f>
        <v>0</v>
      </c>
      <c r="C2678" s="20">
        <f>INDEX(Raw!$C:$C,MATCH(A2678,Raw!$A:$A,0))</f>
        <v>0</v>
      </c>
      <c r="D2678" s="21"/>
    </row>
    <row r="2679" spans="1:4" ht="11.25" customHeight="1" x14ac:dyDescent="0.25">
      <c r="A2679" s="22" t="s">
        <v>2716</v>
      </c>
      <c r="B2679" s="20">
        <f ca="1">INDIRECT(ADDRESS(MATCH(A2679,Raw!$A:$A,0),2,1,1,"Raw"))</f>
        <v>0</v>
      </c>
      <c r="C2679" s="20">
        <f>INDEX(Raw!$C:$C,MATCH(A2679,Raw!$A:$A,0))</f>
        <v>0</v>
      </c>
      <c r="D2679" s="21"/>
    </row>
    <row r="2680" spans="1:4" ht="11.25" customHeight="1" x14ac:dyDescent="0.25">
      <c r="A2680" s="22" t="s">
        <v>2717</v>
      </c>
      <c r="B2680" s="20">
        <f ca="1">INDIRECT(ADDRESS(MATCH(A2680,Raw!$A:$A,0),2,1,1,"Raw"))</f>
        <v>0</v>
      </c>
      <c r="C2680" s="20">
        <f>INDEX(Raw!$C:$C,MATCH(A2680,Raw!$A:$A,0))</f>
        <v>0</v>
      </c>
      <c r="D2680" s="21"/>
    </row>
    <row r="2681" spans="1:4" ht="11.25" customHeight="1" x14ac:dyDescent="0.25">
      <c r="A2681" s="22" t="s">
        <v>2718</v>
      </c>
      <c r="B2681" s="20">
        <f ca="1">INDIRECT(ADDRESS(MATCH(A2681,Raw!$A:$A,0),2,1,1,"Raw"))</f>
        <v>0</v>
      </c>
      <c r="C2681" s="20">
        <f>INDEX(Raw!$C:$C,MATCH(A2681,Raw!$A:$A,0))</f>
        <v>0</v>
      </c>
      <c r="D2681" s="21"/>
    </row>
    <row r="2682" spans="1:4" ht="11.25" customHeight="1" x14ac:dyDescent="0.25">
      <c r="A2682" s="22" t="s">
        <v>2719</v>
      </c>
      <c r="B2682" s="20">
        <f ca="1">INDIRECT(ADDRESS(MATCH(A2682,Raw!$A:$A,0),2,1,1,"Raw"))</f>
        <v>0</v>
      </c>
      <c r="C2682" s="20">
        <f>INDEX(Raw!$C:$C,MATCH(A2682,Raw!$A:$A,0))</f>
        <v>0</v>
      </c>
      <c r="D2682" s="21"/>
    </row>
    <row r="2683" spans="1:4" ht="11.25" customHeight="1" x14ac:dyDescent="0.25">
      <c r="A2683" s="22" t="s">
        <v>2720</v>
      </c>
      <c r="B2683" s="20">
        <f ca="1">INDIRECT(ADDRESS(MATCH(A2683,Raw!$A:$A,0),2,1,1,"Raw"))</f>
        <v>0</v>
      </c>
      <c r="C2683" s="20">
        <f>INDEX(Raw!$C:$C,MATCH(A2683,Raw!$A:$A,0))</f>
        <v>0</v>
      </c>
      <c r="D2683" s="21"/>
    </row>
    <row r="2684" spans="1:4" ht="11.25" customHeight="1" x14ac:dyDescent="0.25">
      <c r="A2684" s="22" t="s">
        <v>2721</v>
      </c>
      <c r="B2684" s="20">
        <f ca="1">INDIRECT(ADDRESS(MATCH(A2684,Raw!$A:$A,0),2,1,1,"Raw"))</f>
        <v>0</v>
      </c>
      <c r="C2684" s="20">
        <f>INDEX(Raw!$C:$C,MATCH(A2684,Raw!$A:$A,0))</f>
        <v>0</v>
      </c>
      <c r="D2684" s="21"/>
    </row>
    <row r="2685" spans="1:4" ht="11.25" customHeight="1" x14ac:dyDescent="0.25">
      <c r="A2685" s="22" t="s">
        <v>2722</v>
      </c>
      <c r="B2685" s="20">
        <f ca="1">INDIRECT(ADDRESS(MATCH(A2685,Raw!$A:$A,0),2,1,1,"Raw"))</f>
        <v>0</v>
      </c>
      <c r="C2685" s="20">
        <f>INDEX(Raw!$C:$C,MATCH(A2685,Raw!$A:$A,0))</f>
        <v>0</v>
      </c>
      <c r="D2685" s="21"/>
    </row>
    <row r="2686" spans="1:4" ht="11.25" customHeight="1" x14ac:dyDescent="0.25">
      <c r="A2686" s="22" t="s">
        <v>2723</v>
      </c>
      <c r="B2686" s="20">
        <f ca="1">INDIRECT(ADDRESS(MATCH(A2686,Raw!$A:$A,0),2,1,1,"Raw"))</f>
        <v>0</v>
      </c>
      <c r="C2686" s="20">
        <f>INDEX(Raw!$C:$C,MATCH(A2686,Raw!$A:$A,0))</f>
        <v>0</v>
      </c>
      <c r="D2686" s="21"/>
    </row>
    <row r="2687" spans="1:4" ht="11.25" customHeight="1" x14ac:dyDescent="0.25">
      <c r="A2687" s="22" t="s">
        <v>2724</v>
      </c>
      <c r="B2687" s="20">
        <f ca="1">INDIRECT(ADDRESS(MATCH(A2687,Raw!$A:$A,0),2,1,1,"Raw"))</f>
        <v>0</v>
      </c>
      <c r="C2687" s="20">
        <f>INDEX(Raw!$C:$C,MATCH(A2687,Raw!$A:$A,0))</f>
        <v>0</v>
      </c>
      <c r="D2687" s="21"/>
    </row>
    <row r="2688" spans="1:4" ht="11.25" customHeight="1" x14ac:dyDescent="0.25">
      <c r="A2688" s="22" t="s">
        <v>2725</v>
      </c>
      <c r="B2688" s="20">
        <f ca="1">INDIRECT(ADDRESS(MATCH(A2688,Raw!$A:$A,0),2,1,1,"Raw"))</f>
        <v>0</v>
      </c>
      <c r="C2688" s="20">
        <f>INDEX(Raw!$C:$C,MATCH(A2688,Raw!$A:$A,0))</f>
        <v>0</v>
      </c>
      <c r="D2688" s="21"/>
    </row>
    <row r="2689" spans="1:4" ht="11.25" customHeight="1" x14ac:dyDescent="0.25">
      <c r="A2689" s="22" t="s">
        <v>2726</v>
      </c>
      <c r="B2689" s="20">
        <f ca="1">INDIRECT(ADDRESS(MATCH(A2689,Raw!$A:$A,0),2,1,1,"Raw"))</f>
        <v>0</v>
      </c>
      <c r="C2689" s="20">
        <f>INDEX(Raw!$C:$C,MATCH(A2689,Raw!$A:$A,0))</f>
        <v>0</v>
      </c>
      <c r="D2689" s="21"/>
    </row>
    <row r="2690" spans="1:4" ht="11.25" customHeight="1" x14ac:dyDescent="0.25">
      <c r="A2690" s="22" t="s">
        <v>2727</v>
      </c>
      <c r="B2690" s="20">
        <f ca="1">INDIRECT(ADDRESS(MATCH(A2690,Raw!$A:$A,0),2,1,1,"Raw"))</f>
        <v>0</v>
      </c>
      <c r="C2690" s="20">
        <f>INDEX(Raw!$C:$C,MATCH(A2690,Raw!$A:$A,0))</f>
        <v>0</v>
      </c>
      <c r="D2690" s="21"/>
    </row>
    <row r="2691" spans="1:4" ht="11.25" customHeight="1" x14ac:dyDescent="0.25">
      <c r="A2691" s="22" t="s">
        <v>2728</v>
      </c>
      <c r="B2691" s="20">
        <f ca="1">INDIRECT(ADDRESS(MATCH(A2691,Raw!$A:$A,0),2,1,1,"Raw"))</f>
        <v>0</v>
      </c>
      <c r="C2691" s="20">
        <f>INDEX(Raw!$C:$C,MATCH(A2691,Raw!$A:$A,0))</f>
        <v>0</v>
      </c>
      <c r="D2691" s="21"/>
    </row>
    <row r="2692" spans="1:4" ht="11.25" customHeight="1" x14ac:dyDescent="0.25">
      <c r="A2692" s="22" t="s">
        <v>2729</v>
      </c>
      <c r="B2692" s="20">
        <f ca="1">INDIRECT(ADDRESS(MATCH(A2692,Raw!$A:$A,0),2,1,1,"Raw"))</f>
        <v>0</v>
      </c>
      <c r="C2692" s="20">
        <f>INDEX(Raw!$C:$C,MATCH(A2692,Raw!$A:$A,0))</f>
        <v>0</v>
      </c>
      <c r="D2692" s="21"/>
    </row>
    <row r="2693" spans="1:4" ht="11.25" customHeight="1" x14ac:dyDescent="0.25">
      <c r="A2693" s="22" t="s">
        <v>2730</v>
      </c>
      <c r="B2693" s="20">
        <f ca="1">INDIRECT(ADDRESS(MATCH(A2693,Raw!$A:$A,0),2,1,1,"Raw"))</f>
        <v>0</v>
      </c>
      <c r="C2693" s="20">
        <f>INDEX(Raw!$C:$C,MATCH(A2693,Raw!$A:$A,0))</f>
        <v>0</v>
      </c>
      <c r="D2693" s="21"/>
    </row>
    <row r="2694" spans="1:4" ht="11.25" customHeight="1" x14ac:dyDescent="0.25">
      <c r="A2694" s="22" t="s">
        <v>2731</v>
      </c>
      <c r="B2694" s="20">
        <f ca="1">INDIRECT(ADDRESS(MATCH(A2694,Raw!$A:$A,0),2,1,1,"Raw"))</f>
        <v>0</v>
      </c>
      <c r="C2694" s="20">
        <f>INDEX(Raw!$C:$C,MATCH(A2694,Raw!$A:$A,0))</f>
        <v>0</v>
      </c>
      <c r="D2694" s="21"/>
    </row>
    <row r="2695" spans="1:4" ht="11.25" customHeight="1" x14ac:dyDescent="0.25">
      <c r="A2695" s="22" t="s">
        <v>2732</v>
      </c>
      <c r="B2695" s="20">
        <f ca="1">INDIRECT(ADDRESS(MATCH(A2695,Raw!$A:$A,0),2,1,1,"Raw"))</f>
        <v>0</v>
      </c>
      <c r="C2695" s="20">
        <f>INDEX(Raw!$C:$C,MATCH(A2695,Raw!$A:$A,0))</f>
        <v>0</v>
      </c>
      <c r="D2695" s="21"/>
    </row>
    <row r="2696" spans="1:4" ht="11.25" customHeight="1" x14ac:dyDescent="0.25">
      <c r="A2696" s="22" t="s">
        <v>2733</v>
      </c>
      <c r="B2696" s="20">
        <f ca="1">INDIRECT(ADDRESS(MATCH(A2696,Raw!$A:$A,0),2,1,1,"Raw"))</f>
        <v>0</v>
      </c>
      <c r="C2696" s="20">
        <f>INDEX(Raw!$C:$C,MATCH(A2696,Raw!$A:$A,0))</f>
        <v>0</v>
      </c>
      <c r="D2696" s="21"/>
    </row>
    <row r="2697" spans="1:4" ht="11.25" customHeight="1" x14ac:dyDescent="0.25">
      <c r="A2697" s="22" t="s">
        <v>2734</v>
      </c>
      <c r="B2697" s="20">
        <f ca="1">INDIRECT(ADDRESS(MATCH(A2697,Raw!$A:$A,0),2,1,1,"Raw"))</f>
        <v>0</v>
      </c>
      <c r="C2697" s="20">
        <f>INDEX(Raw!$C:$C,MATCH(A2697,Raw!$A:$A,0))</f>
        <v>0</v>
      </c>
      <c r="D2697" s="21"/>
    </row>
    <row r="2698" spans="1:4" ht="11.25" customHeight="1" x14ac:dyDescent="0.25">
      <c r="A2698" s="22" t="s">
        <v>2735</v>
      </c>
      <c r="B2698" s="20">
        <f ca="1">INDIRECT(ADDRESS(MATCH(A2698,Raw!$A:$A,0),2,1,1,"Raw"))</f>
        <v>0</v>
      </c>
      <c r="C2698" s="20">
        <f>INDEX(Raw!$C:$C,MATCH(A2698,Raw!$A:$A,0))</f>
        <v>0</v>
      </c>
      <c r="D2698" s="21"/>
    </row>
    <row r="2699" spans="1:4" ht="11.25" customHeight="1" x14ac:dyDescent="0.25">
      <c r="A2699" s="22" t="s">
        <v>2736</v>
      </c>
      <c r="B2699" s="20">
        <f ca="1">INDIRECT(ADDRESS(MATCH(A2699,Raw!$A:$A,0),2,1,1,"Raw"))</f>
        <v>0</v>
      </c>
      <c r="C2699" s="20">
        <f>INDEX(Raw!$C:$C,MATCH(A2699,Raw!$A:$A,0))</f>
        <v>0</v>
      </c>
      <c r="D2699" s="21"/>
    </row>
    <row r="2700" spans="1:4" ht="11.25" customHeight="1" x14ac:dyDescent="0.25">
      <c r="A2700" s="22" t="s">
        <v>2737</v>
      </c>
      <c r="B2700" s="20">
        <f ca="1">INDIRECT(ADDRESS(MATCH(A2700,Raw!$A:$A,0),2,1,1,"Raw"))</f>
        <v>0</v>
      </c>
      <c r="C2700" s="20">
        <f>INDEX(Raw!$C:$C,MATCH(A2700,Raw!$A:$A,0))</f>
        <v>0</v>
      </c>
      <c r="D2700" s="21"/>
    </row>
    <row r="2701" spans="1:4" ht="11.25" customHeight="1" x14ac:dyDescent="0.25">
      <c r="A2701" s="22" t="s">
        <v>2738</v>
      </c>
      <c r="B2701" s="20">
        <f ca="1">INDIRECT(ADDRESS(MATCH(A2701,Raw!$A:$A,0),2,1,1,"Raw"))</f>
        <v>0</v>
      </c>
      <c r="C2701" s="20">
        <f>INDEX(Raw!$C:$C,MATCH(A2701,Raw!$A:$A,0))</f>
        <v>0</v>
      </c>
      <c r="D2701" s="21"/>
    </row>
    <row r="2702" spans="1:4" ht="11.25" customHeight="1" x14ac:dyDescent="0.25">
      <c r="A2702" s="22" t="s">
        <v>2739</v>
      </c>
      <c r="B2702" s="20">
        <f ca="1">INDIRECT(ADDRESS(MATCH(A2702,Raw!$A:$A,0),2,1,1,"Raw"))</f>
        <v>0</v>
      </c>
      <c r="C2702" s="20">
        <f>INDEX(Raw!$C:$C,MATCH(A2702,Raw!$A:$A,0))</f>
        <v>0</v>
      </c>
      <c r="D2702" s="21"/>
    </row>
    <row r="2703" spans="1:4" ht="11.25" customHeight="1" x14ac:dyDescent="0.25">
      <c r="A2703" s="22" t="s">
        <v>2740</v>
      </c>
      <c r="B2703" s="20">
        <f ca="1">INDIRECT(ADDRESS(MATCH(A2703,Raw!$A:$A,0),2,1,1,"Raw"))</f>
        <v>0</v>
      </c>
      <c r="C2703" s="20">
        <f>INDEX(Raw!$C:$C,MATCH(A2703,Raw!$A:$A,0))</f>
        <v>0</v>
      </c>
      <c r="D2703" s="21"/>
    </row>
    <row r="2704" spans="1:4" ht="11.25" customHeight="1" x14ac:dyDescent="0.25">
      <c r="A2704" s="22" t="s">
        <v>2741</v>
      </c>
      <c r="B2704" s="20">
        <f ca="1">INDIRECT(ADDRESS(MATCH(A2704,Raw!$A:$A,0),2,1,1,"Raw"))</f>
        <v>0</v>
      </c>
      <c r="C2704" s="20">
        <f>INDEX(Raw!$C:$C,MATCH(A2704,Raw!$A:$A,0))</f>
        <v>0</v>
      </c>
      <c r="D2704" s="21"/>
    </row>
    <row r="2705" spans="1:4" ht="11.25" customHeight="1" x14ac:dyDescent="0.25">
      <c r="A2705" s="22" t="s">
        <v>2742</v>
      </c>
      <c r="B2705" s="20">
        <f ca="1">INDIRECT(ADDRESS(MATCH(A2705,Raw!$A:$A,0),2,1,1,"Raw"))</f>
        <v>0</v>
      </c>
      <c r="C2705" s="20">
        <f>INDEX(Raw!$C:$C,MATCH(A2705,Raw!$A:$A,0))</f>
        <v>0</v>
      </c>
      <c r="D2705" s="21"/>
    </row>
    <row r="2706" spans="1:4" ht="11.25" customHeight="1" x14ac:dyDescent="0.25">
      <c r="A2706" s="22" t="s">
        <v>2743</v>
      </c>
      <c r="B2706" s="20">
        <f ca="1">INDIRECT(ADDRESS(MATCH(A2706,Raw!$A:$A,0),2,1,1,"Raw"))</f>
        <v>0</v>
      </c>
      <c r="C2706" s="20">
        <f>INDEX(Raw!$C:$C,MATCH(A2706,Raw!$A:$A,0))</f>
        <v>0</v>
      </c>
      <c r="D2706" s="21"/>
    </row>
    <row r="2707" spans="1:4" ht="11.25" customHeight="1" x14ac:dyDescent="0.25">
      <c r="A2707" s="22" t="s">
        <v>2744</v>
      </c>
      <c r="B2707" s="20">
        <f ca="1">INDIRECT(ADDRESS(MATCH(A2707,Raw!$A:$A,0),2,1,1,"Raw"))</f>
        <v>0</v>
      </c>
      <c r="C2707" s="20">
        <f>INDEX(Raw!$C:$C,MATCH(A2707,Raw!$A:$A,0))</f>
        <v>0</v>
      </c>
      <c r="D2707" s="21"/>
    </row>
    <row r="2708" spans="1:4" ht="11.25" customHeight="1" x14ac:dyDescent="0.25">
      <c r="A2708" s="22" t="s">
        <v>2745</v>
      </c>
      <c r="B2708" s="20">
        <f ca="1">INDIRECT(ADDRESS(MATCH(A2708,Raw!$A:$A,0),2,1,1,"Raw"))</f>
        <v>0</v>
      </c>
      <c r="C2708" s="20">
        <f>INDEX(Raw!$C:$C,MATCH(A2708,Raw!$A:$A,0))</f>
        <v>0</v>
      </c>
      <c r="D2708" s="21"/>
    </row>
    <row r="2709" spans="1:4" ht="11.25" customHeight="1" x14ac:dyDescent="0.25">
      <c r="A2709" s="22" t="s">
        <v>2746</v>
      </c>
      <c r="B2709" s="20">
        <f ca="1">INDIRECT(ADDRESS(MATCH(A2709,Raw!$A:$A,0),2,1,1,"Raw"))</f>
        <v>0</v>
      </c>
      <c r="C2709" s="20">
        <f>INDEX(Raw!$C:$C,MATCH(A2709,Raw!$A:$A,0))</f>
        <v>0</v>
      </c>
      <c r="D2709" s="21"/>
    </row>
    <row r="2710" spans="1:4" ht="11.25" customHeight="1" x14ac:dyDescent="0.25">
      <c r="A2710" s="22" t="s">
        <v>2747</v>
      </c>
      <c r="B2710" s="20">
        <f ca="1">INDIRECT(ADDRESS(MATCH(A2710,Raw!$A:$A,0),2,1,1,"Raw"))</f>
        <v>0</v>
      </c>
      <c r="C2710" s="20">
        <f>INDEX(Raw!$C:$C,MATCH(A2710,Raw!$A:$A,0))</f>
        <v>0</v>
      </c>
      <c r="D2710" s="21"/>
    </row>
    <row r="2711" spans="1:4" ht="11.25" customHeight="1" x14ac:dyDescent="0.25">
      <c r="A2711" s="22" t="s">
        <v>2748</v>
      </c>
      <c r="B2711" s="20">
        <f ca="1">INDIRECT(ADDRESS(MATCH(A2711,Raw!$A:$A,0),2,1,1,"Raw"))</f>
        <v>0</v>
      </c>
      <c r="C2711" s="20">
        <f>INDEX(Raw!$C:$C,MATCH(A2711,Raw!$A:$A,0))</f>
        <v>0</v>
      </c>
      <c r="D2711" s="21"/>
    </row>
    <row r="2712" spans="1:4" ht="11.25" customHeight="1" x14ac:dyDescent="0.25">
      <c r="A2712" s="22" t="s">
        <v>2749</v>
      </c>
      <c r="B2712" s="20">
        <f ca="1">INDIRECT(ADDRESS(MATCH(A2712,Raw!$A:$A,0),2,1,1,"Raw"))</f>
        <v>0</v>
      </c>
      <c r="C2712" s="20">
        <f>INDEX(Raw!$C:$C,MATCH(A2712,Raw!$A:$A,0))</f>
        <v>0</v>
      </c>
      <c r="D2712" s="21"/>
    </row>
    <row r="2713" spans="1:4" ht="11.25" customHeight="1" x14ac:dyDescent="0.25">
      <c r="A2713" s="22" t="s">
        <v>2750</v>
      </c>
      <c r="B2713" s="20">
        <f ca="1">INDIRECT(ADDRESS(MATCH(A2713,Raw!$A:$A,0),2,1,1,"Raw"))</f>
        <v>0</v>
      </c>
      <c r="C2713" s="20">
        <f>INDEX(Raw!$C:$C,MATCH(A2713,Raw!$A:$A,0))</f>
        <v>0</v>
      </c>
      <c r="D2713" s="21"/>
    </row>
    <row r="2714" spans="1:4" ht="11.25" customHeight="1" x14ac:dyDescent="0.25">
      <c r="A2714" s="22" t="s">
        <v>2751</v>
      </c>
      <c r="B2714" s="20">
        <f ca="1">INDIRECT(ADDRESS(MATCH(A2714,Raw!$A:$A,0),2,1,1,"Raw"))</f>
        <v>0</v>
      </c>
      <c r="C2714" s="20">
        <f>INDEX(Raw!$C:$C,MATCH(A2714,Raw!$A:$A,0))</f>
        <v>0</v>
      </c>
      <c r="D2714" s="21"/>
    </row>
    <row r="2715" spans="1:4" ht="11.25" customHeight="1" x14ac:dyDescent="0.25">
      <c r="A2715" s="22" t="s">
        <v>2752</v>
      </c>
      <c r="B2715" s="20">
        <f ca="1">INDIRECT(ADDRESS(MATCH(A2715,Raw!$A:$A,0),2,1,1,"Raw"))</f>
        <v>0</v>
      </c>
      <c r="C2715" s="20">
        <f>INDEX(Raw!$C:$C,MATCH(A2715,Raw!$A:$A,0))</f>
        <v>0</v>
      </c>
      <c r="D2715" s="21"/>
    </row>
    <row r="2716" spans="1:4" ht="11.25" customHeight="1" x14ac:dyDescent="0.25">
      <c r="A2716" s="22" t="s">
        <v>2753</v>
      </c>
      <c r="B2716" s="20">
        <f ca="1">INDIRECT(ADDRESS(MATCH(A2716,Raw!$A:$A,0),2,1,1,"Raw"))</f>
        <v>0</v>
      </c>
      <c r="C2716" s="20">
        <f>INDEX(Raw!$C:$C,MATCH(A2716,Raw!$A:$A,0))</f>
        <v>0</v>
      </c>
      <c r="D2716" s="21"/>
    </row>
    <row r="2717" spans="1:4" ht="11.25" customHeight="1" x14ac:dyDescent="0.25">
      <c r="A2717" s="22" t="s">
        <v>2754</v>
      </c>
      <c r="B2717" s="20">
        <f ca="1">INDIRECT(ADDRESS(MATCH(A2717,Raw!$A:$A,0),2,1,1,"Raw"))</f>
        <v>0</v>
      </c>
      <c r="C2717" s="20">
        <f>INDEX(Raw!$C:$C,MATCH(A2717,Raw!$A:$A,0))</f>
        <v>0</v>
      </c>
      <c r="D2717" s="21"/>
    </row>
    <row r="2718" spans="1:4" ht="11.25" customHeight="1" x14ac:dyDescent="0.25">
      <c r="A2718" s="22" t="s">
        <v>2755</v>
      </c>
      <c r="B2718" s="20">
        <f ca="1">INDIRECT(ADDRESS(MATCH(A2718,Raw!$A:$A,0),2,1,1,"Raw"))</f>
        <v>0</v>
      </c>
      <c r="C2718" s="20">
        <f>INDEX(Raw!$C:$C,MATCH(A2718,Raw!$A:$A,0))</f>
        <v>0</v>
      </c>
      <c r="D2718" s="21"/>
    </row>
    <row r="2719" spans="1:4" ht="11.25" customHeight="1" x14ac:dyDescent="0.25">
      <c r="A2719" s="22" t="s">
        <v>2756</v>
      </c>
      <c r="B2719" s="20">
        <f ca="1">INDIRECT(ADDRESS(MATCH(A2719,Raw!$A:$A,0),2,1,1,"Raw"))</f>
        <v>0</v>
      </c>
      <c r="C2719" s="20">
        <f>INDEX(Raw!$C:$C,MATCH(A2719,Raw!$A:$A,0))</f>
        <v>0</v>
      </c>
      <c r="D2719" s="21"/>
    </row>
    <row r="2720" spans="1:4" ht="11.25" customHeight="1" x14ac:dyDescent="0.25">
      <c r="A2720" s="22" t="s">
        <v>2757</v>
      </c>
      <c r="B2720" s="20">
        <f ca="1">INDIRECT(ADDRESS(MATCH(A2720,Raw!$A:$A,0),2,1,1,"Raw"))</f>
        <v>0</v>
      </c>
      <c r="C2720" s="20">
        <f>INDEX(Raw!$C:$C,MATCH(A2720,Raw!$A:$A,0))</f>
        <v>0</v>
      </c>
      <c r="D2720" s="21"/>
    </row>
    <row r="2721" spans="1:4" ht="11.25" customHeight="1" x14ac:dyDescent="0.25">
      <c r="A2721" s="22" t="s">
        <v>2758</v>
      </c>
      <c r="B2721" s="20">
        <f ca="1">INDIRECT(ADDRESS(MATCH(A2721,Raw!$A:$A,0),2,1,1,"Raw"))</f>
        <v>0</v>
      </c>
      <c r="C2721" s="20">
        <f>INDEX(Raw!$C:$C,MATCH(A2721,Raw!$A:$A,0))</f>
        <v>0</v>
      </c>
      <c r="D2721" s="21"/>
    </row>
    <row r="2722" spans="1:4" ht="11.25" customHeight="1" x14ac:dyDescent="0.25">
      <c r="A2722" s="22" t="s">
        <v>2759</v>
      </c>
      <c r="B2722" s="20">
        <f ca="1">INDIRECT(ADDRESS(MATCH(A2722,Raw!$A:$A,0),2,1,1,"Raw"))</f>
        <v>0</v>
      </c>
      <c r="C2722" s="20">
        <f>INDEX(Raw!$C:$C,MATCH(A2722,Raw!$A:$A,0))</f>
        <v>0</v>
      </c>
      <c r="D2722" s="21"/>
    </row>
    <row r="2723" spans="1:4" ht="11.25" customHeight="1" x14ac:dyDescent="0.25">
      <c r="A2723" s="22" t="s">
        <v>2760</v>
      </c>
      <c r="B2723" s="20">
        <f ca="1">INDIRECT(ADDRESS(MATCH(A2723,Raw!$A:$A,0),2,1,1,"Raw"))</f>
        <v>0</v>
      </c>
      <c r="C2723" s="20">
        <f>INDEX(Raw!$C:$C,MATCH(A2723,Raw!$A:$A,0))</f>
        <v>0</v>
      </c>
      <c r="D2723" s="21"/>
    </row>
    <row r="2724" spans="1:4" ht="11.25" customHeight="1" x14ac:dyDescent="0.25">
      <c r="A2724" s="22" t="s">
        <v>2761</v>
      </c>
      <c r="B2724" s="20">
        <f ca="1">INDIRECT(ADDRESS(MATCH(A2724,Raw!$A:$A,0),2,1,1,"Raw"))</f>
        <v>0</v>
      </c>
      <c r="C2724" s="20">
        <f>INDEX(Raw!$C:$C,MATCH(A2724,Raw!$A:$A,0))</f>
        <v>0</v>
      </c>
      <c r="D2724" s="21"/>
    </row>
    <row r="2725" spans="1:4" ht="11.25" customHeight="1" x14ac:dyDescent="0.25">
      <c r="A2725" s="22" t="s">
        <v>2762</v>
      </c>
      <c r="B2725" s="20">
        <f ca="1">INDIRECT(ADDRESS(MATCH(A2725,Raw!$A:$A,0),2,1,1,"Raw"))</f>
        <v>0</v>
      </c>
      <c r="C2725" s="20">
        <f>INDEX(Raw!$C:$C,MATCH(A2725,Raw!$A:$A,0))</f>
        <v>0</v>
      </c>
      <c r="D2725" s="21"/>
    </row>
    <row r="2726" spans="1:4" ht="11.25" customHeight="1" x14ac:dyDescent="0.25">
      <c r="A2726" s="22" t="s">
        <v>2763</v>
      </c>
      <c r="B2726" s="20">
        <f ca="1">INDIRECT(ADDRESS(MATCH(A2726,Raw!$A:$A,0),2,1,1,"Raw"))</f>
        <v>0</v>
      </c>
      <c r="C2726" s="20">
        <f>INDEX(Raw!$C:$C,MATCH(A2726,Raw!$A:$A,0))</f>
        <v>0</v>
      </c>
      <c r="D2726" s="21"/>
    </row>
    <row r="2727" spans="1:4" ht="11.25" customHeight="1" x14ac:dyDescent="0.25">
      <c r="A2727" s="22" t="s">
        <v>2764</v>
      </c>
      <c r="B2727" s="20">
        <f ca="1">INDIRECT(ADDRESS(MATCH(A2727,Raw!$A:$A,0),2,1,1,"Raw"))</f>
        <v>0</v>
      </c>
      <c r="C2727" s="20">
        <f>INDEX(Raw!$C:$C,MATCH(A2727,Raw!$A:$A,0))</f>
        <v>0</v>
      </c>
      <c r="D2727" s="21"/>
    </row>
    <row r="2728" spans="1:4" ht="11.25" customHeight="1" x14ac:dyDescent="0.25">
      <c r="A2728" s="22" t="s">
        <v>2765</v>
      </c>
      <c r="B2728" s="20">
        <f ca="1">INDIRECT(ADDRESS(MATCH(A2728,Raw!$A:$A,0),2,1,1,"Raw"))</f>
        <v>0</v>
      </c>
      <c r="C2728" s="20">
        <f>INDEX(Raw!$C:$C,MATCH(A2728,Raw!$A:$A,0))</f>
        <v>0</v>
      </c>
      <c r="D2728" s="21"/>
    </row>
    <row r="2729" spans="1:4" ht="11.25" customHeight="1" x14ac:dyDescent="0.25">
      <c r="A2729" s="22" t="s">
        <v>2766</v>
      </c>
      <c r="B2729" s="20">
        <f ca="1">INDIRECT(ADDRESS(MATCH(A2729,Raw!$A:$A,0),2,1,1,"Raw"))</f>
        <v>0</v>
      </c>
      <c r="C2729" s="20">
        <f>INDEX(Raw!$C:$C,MATCH(A2729,Raw!$A:$A,0))</f>
        <v>0</v>
      </c>
      <c r="D2729" s="21"/>
    </row>
    <row r="2730" spans="1:4" ht="11.25" customHeight="1" x14ac:dyDescent="0.25">
      <c r="A2730" s="22" t="s">
        <v>2767</v>
      </c>
      <c r="B2730" s="20">
        <f ca="1">INDIRECT(ADDRESS(MATCH(A2730,Raw!$A:$A,0),2,1,1,"Raw"))</f>
        <v>0</v>
      </c>
      <c r="C2730" s="20">
        <f>INDEX(Raw!$C:$C,MATCH(A2730,Raw!$A:$A,0))</f>
        <v>0</v>
      </c>
      <c r="D2730" s="21"/>
    </row>
    <row r="2731" spans="1:4" ht="11.25" customHeight="1" x14ac:dyDescent="0.25">
      <c r="A2731" s="22" t="s">
        <v>2768</v>
      </c>
      <c r="B2731" s="20">
        <f ca="1">INDIRECT(ADDRESS(MATCH(A2731,Raw!$A:$A,0),2,1,1,"Raw"))</f>
        <v>0</v>
      </c>
      <c r="C2731" s="20">
        <f>INDEX(Raw!$C:$C,MATCH(A2731,Raw!$A:$A,0))</f>
        <v>0</v>
      </c>
      <c r="D2731" s="21"/>
    </row>
    <row r="2732" spans="1:4" ht="11.25" customHeight="1" x14ac:dyDescent="0.25">
      <c r="A2732" s="22" t="s">
        <v>2769</v>
      </c>
      <c r="B2732" s="20">
        <f ca="1">INDIRECT(ADDRESS(MATCH(A2732,Raw!$A:$A,0),2,1,1,"Raw"))</f>
        <v>0</v>
      </c>
      <c r="C2732" s="20">
        <f>INDEX(Raw!$C:$C,MATCH(A2732,Raw!$A:$A,0))</f>
        <v>0</v>
      </c>
      <c r="D2732" s="21"/>
    </row>
    <row r="2733" spans="1:4" ht="11.25" customHeight="1" x14ac:dyDescent="0.25">
      <c r="A2733" s="22" t="s">
        <v>2770</v>
      </c>
      <c r="B2733" s="20">
        <f ca="1">INDIRECT(ADDRESS(MATCH(A2733,Raw!$A:$A,0),2,1,1,"Raw"))</f>
        <v>0</v>
      </c>
      <c r="C2733" s="20">
        <f>INDEX(Raw!$C:$C,MATCH(A2733,Raw!$A:$A,0))</f>
        <v>0</v>
      </c>
      <c r="D2733" s="21"/>
    </row>
    <row r="2734" spans="1:4" ht="11.25" customHeight="1" x14ac:dyDescent="0.25">
      <c r="A2734" s="22" t="s">
        <v>2771</v>
      </c>
      <c r="B2734" s="20">
        <f ca="1">INDIRECT(ADDRESS(MATCH(A2734,Raw!$A:$A,0),2,1,1,"Raw"))</f>
        <v>0</v>
      </c>
      <c r="C2734" s="20">
        <f>INDEX(Raw!$C:$C,MATCH(A2734,Raw!$A:$A,0))</f>
        <v>0</v>
      </c>
      <c r="D2734" s="21"/>
    </row>
    <row r="2735" spans="1:4" ht="11.25" customHeight="1" x14ac:dyDescent="0.25">
      <c r="A2735" s="22" t="s">
        <v>2772</v>
      </c>
      <c r="B2735" s="20">
        <f ca="1">INDIRECT(ADDRESS(MATCH(A2735,Raw!$A:$A,0),2,1,1,"Raw"))</f>
        <v>0</v>
      </c>
      <c r="C2735" s="20">
        <f>INDEX(Raw!$C:$C,MATCH(A2735,Raw!$A:$A,0))</f>
        <v>0</v>
      </c>
      <c r="D2735" s="21"/>
    </row>
    <row r="2736" spans="1:4" ht="11.25" customHeight="1" x14ac:dyDescent="0.25">
      <c r="A2736" s="22" t="s">
        <v>2773</v>
      </c>
      <c r="B2736" s="20">
        <f ca="1">INDIRECT(ADDRESS(MATCH(A2736,Raw!$A:$A,0),2,1,1,"Raw"))</f>
        <v>0</v>
      </c>
      <c r="C2736" s="20">
        <f>INDEX(Raw!$C:$C,MATCH(A2736,Raw!$A:$A,0))</f>
        <v>0</v>
      </c>
      <c r="D2736" s="21"/>
    </row>
    <row r="2737" spans="1:4" ht="11.25" customHeight="1" x14ac:dyDescent="0.25">
      <c r="A2737" s="22" t="s">
        <v>2774</v>
      </c>
      <c r="B2737" s="20">
        <f ca="1">INDIRECT(ADDRESS(MATCH(A2737,Raw!$A:$A,0),2,1,1,"Raw"))</f>
        <v>0</v>
      </c>
      <c r="C2737" s="20">
        <f>INDEX(Raw!$C:$C,MATCH(A2737,Raw!$A:$A,0))</f>
        <v>0</v>
      </c>
      <c r="D2737" s="21"/>
    </row>
    <row r="2738" spans="1:4" ht="11.25" customHeight="1" x14ac:dyDescent="0.25">
      <c r="A2738" s="22" t="s">
        <v>2775</v>
      </c>
      <c r="B2738" s="20">
        <f ca="1">INDIRECT(ADDRESS(MATCH(A2738,Raw!$A:$A,0),2,1,1,"Raw"))</f>
        <v>0</v>
      </c>
      <c r="C2738" s="20">
        <f>INDEX(Raw!$C:$C,MATCH(A2738,Raw!$A:$A,0))</f>
        <v>0</v>
      </c>
      <c r="D2738" s="21"/>
    </row>
    <row r="2739" spans="1:4" ht="11.25" customHeight="1" x14ac:dyDescent="0.25">
      <c r="A2739" s="22" t="s">
        <v>2776</v>
      </c>
      <c r="B2739" s="20">
        <f ca="1">INDIRECT(ADDRESS(MATCH(A2739,Raw!$A:$A,0),2,1,1,"Raw"))</f>
        <v>0</v>
      </c>
      <c r="C2739" s="20">
        <f>INDEX(Raw!$C:$C,MATCH(A2739,Raw!$A:$A,0))</f>
        <v>0</v>
      </c>
      <c r="D2739" s="21"/>
    </row>
    <row r="2740" spans="1:4" ht="11.25" customHeight="1" x14ac:dyDescent="0.25">
      <c r="A2740" s="22" t="s">
        <v>2777</v>
      </c>
      <c r="B2740" s="20">
        <f ca="1">INDIRECT(ADDRESS(MATCH(A2740,Raw!$A:$A,0),2,1,1,"Raw"))</f>
        <v>0</v>
      </c>
      <c r="C2740" s="20">
        <f>INDEX(Raw!$C:$C,MATCH(A2740,Raw!$A:$A,0))</f>
        <v>0</v>
      </c>
      <c r="D2740" s="21"/>
    </row>
    <row r="2741" spans="1:4" ht="11.25" customHeight="1" x14ac:dyDescent="0.25">
      <c r="A2741" s="22" t="s">
        <v>2778</v>
      </c>
      <c r="B2741" s="20">
        <f ca="1">INDIRECT(ADDRESS(MATCH(A2741,Raw!$A:$A,0),2,1,1,"Raw"))</f>
        <v>0</v>
      </c>
      <c r="C2741" s="20">
        <f>INDEX(Raw!$C:$C,MATCH(A2741,Raw!$A:$A,0))</f>
        <v>0</v>
      </c>
      <c r="D2741" s="21"/>
    </row>
    <row r="2742" spans="1:4" ht="11.25" customHeight="1" x14ac:dyDescent="0.25">
      <c r="A2742" s="22" t="s">
        <v>2779</v>
      </c>
      <c r="B2742" s="20">
        <f ca="1">INDIRECT(ADDRESS(MATCH(A2742,Raw!$A:$A,0),2,1,1,"Raw"))</f>
        <v>0</v>
      </c>
      <c r="C2742" s="20">
        <f>INDEX(Raw!$C:$C,MATCH(A2742,Raw!$A:$A,0))</f>
        <v>0</v>
      </c>
      <c r="D2742" s="21"/>
    </row>
    <row r="2743" spans="1:4" ht="11.25" customHeight="1" x14ac:dyDescent="0.25">
      <c r="A2743" s="22" t="s">
        <v>2780</v>
      </c>
      <c r="B2743" s="20">
        <f ca="1">INDIRECT(ADDRESS(MATCH(A2743,Raw!$A:$A,0),2,1,1,"Raw"))</f>
        <v>0</v>
      </c>
      <c r="C2743" s="20">
        <f>INDEX(Raw!$C:$C,MATCH(A2743,Raw!$A:$A,0))</f>
        <v>0</v>
      </c>
      <c r="D2743" s="21"/>
    </row>
    <row r="2744" spans="1:4" ht="11.25" customHeight="1" x14ac:dyDescent="0.25">
      <c r="A2744" s="22" t="s">
        <v>2781</v>
      </c>
      <c r="B2744" s="20">
        <f ca="1">INDIRECT(ADDRESS(MATCH(A2744,Raw!$A:$A,0),2,1,1,"Raw"))</f>
        <v>0</v>
      </c>
      <c r="C2744" s="20">
        <f>INDEX(Raw!$C:$C,MATCH(A2744,Raw!$A:$A,0))</f>
        <v>0</v>
      </c>
      <c r="D2744" s="21"/>
    </row>
    <row r="2745" spans="1:4" ht="11.25" customHeight="1" x14ac:dyDescent="0.25">
      <c r="A2745" s="22" t="s">
        <v>2782</v>
      </c>
      <c r="B2745" s="20">
        <f ca="1">INDIRECT(ADDRESS(MATCH(A2745,Raw!$A:$A,0),2,1,1,"Raw"))</f>
        <v>0</v>
      </c>
      <c r="C2745" s="20">
        <f>INDEX(Raw!$C:$C,MATCH(A2745,Raw!$A:$A,0))</f>
        <v>0</v>
      </c>
      <c r="D2745" s="21"/>
    </row>
    <row r="2746" spans="1:4" ht="11.25" customHeight="1" x14ac:dyDescent="0.25">
      <c r="A2746" s="22" t="s">
        <v>2783</v>
      </c>
      <c r="B2746" s="20">
        <f ca="1">INDIRECT(ADDRESS(MATCH(A2746,Raw!$A:$A,0),2,1,1,"Raw"))</f>
        <v>0</v>
      </c>
      <c r="C2746" s="20">
        <f>INDEX(Raw!$C:$C,MATCH(A2746,Raw!$A:$A,0))</f>
        <v>0</v>
      </c>
      <c r="D2746" s="21"/>
    </row>
    <row r="2747" spans="1:4" ht="11.25" customHeight="1" x14ac:dyDescent="0.25">
      <c r="B2747" s="20"/>
      <c r="C2747" s="21"/>
      <c r="D2747" s="21"/>
    </row>
  </sheetData>
  <pageMargins left="0.7" right="0.7" top="0.75" bottom="0.75"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D2745"/>
  <sheetViews>
    <sheetView zoomScaleNormal="100" workbookViewId="0">
      <pane ySplit="1" topLeftCell="A2" activePane="bottomLeft" state="frozen"/>
      <selection pane="bottomLeft" activeCell="B2" sqref="B2"/>
    </sheetView>
  </sheetViews>
  <sheetFormatPr defaultColWidth="9.140625" defaultRowHeight="11.25" x14ac:dyDescent="0.2"/>
  <cols>
    <col min="1" max="1" width="13.28515625" style="2" customWidth="1"/>
    <col min="2" max="2" width="35.5703125" style="2" customWidth="1"/>
    <col min="3" max="3" width="34" style="2" customWidth="1"/>
    <col min="4" max="4" width="9.140625" style="23"/>
    <col min="5" max="16384" width="9.140625" style="2"/>
  </cols>
  <sheetData>
    <row r="1" spans="1:3" ht="11.25" customHeight="1" x14ac:dyDescent="0.2">
      <c r="A1" s="24" t="s">
        <v>37</v>
      </c>
      <c r="B1" s="24" t="s">
        <v>38</v>
      </c>
      <c r="C1" s="24" t="s">
        <v>39</v>
      </c>
    </row>
    <row r="2" spans="1:3" ht="11.25" customHeight="1" x14ac:dyDescent="0.2">
      <c r="A2" s="25" t="s">
        <v>40</v>
      </c>
      <c r="B2" s="25"/>
      <c r="C2" s="25"/>
    </row>
    <row r="3" spans="1:3" ht="11.25" customHeight="1" x14ac:dyDescent="0.2">
      <c r="A3" s="26" t="s">
        <v>41</v>
      </c>
      <c r="B3" s="22"/>
      <c r="C3" s="26"/>
    </row>
    <row r="4" spans="1:3" ht="11.25" customHeight="1" x14ac:dyDescent="0.2">
      <c r="A4" s="25" t="s">
        <v>42</v>
      </c>
      <c r="B4" s="25"/>
      <c r="C4" s="25"/>
    </row>
    <row r="5" spans="1:3" ht="11.25" customHeight="1" x14ac:dyDescent="0.2">
      <c r="A5" s="25" t="s">
        <v>43</v>
      </c>
      <c r="B5" s="25"/>
      <c r="C5" s="25"/>
    </row>
    <row r="6" spans="1:3" ht="11.25" customHeight="1" x14ac:dyDescent="0.2">
      <c r="A6" s="26" t="s">
        <v>44</v>
      </c>
      <c r="B6" s="26"/>
      <c r="C6" s="26"/>
    </row>
    <row r="7" spans="1:3" ht="11.25" customHeight="1" x14ac:dyDescent="0.2">
      <c r="A7" s="25" t="s">
        <v>45</v>
      </c>
      <c r="B7" s="25"/>
      <c r="C7" s="25"/>
    </row>
    <row r="8" spans="1:3" ht="11.25" customHeight="1" x14ac:dyDescent="0.2">
      <c r="A8" s="26" t="s">
        <v>46</v>
      </c>
      <c r="B8" s="26"/>
      <c r="C8" s="26"/>
    </row>
    <row r="9" spans="1:3" ht="11.25" customHeight="1" x14ac:dyDescent="0.2">
      <c r="A9" s="26" t="s">
        <v>47</v>
      </c>
      <c r="B9" s="26"/>
      <c r="C9" s="26"/>
    </row>
    <row r="10" spans="1:3" ht="11.25" customHeight="1" x14ac:dyDescent="0.2">
      <c r="A10" s="26" t="s">
        <v>48</v>
      </c>
      <c r="B10" s="26"/>
      <c r="C10" s="26"/>
    </row>
    <row r="11" spans="1:3" ht="11.25" customHeight="1" x14ac:dyDescent="0.2">
      <c r="A11" s="25" t="s">
        <v>49</v>
      </c>
      <c r="B11" s="25"/>
      <c r="C11" s="25"/>
    </row>
    <row r="12" spans="1:3" ht="11.25" customHeight="1" x14ac:dyDescent="0.2">
      <c r="A12" s="26" t="s">
        <v>50</v>
      </c>
      <c r="B12" s="26"/>
      <c r="C12" s="26"/>
    </row>
    <row r="13" spans="1:3" ht="11.25" customHeight="1" x14ac:dyDescent="0.2">
      <c r="A13" s="25" t="s">
        <v>51</v>
      </c>
      <c r="B13" s="25"/>
      <c r="C13" s="25"/>
    </row>
    <row r="14" spans="1:3" ht="11.25" customHeight="1" x14ac:dyDescent="0.2">
      <c r="A14" s="26" t="s">
        <v>52</v>
      </c>
      <c r="B14" s="26"/>
      <c r="C14" s="26"/>
    </row>
    <row r="15" spans="1:3" ht="11.25" customHeight="1" x14ac:dyDescent="0.2">
      <c r="A15" s="26" t="s">
        <v>53</v>
      </c>
      <c r="B15" s="26"/>
      <c r="C15" s="26"/>
    </row>
    <row r="16" spans="1:3" ht="11.25" customHeight="1" x14ac:dyDescent="0.2">
      <c r="A16" s="25" t="s">
        <v>54</v>
      </c>
      <c r="B16" s="25"/>
      <c r="C16" s="25"/>
    </row>
    <row r="17" spans="1:3" ht="11.25" customHeight="1" x14ac:dyDescent="0.2">
      <c r="A17" s="26" t="s">
        <v>55</v>
      </c>
      <c r="B17" s="26"/>
      <c r="C17" s="26"/>
    </row>
    <row r="18" spans="1:3" ht="11.25" customHeight="1" x14ac:dyDescent="0.2">
      <c r="A18" s="26" t="s">
        <v>56</v>
      </c>
      <c r="B18" s="26"/>
      <c r="C18" s="26"/>
    </row>
    <row r="19" spans="1:3" ht="11.25" customHeight="1" x14ac:dyDescent="0.2">
      <c r="A19" s="25" t="s">
        <v>57</v>
      </c>
      <c r="B19" s="25"/>
      <c r="C19" s="25"/>
    </row>
    <row r="20" spans="1:3" ht="11.25" customHeight="1" x14ac:dyDescent="0.2">
      <c r="A20" s="26" t="s">
        <v>58</v>
      </c>
      <c r="B20" s="26"/>
      <c r="C20" s="26"/>
    </row>
    <row r="21" spans="1:3" ht="11.25" customHeight="1" x14ac:dyDescent="0.2">
      <c r="A21" s="25" t="s">
        <v>59</v>
      </c>
      <c r="B21" s="25"/>
      <c r="C21" s="25"/>
    </row>
    <row r="22" spans="1:3" ht="11.25" customHeight="1" x14ac:dyDescent="0.2">
      <c r="A22" s="26" t="s">
        <v>60</v>
      </c>
      <c r="B22" s="26"/>
      <c r="C22" s="26"/>
    </row>
    <row r="23" spans="1:3" ht="11.25" customHeight="1" x14ac:dyDescent="0.2">
      <c r="A23" s="25" t="s">
        <v>61</v>
      </c>
      <c r="B23" s="25"/>
      <c r="C23" s="25"/>
    </row>
    <row r="24" spans="1:3" ht="11.25" customHeight="1" x14ac:dyDescent="0.2">
      <c r="A24" s="25" t="s">
        <v>62</v>
      </c>
      <c r="B24" s="25"/>
      <c r="C24" s="25"/>
    </row>
    <row r="25" spans="1:3" ht="11.25" customHeight="1" x14ac:dyDescent="0.2">
      <c r="A25" s="25" t="s">
        <v>63</v>
      </c>
      <c r="B25" s="25"/>
      <c r="C25" s="25"/>
    </row>
    <row r="26" spans="1:3" ht="11.25" customHeight="1" x14ac:dyDescent="0.2">
      <c r="A26" s="25" t="s">
        <v>64</v>
      </c>
      <c r="B26" s="25"/>
      <c r="C26" s="25"/>
    </row>
    <row r="27" spans="1:3" ht="11.25" customHeight="1" x14ac:dyDescent="0.2">
      <c r="A27" s="26" t="s">
        <v>65</v>
      </c>
      <c r="B27" s="26"/>
      <c r="C27" s="26"/>
    </row>
    <row r="28" spans="1:3" ht="11.25" customHeight="1" x14ac:dyDescent="0.2">
      <c r="A28" s="25" t="s">
        <v>66</v>
      </c>
      <c r="B28" s="25"/>
      <c r="C28" s="25"/>
    </row>
    <row r="29" spans="1:3" ht="11.25" customHeight="1" x14ac:dyDescent="0.2">
      <c r="A29" s="26" t="s">
        <v>67</v>
      </c>
      <c r="B29" s="26"/>
      <c r="C29" s="26"/>
    </row>
    <row r="30" spans="1:3" ht="11.25" customHeight="1" x14ac:dyDescent="0.2">
      <c r="A30" s="25" t="s">
        <v>68</v>
      </c>
      <c r="B30" s="25"/>
      <c r="C30" s="25"/>
    </row>
    <row r="31" spans="1:3" ht="11.25" customHeight="1" x14ac:dyDescent="0.2">
      <c r="A31" s="26" t="s">
        <v>69</v>
      </c>
      <c r="B31" s="26"/>
      <c r="C31" s="26"/>
    </row>
    <row r="32" spans="1:3" ht="11.25" customHeight="1" x14ac:dyDescent="0.2">
      <c r="A32" s="26" t="s">
        <v>70</v>
      </c>
      <c r="B32" s="26"/>
      <c r="C32" s="26"/>
    </row>
    <row r="33" spans="1:3" ht="11.25" customHeight="1" x14ac:dyDescent="0.2">
      <c r="A33" s="26" t="s">
        <v>71</v>
      </c>
      <c r="B33" s="26"/>
      <c r="C33" s="26"/>
    </row>
    <row r="34" spans="1:3" ht="11.25" customHeight="1" x14ac:dyDescent="0.2">
      <c r="A34" s="26" t="s">
        <v>72</v>
      </c>
      <c r="B34" s="26"/>
      <c r="C34" s="26"/>
    </row>
    <row r="35" spans="1:3" ht="11.25" customHeight="1" x14ac:dyDescent="0.2">
      <c r="A35" s="25" t="s">
        <v>73</v>
      </c>
      <c r="B35" s="25"/>
      <c r="C35" s="25"/>
    </row>
    <row r="36" spans="1:3" ht="11.25" customHeight="1" x14ac:dyDescent="0.2">
      <c r="A36" s="26" t="s">
        <v>74</v>
      </c>
      <c r="B36" s="26"/>
      <c r="C36" s="26"/>
    </row>
    <row r="37" spans="1:3" ht="11.25" customHeight="1" x14ac:dyDescent="0.2">
      <c r="A37" s="25" t="s">
        <v>75</v>
      </c>
      <c r="B37" s="25"/>
      <c r="C37" s="25"/>
    </row>
    <row r="38" spans="1:3" ht="11.25" customHeight="1" x14ac:dyDescent="0.2">
      <c r="A38" s="26" t="s">
        <v>76</v>
      </c>
      <c r="B38" s="26"/>
      <c r="C38" s="26"/>
    </row>
    <row r="39" spans="1:3" ht="11.25" customHeight="1" x14ac:dyDescent="0.2">
      <c r="A39" s="25" t="s">
        <v>77</v>
      </c>
      <c r="B39" s="25"/>
      <c r="C39" s="25"/>
    </row>
    <row r="40" spans="1:3" ht="11.25" customHeight="1" x14ac:dyDescent="0.2">
      <c r="A40" s="26" t="s">
        <v>78</v>
      </c>
      <c r="B40" s="26"/>
      <c r="C40" s="26"/>
    </row>
    <row r="41" spans="1:3" ht="11.25" customHeight="1" x14ac:dyDescent="0.2">
      <c r="A41" s="25" t="s">
        <v>79</v>
      </c>
      <c r="B41" s="25"/>
      <c r="C41" s="25"/>
    </row>
    <row r="42" spans="1:3" ht="11.25" customHeight="1" x14ac:dyDescent="0.2">
      <c r="A42" s="26" t="s">
        <v>80</v>
      </c>
      <c r="B42" s="26"/>
      <c r="C42" s="26"/>
    </row>
    <row r="43" spans="1:3" ht="11.25" customHeight="1" x14ac:dyDescent="0.2">
      <c r="A43" s="25" t="s">
        <v>81</v>
      </c>
      <c r="B43" s="25"/>
      <c r="C43" s="25"/>
    </row>
    <row r="44" spans="1:3" ht="11.25" customHeight="1" x14ac:dyDescent="0.2">
      <c r="A44" s="26" t="s">
        <v>82</v>
      </c>
      <c r="B44" s="26"/>
      <c r="C44" s="26"/>
    </row>
    <row r="45" spans="1:3" ht="11.25" customHeight="1" x14ac:dyDescent="0.2">
      <c r="A45" s="26" t="s">
        <v>83</v>
      </c>
      <c r="B45" s="26"/>
      <c r="C45" s="26"/>
    </row>
    <row r="46" spans="1:3" ht="11.25" customHeight="1" x14ac:dyDescent="0.2">
      <c r="A46" s="25" t="s">
        <v>84</v>
      </c>
      <c r="B46" s="25"/>
      <c r="C46" s="25"/>
    </row>
    <row r="47" spans="1:3" ht="11.25" customHeight="1" x14ac:dyDescent="0.2">
      <c r="A47" s="25" t="s">
        <v>85</v>
      </c>
      <c r="B47" s="25"/>
      <c r="C47" s="25"/>
    </row>
    <row r="48" spans="1:3" ht="11.25" customHeight="1" x14ac:dyDescent="0.2">
      <c r="A48" s="26" t="s">
        <v>86</v>
      </c>
      <c r="B48" s="26"/>
      <c r="C48" s="26"/>
    </row>
    <row r="49" spans="1:3" ht="11.25" customHeight="1" x14ac:dyDescent="0.2">
      <c r="A49" s="26" t="s">
        <v>87</v>
      </c>
      <c r="B49" s="26"/>
      <c r="C49" s="26"/>
    </row>
    <row r="50" spans="1:3" ht="11.25" customHeight="1" x14ac:dyDescent="0.2">
      <c r="A50" s="25" t="s">
        <v>88</v>
      </c>
      <c r="B50" s="25"/>
      <c r="C50" s="25"/>
    </row>
    <row r="51" spans="1:3" ht="11.25" customHeight="1" x14ac:dyDescent="0.2">
      <c r="A51" s="25" t="s">
        <v>89</v>
      </c>
      <c r="B51" s="25"/>
      <c r="C51" s="25"/>
    </row>
    <row r="52" spans="1:3" ht="11.25" customHeight="1" x14ac:dyDescent="0.2">
      <c r="A52" s="26" t="s">
        <v>90</v>
      </c>
      <c r="B52" s="26"/>
      <c r="C52" s="26"/>
    </row>
    <row r="53" spans="1:3" ht="11.25" customHeight="1" x14ac:dyDescent="0.2">
      <c r="A53" s="25" t="s">
        <v>91</v>
      </c>
      <c r="B53" s="25"/>
      <c r="C53" s="25"/>
    </row>
    <row r="54" spans="1:3" ht="11.25" customHeight="1" x14ac:dyDescent="0.2">
      <c r="A54" s="26" t="s">
        <v>92</v>
      </c>
      <c r="B54" s="26"/>
      <c r="C54" s="26"/>
    </row>
    <row r="55" spans="1:3" ht="11.25" customHeight="1" x14ac:dyDescent="0.2">
      <c r="A55" s="25" t="s">
        <v>93</v>
      </c>
      <c r="B55" s="25"/>
      <c r="C55" s="25"/>
    </row>
    <row r="56" spans="1:3" ht="11.25" customHeight="1" x14ac:dyDescent="0.2">
      <c r="A56" s="26" t="s">
        <v>94</v>
      </c>
      <c r="B56" s="26"/>
      <c r="C56" s="26"/>
    </row>
    <row r="57" spans="1:3" ht="11.25" customHeight="1" x14ac:dyDescent="0.2">
      <c r="A57" s="25" t="s">
        <v>95</v>
      </c>
      <c r="B57" s="25"/>
      <c r="C57" s="25"/>
    </row>
    <row r="58" spans="1:3" ht="11.25" customHeight="1" x14ac:dyDescent="0.2">
      <c r="A58" s="26" t="s">
        <v>96</v>
      </c>
      <c r="B58" s="26"/>
      <c r="C58" s="26"/>
    </row>
    <row r="59" spans="1:3" ht="11.25" customHeight="1" x14ac:dyDescent="0.2">
      <c r="A59" s="25" t="s">
        <v>97</v>
      </c>
      <c r="B59" s="25"/>
      <c r="C59" s="25"/>
    </row>
    <row r="60" spans="1:3" ht="11.25" customHeight="1" x14ac:dyDescent="0.2">
      <c r="A60" s="26" t="s">
        <v>98</v>
      </c>
      <c r="B60" s="26"/>
      <c r="C60" s="26"/>
    </row>
    <row r="61" spans="1:3" ht="11.25" customHeight="1" x14ac:dyDescent="0.2">
      <c r="A61" s="25" t="s">
        <v>99</v>
      </c>
      <c r="B61" s="25"/>
      <c r="C61" s="25"/>
    </row>
    <row r="62" spans="1:3" ht="11.25" customHeight="1" x14ac:dyDescent="0.2">
      <c r="A62" s="25" t="s">
        <v>100</v>
      </c>
      <c r="B62" s="25"/>
      <c r="C62" s="25"/>
    </row>
    <row r="63" spans="1:3" ht="11.25" customHeight="1" x14ac:dyDescent="0.2">
      <c r="A63" s="26" t="s">
        <v>101</v>
      </c>
      <c r="B63" s="26"/>
      <c r="C63" s="26"/>
    </row>
    <row r="64" spans="1:3" ht="11.25" customHeight="1" x14ac:dyDescent="0.2">
      <c r="A64" s="26" t="s">
        <v>102</v>
      </c>
      <c r="B64" s="26"/>
      <c r="C64" s="26"/>
    </row>
    <row r="65" spans="1:3" ht="11.25" customHeight="1" x14ac:dyDescent="0.2">
      <c r="A65" s="25" t="s">
        <v>103</v>
      </c>
      <c r="B65" s="25"/>
      <c r="C65" s="25"/>
    </row>
    <row r="66" spans="1:3" ht="11.25" customHeight="1" x14ac:dyDescent="0.2">
      <c r="A66" s="26" t="s">
        <v>104</v>
      </c>
      <c r="B66" s="26"/>
      <c r="C66" s="26"/>
    </row>
    <row r="67" spans="1:3" ht="11.25" customHeight="1" x14ac:dyDescent="0.2">
      <c r="A67" s="25" t="s">
        <v>105</v>
      </c>
      <c r="B67" s="25"/>
      <c r="C67" s="25"/>
    </row>
    <row r="68" spans="1:3" ht="11.25" customHeight="1" x14ac:dyDescent="0.2">
      <c r="A68" s="26" t="s">
        <v>106</v>
      </c>
      <c r="B68" s="26"/>
      <c r="C68" s="26"/>
    </row>
    <row r="69" spans="1:3" ht="11.25" customHeight="1" x14ac:dyDescent="0.2">
      <c r="A69" s="25" t="s">
        <v>107</v>
      </c>
      <c r="B69" s="25"/>
      <c r="C69" s="25"/>
    </row>
    <row r="70" spans="1:3" ht="11.25" customHeight="1" x14ac:dyDescent="0.2">
      <c r="A70" s="26" t="s">
        <v>108</v>
      </c>
      <c r="B70" s="26"/>
      <c r="C70" s="26"/>
    </row>
    <row r="71" spans="1:3" ht="11.25" customHeight="1" x14ac:dyDescent="0.2">
      <c r="A71" s="25" t="s">
        <v>109</v>
      </c>
      <c r="B71" s="25"/>
      <c r="C71" s="25"/>
    </row>
    <row r="72" spans="1:3" ht="11.25" customHeight="1" x14ac:dyDescent="0.2">
      <c r="A72" s="25" t="s">
        <v>110</v>
      </c>
      <c r="B72" s="25"/>
      <c r="C72" s="25"/>
    </row>
    <row r="73" spans="1:3" ht="11.25" customHeight="1" x14ac:dyDescent="0.2">
      <c r="A73" s="26" t="s">
        <v>111</v>
      </c>
      <c r="B73" s="26"/>
      <c r="C73" s="26"/>
    </row>
    <row r="74" spans="1:3" ht="11.25" customHeight="1" x14ac:dyDescent="0.2">
      <c r="A74" s="25" t="s">
        <v>112</v>
      </c>
      <c r="B74" s="25"/>
      <c r="C74" s="25"/>
    </row>
    <row r="75" spans="1:3" ht="11.25" customHeight="1" x14ac:dyDescent="0.2">
      <c r="A75" s="26" t="s">
        <v>113</v>
      </c>
      <c r="B75" s="26"/>
      <c r="C75" s="26"/>
    </row>
    <row r="76" spans="1:3" ht="11.25" customHeight="1" x14ac:dyDescent="0.2">
      <c r="A76" s="25" t="s">
        <v>114</v>
      </c>
      <c r="B76" s="25"/>
      <c r="C76" s="25"/>
    </row>
    <row r="77" spans="1:3" ht="11.25" customHeight="1" x14ac:dyDescent="0.2">
      <c r="A77" s="26" t="s">
        <v>115</v>
      </c>
      <c r="B77" s="26"/>
      <c r="C77" s="26"/>
    </row>
    <row r="78" spans="1:3" ht="11.25" customHeight="1" x14ac:dyDescent="0.2">
      <c r="A78" s="25" t="s">
        <v>116</v>
      </c>
      <c r="B78" s="25"/>
      <c r="C78" s="25"/>
    </row>
    <row r="79" spans="1:3" ht="11.25" customHeight="1" x14ac:dyDescent="0.2">
      <c r="A79" s="26" t="s">
        <v>117</v>
      </c>
      <c r="B79" s="26"/>
      <c r="C79" s="26"/>
    </row>
    <row r="80" spans="1:3" ht="11.25" customHeight="1" x14ac:dyDescent="0.2">
      <c r="A80" s="25" t="s">
        <v>118</v>
      </c>
      <c r="B80" s="25"/>
      <c r="C80" s="25"/>
    </row>
    <row r="81" spans="1:3" ht="11.25" customHeight="1" x14ac:dyDescent="0.2">
      <c r="A81" s="26" t="s">
        <v>119</v>
      </c>
      <c r="B81" s="26"/>
      <c r="C81" s="26"/>
    </row>
    <row r="82" spans="1:3" ht="11.25" customHeight="1" x14ac:dyDescent="0.2">
      <c r="A82" s="25" t="s">
        <v>120</v>
      </c>
      <c r="B82" s="25"/>
      <c r="C82" s="25"/>
    </row>
    <row r="83" spans="1:3" ht="11.25" customHeight="1" x14ac:dyDescent="0.2">
      <c r="A83" s="26" t="s">
        <v>121</v>
      </c>
      <c r="B83" s="26"/>
      <c r="C83" s="26"/>
    </row>
    <row r="84" spans="1:3" ht="11.25" customHeight="1" x14ac:dyDescent="0.2">
      <c r="A84" s="25" t="s">
        <v>122</v>
      </c>
      <c r="B84" s="25"/>
      <c r="C84" s="25"/>
    </row>
    <row r="85" spans="1:3" ht="11.25" customHeight="1" x14ac:dyDescent="0.2">
      <c r="A85" s="26" t="s">
        <v>123</v>
      </c>
      <c r="B85" s="26"/>
      <c r="C85" s="26"/>
    </row>
    <row r="86" spans="1:3" ht="11.25" customHeight="1" x14ac:dyDescent="0.2">
      <c r="A86" s="25" t="s">
        <v>124</v>
      </c>
      <c r="B86" s="25"/>
      <c r="C86" s="25"/>
    </row>
    <row r="87" spans="1:3" ht="11.25" customHeight="1" x14ac:dyDescent="0.2">
      <c r="A87" s="26" t="s">
        <v>125</v>
      </c>
      <c r="B87" s="26"/>
      <c r="C87" s="26"/>
    </row>
    <row r="88" spans="1:3" ht="11.25" customHeight="1" x14ac:dyDescent="0.2">
      <c r="A88" s="26" t="s">
        <v>126</v>
      </c>
      <c r="B88" s="26"/>
      <c r="C88" s="26"/>
    </row>
    <row r="89" spans="1:3" ht="11.25" customHeight="1" x14ac:dyDescent="0.2">
      <c r="A89" s="25" t="s">
        <v>127</v>
      </c>
      <c r="B89" s="25"/>
      <c r="C89" s="25"/>
    </row>
    <row r="90" spans="1:3" ht="11.25" customHeight="1" x14ac:dyDescent="0.2">
      <c r="A90" s="26" t="s">
        <v>128</v>
      </c>
      <c r="B90" s="26"/>
      <c r="C90" s="26"/>
    </row>
    <row r="91" spans="1:3" ht="11.25" customHeight="1" x14ac:dyDescent="0.2">
      <c r="A91" s="25" t="s">
        <v>129</v>
      </c>
      <c r="B91" s="25"/>
      <c r="C91" s="25"/>
    </row>
    <row r="92" spans="1:3" ht="11.25" customHeight="1" x14ac:dyDescent="0.2">
      <c r="A92" s="26" t="s">
        <v>130</v>
      </c>
      <c r="B92" s="26"/>
      <c r="C92" s="26"/>
    </row>
    <row r="93" spans="1:3" ht="11.25" customHeight="1" x14ac:dyDescent="0.2">
      <c r="A93" s="25" t="s">
        <v>131</v>
      </c>
      <c r="B93" s="25"/>
      <c r="C93" s="25"/>
    </row>
    <row r="94" spans="1:3" ht="11.25" customHeight="1" x14ac:dyDescent="0.2">
      <c r="A94" s="26" t="s">
        <v>132</v>
      </c>
      <c r="B94" s="26"/>
      <c r="C94" s="26"/>
    </row>
    <row r="95" spans="1:3" ht="11.25" customHeight="1" x14ac:dyDescent="0.2">
      <c r="A95" s="25" t="s">
        <v>133</v>
      </c>
      <c r="B95" s="25"/>
      <c r="C95" s="25"/>
    </row>
    <row r="96" spans="1:3" ht="11.25" customHeight="1" x14ac:dyDescent="0.2">
      <c r="A96" s="26" t="s">
        <v>134</v>
      </c>
      <c r="B96" s="26"/>
      <c r="C96" s="26"/>
    </row>
    <row r="97" spans="1:3" ht="11.25" customHeight="1" x14ac:dyDescent="0.2">
      <c r="A97" s="25" t="s">
        <v>135</v>
      </c>
      <c r="B97" s="25"/>
      <c r="C97" s="25"/>
    </row>
    <row r="98" spans="1:3" ht="11.25" customHeight="1" x14ac:dyDescent="0.2">
      <c r="A98" s="26" t="s">
        <v>136</v>
      </c>
      <c r="B98" s="26"/>
      <c r="C98" s="26"/>
    </row>
    <row r="99" spans="1:3" ht="11.25" customHeight="1" x14ac:dyDescent="0.2">
      <c r="A99" s="25" t="s">
        <v>137</v>
      </c>
      <c r="B99" s="25"/>
      <c r="C99" s="25"/>
    </row>
    <row r="100" spans="1:3" ht="11.25" customHeight="1" x14ac:dyDescent="0.2">
      <c r="A100" s="26" t="s">
        <v>138</v>
      </c>
      <c r="B100" s="26"/>
      <c r="C100" s="26"/>
    </row>
    <row r="101" spans="1:3" ht="11.25" customHeight="1" x14ac:dyDescent="0.2">
      <c r="A101" s="25" t="s">
        <v>139</v>
      </c>
      <c r="B101" s="25"/>
      <c r="C101" s="25"/>
    </row>
    <row r="102" spans="1:3" ht="11.25" customHeight="1" x14ac:dyDescent="0.2">
      <c r="A102" s="25" t="s">
        <v>140</v>
      </c>
      <c r="B102" s="25"/>
      <c r="C102" s="25"/>
    </row>
    <row r="103" spans="1:3" ht="11.25" customHeight="1" x14ac:dyDescent="0.2">
      <c r="A103" s="26" t="s">
        <v>141</v>
      </c>
      <c r="B103" s="26"/>
      <c r="C103" s="26"/>
    </row>
    <row r="104" spans="1:3" ht="11.25" customHeight="1" x14ac:dyDescent="0.2">
      <c r="A104" s="26" t="s">
        <v>142</v>
      </c>
      <c r="B104" s="26"/>
      <c r="C104" s="26"/>
    </row>
    <row r="105" spans="1:3" ht="11.25" customHeight="1" x14ac:dyDescent="0.2">
      <c r="A105" s="25" t="s">
        <v>143</v>
      </c>
      <c r="B105" s="25"/>
      <c r="C105" s="25"/>
    </row>
    <row r="106" spans="1:3" ht="11.25" customHeight="1" x14ac:dyDescent="0.2">
      <c r="A106" s="26" t="s">
        <v>144</v>
      </c>
      <c r="B106" s="26"/>
      <c r="C106" s="26"/>
    </row>
    <row r="107" spans="1:3" ht="11.25" customHeight="1" x14ac:dyDescent="0.2">
      <c r="A107" s="25" t="s">
        <v>145</v>
      </c>
      <c r="B107" s="25"/>
      <c r="C107" s="25"/>
    </row>
    <row r="108" spans="1:3" ht="11.25" customHeight="1" x14ac:dyDescent="0.2">
      <c r="A108" s="26" t="s">
        <v>146</v>
      </c>
      <c r="B108" s="26"/>
      <c r="C108" s="26"/>
    </row>
    <row r="109" spans="1:3" ht="11.25" customHeight="1" x14ac:dyDescent="0.2">
      <c r="A109" s="26" t="s">
        <v>147</v>
      </c>
      <c r="B109" s="26"/>
      <c r="C109" s="26"/>
    </row>
    <row r="110" spans="1:3" ht="11.25" customHeight="1" x14ac:dyDescent="0.2">
      <c r="A110" s="26" t="s">
        <v>148</v>
      </c>
      <c r="B110" s="26"/>
      <c r="C110" s="26"/>
    </row>
    <row r="111" spans="1:3" ht="11.25" customHeight="1" x14ac:dyDescent="0.2">
      <c r="A111" s="25" t="s">
        <v>149</v>
      </c>
      <c r="B111" s="25"/>
      <c r="C111" s="25"/>
    </row>
    <row r="112" spans="1:3" ht="11.25" customHeight="1" x14ac:dyDescent="0.2">
      <c r="A112" s="26" t="s">
        <v>150</v>
      </c>
      <c r="B112" s="26"/>
      <c r="C112" s="26"/>
    </row>
    <row r="113" spans="1:3" ht="11.25" customHeight="1" x14ac:dyDescent="0.2">
      <c r="A113" s="25" t="s">
        <v>151</v>
      </c>
      <c r="B113" s="25"/>
      <c r="C113" s="25"/>
    </row>
    <row r="114" spans="1:3" ht="11.25" customHeight="1" x14ac:dyDescent="0.2">
      <c r="A114" s="26" t="s">
        <v>152</v>
      </c>
      <c r="B114" s="26"/>
      <c r="C114" s="26"/>
    </row>
    <row r="115" spans="1:3" ht="11.25" customHeight="1" x14ac:dyDescent="0.2">
      <c r="A115" s="25" t="s">
        <v>153</v>
      </c>
      <c r="B115" s="25"/>
      <c r="C115" s="25"/>
    </row>
    <row r="116" spans="1:3" ht="11.25" customHeight="1" x14ac:dyDescent="0.2">
      <c r="A116" s="26" t="s">
        <v>154</v>
      </c>
      <c r="B116" s="26"/>
      <c r="C116" s="26"/>
    </row>
    <row r="117" spans="1:3" ht="11.25" customHeight="1" x14ac:dyDescent="0.2">
      <c r="A117" s="25" t="s">
        <v>155</v>
      </c>
      <c r="B117" s="25"/>
      <c r="C117" s="25"/>
    </row>
    <row r="118" spans="1:3" ht="11.25" customHeight="1" x14ac:dyDescent="0.2">
      <c r="A118" s="26" t="s">
        <v>156</v>
      </c>
      <c r="B118" s="26"/>
      <c r="C118" s="26"/>
    </row>
    <row r="119" spans="1:3" ht="11.25" customHeight="1" x14ac:dyDescent="0.2">
      <c r="A119" s="26" t="s">
        <v>157</v>
      </c>
      <c r="B119" s="26"/>
      <c r="C119" s="26"/>
    </row>
    <row r="120" spans="1:3" ht="11.25" customHeight="1" x14ac:dyDescent="0.2">
      <c r="A120" s="25" t="s">
        <v>158</v>
      </c>
      <c r="B120" s="25"/>
      <c r="C120" s="25"/>
    </row>
    <row r="121" spans="1:3" ht="11.25" customHeight="1" x14ac:dyDescent="0.2">
      <c r="A121" s="26" t="s">
        <v>159</v>
      </c>
      <c r="B121" s="26"/>
      <c r="C121" s="26"/>
    </row>
    <row r="122" spans="1:3" ht="11.25" customHeight="1" x14ac:dyDescent="0.2">
      <c r="A122" s="26" t="s">
        <v>160</v>
      </c>
      <c r="B122" s="26"/>
      <c r="C122" s="26"/>
    </row>
    <row r="123" spans="1:3" ht="11.25" customHeight="1" x14ac:dyDescent="0.2">
      <c r="A123" s="25" t="s">
        <v>161</v>
      </c>
      <c r="B123" s="25"/>
      <c r="C123" s="25"/>
    </row>
    <row r="124" spans="1:3" ht="11.25" customHeight="1" x14ac:dyDescent="0.2">
      <c r="A124" s="26" t="s">
        <v>162</v>
      </c>
      <c r="B124" s="26"/>
      <c r="C124" s="26"/>
    </row>
    <row r="125" spans="1:3" ht="11.25" customHeight="1" x14ac:dyDescent="0.2">
      <c r="A125" s="26" t="s">
        <v>163</v>
      </c>
      <c r="B125" s="26"/>
      <c r="C125" s="26"/>
    </row>
    <row r="126" spans="1:3" ht="11.25" customHeight="1" x14ac:dyDescent="0.2">
      <c r="A126" s="25" t="s">
        <v>164</v>
      </c>
      <c r="B126" s="25"/>
      <c r="C126" s="25"/>
    </row>
    <row r="127" spans="1:3" ht="11.25" customHeight="1" x14ac:dyDescent="0.2">
      <c r="A127" s="26" t="s">
        <v>165</v>
      </c>
      <c r="B127" s="26"/>
      <c r="C127" s="26"/>
    </row>
    <row r="128" spans="1:3" ht="11.25" customHeight="1" x14ac:dyDescent="0.2">
      <c r="A128" s="25" t="s">
        <v>166</v>
      </c>
      <c r="B128" s="25"/>
      <c r="C128" s="25"/>
    </row>
    <row r="129" spans="1:3" ht="11.25" customHeight="1" x14ac:dyDescent="0.2">
      <c r="A129" s="25" t="s">
        <v>167</v>
      </c>
      <c r="B129" s="25"/>
      <c r="C129" s="25"/>
    </row>
    <row r="130" spans="1:3" ht="11.25" customHeight="1" x14ac:dyDescent="0.2">
      <c r="A130" s="26" t="s">
        <v>168</v>
      </c>
      <c r="B130" s="26"/>
      <c r="C130" s="26"/>
    </row>
    <row r="131" spans="1:3" ht="11.25" customHeight="1" x14ac:dyDescent="0.2">
      <c r="A131" s="25" t="s">
        <v>169</v>
      </c>
      <c r="B131" s="25"/>
      <c r="C131" s="25"/>
    </row>
    <row r="132" spans="1:3" ht="11.25" customHeight="1" x14ac:dyDescent="0.2">
      <c r="A132" s="26" t="s">
        <v>170</v>
      </c>
      <c r="B132" s="26"/>
      <c r="C132" s="26"/>
    </row>
    <row r="133" spans="1:3" ht="11.25" customHeight="1" x14ac:dyDescent="0.2">
      <c r="A133" s="25" t="s">
        <v>171</v>
      </c>
      <c r="B133" s="25"/>
      <c r="C133" s="25"/>
    </row>
    <row r="134" spans="1:3" ht="11.25" customHeight="1" x14ac:dyDescent="0.2">
      <c r="A134" s="26" t="s">
        <v>172</v>
      </c>
      <c r="B134" s="26"/>
      <c r="C134" s="26"/>
    </row>
    <row r="135" spans="1:3" ht="11.25" customHeight="1" x14ac:dyDescent="0.2">
      <c r="A135" s="25" t="s">
        <v>173</v>
      </c>
      <c r="B135" s="25"/>
      <c r="C135" s="25"/>
    </row>
    <row r="136" spans="1:3" ht="11.25" customHeight="1" x14ac:dyDescent="0.2">
      <c r="A136" s="26" t="s">
        <v>174</v>
      </c>
      <c r="B136" s="26"/>
      <c r="C136" s="26"/>
    </row>
    <row r="137" spans="1:3" ht="11.25" customHeight="1" x14ac:dyDescent="0.2">
      <c r="A137" s="25" t="s">
        <v>175</v>
      </c>
      <c r="B137" s="25"/>
      <c r="C137" s="25"/>
    </row>
    <row r="138" spans="1:3" ht="11.25" customHeight="1" x14ac:dyDescent="0.2">
      <c r="A138" s="26" t="s">
        <v>176</v>
      </c>
      <c r="B138" s="26"/>
      <c r="C138" s="26"/>
    </row>
    <row r="139" spans="1:3" ht="11.25" customHeight="1" x14ac:dyDescent="0.2">
      <c r="A139" s="25" t="s">
        <v>177</v>
      </c>
      <c r="B139" s="25"/>
      <c r="C139" s="25"/>
    </row>
    <row r="140" spans="1:3" ht="11.25" customHeight="1" x14ac:dyDescent="0.2">
      <c r="A140" s="26" t="s">
        <v>178</v>
      </c>
      <c r="B140" s="26"/>
      <c r="C140" s="26"/>
    </row>
    <row r="141" spans="1:3" ht="11.25" customHeight="1" x14ac:dyDescent="0.2">
      <c r="A141" s="25" t="s">
        <v>179</v>
      </c>
      <c r="B141" s="25"/>
      <c r="C141" s="25"/>
    </row>
    <row r="142" spans="1:3" ht="11.25" customHeight="1" x14ac:dyDescent="0.2">
      <c r="A142" s="26" t="s">
        <v>180</v>
      </c>
      <c r="B142" s="26"/>
      <c r="C142" s="26"/>
    </row>
    <row r="143" spans="1:3" ht="11.25" customHeight="1" x14ac:dyDescent="0.2">
      <c r="A143" s="25" t="s">
        <v>181</v>
      </c>
      <c r="B143" s="25"/>
      <c r="C143" s="25"/>
    </row>
    <row r="144" spans="1:3" ht="11.25" customHeight="1" x14ac:dyDescent="0.2">
      <c r="A144" s="26" t="s">
        <v>182</v>
      </c>
      <c r="B144" s="26"/>
      <c r="C144" s="26"/>
    </row>
    <row r="145" spans="1:3" ht="11.25" customHeight="1" x14ac:dyDescent="0.2">
      <c r="A145" s="26" t="s">
        <v>183</v>
      </c>
      <c r="B145" s="26"/>
      <c r="C145" s="26"/>
    </row>
    <row r="146" spans="1:3" ht="11.25" customHeight="1" x14ac:dyDescent="0.2">
      <c r="A146" s="25" t="s">
        <v>184</v>
      </c>
      <c r="B146" s="25"/>
      <c r="C146" s="25"/>
    </row>
    <row r="147" spans="1:3" ht="11.25" customHeight="1" x14ac:dyDescent="0.2">
      <c r="A147" s="26" t="s">
        <v>185</v>
      </c>
      <c r="B147" s="26"/>
      <c r="C147" s="26"/>
    </row>
    <row r="148" spans="1:3" ht="11.25" customHeight="1" x14ac:dyDescent="0.2">
      <c r="A148" s="25" t="s">
        <v>186</v>
      </c>
      <c r="B148" s="25"/>
      <c r="C148" s="25"/>
    </row>
    <row r="149" spans="1:3" ht="11.25" customHeight="1" x14ac:dyDescent="0.2">
      <c r="A149" s="25" t="s">
        <v>187</v>
      </c>
      <c r="B149" s="25"/>
      <c r="C149" s="25"/>
    </row>
    <row r="150" spans="1:3" ht="11.25" customHeight="1" x14ac:dyDescent="0.2">
      <c r="A150" s="26" t="s">
        <v>188</v>
      </c>
      <c r="B150" s="26"/>
      <c r="C150" s="26"/>
    </row>
    <row r="151" spans="1:3" ht="11.25" customHeight="1" x14ac:dyDescent="0.2">
      <c r="A151" s="25" t="s">
        <v>189</v>
      </c>
      <c r="B151" s="25"/>
      <c r="C151" s="25"/>
    </row>
    <row r="152" spans="1:3" ht="11.25" customHeight="1" x14ac:dyDescent="0.2">
      <c r="A152" s="25" t="s">
        <v>190</v>
      </c>
      <c r="B152" s="25"/>
      <c r="C152" s="25"/>
    </row>
    <row r="153" spans="1:3" ht="11.25" customHeight="1" x14ac:dyDescent="0.2">
      <c r="A153" s="26" t="s">
        <v>191</v>
      </c>
      <c r="B153" s="26"/>
      <c r="C153" s="26"/>
    </row>
    <row r="154" spans="1:3" ht="11.25" customHeight="1" x14ac:dyDescent="0.2">
      <c r="A154" s="26" t="s">
        <v>192</v>
      </c>
      <c r="B154" s="26"/>
      <c r="C154" s="26"/>
    </row>
    <row r="155" spans="1:3" ht="11.25" customHeight="1" x14ac:dyDescent="0.2">
      <c r="A155" s="25" t="s">
        <v>193</v>
      </c>
      <c r="B155" s="25"/>
      <c r="C155" s="25"/>
    </row>
    <row r="156" spans="1:3" ht="11.25" customHeight="1" x14ac:dyDescent="0.2">
      <c r="A156" s="26" t="s">
        <v>194</v>
      </c>
      <c r="B156" s="26"/>
      <c r="C156" s="26"/>
    </row>
    <row r="157" spans="1:3" ht="11.25" customHeight="1" x14ac:dyDescent="0.2">
      <c r="A157" s="25" t="s">
        <v>195</v>
      </c>
      <c r="B157" s="25"/>
      <c r="C157" s="25"/>
    </row>
    <row r="158" spans="1:3" ht="11.25" customHeight="1" x14ac:dyDescent="0.2">
      <c r="A158" s="25" t="s">
        <v>196</v>
      </c>
      <c r="B158" s="25"/>
      <c r="C158" s="25"/>
    </row>
    <row r="159" spans="1:3" ht="11.25" customHeight="1" x14ac:dyDescent="0.2">
      <c r="A159" s="25" t="s">
        <v>197</v>
      </c>
      <c r="B159" s="25"/>
      <c r="C159" s="25"/>
    </row>
    <row r="160" spans="1:3" ht="11.25" customHeight="1" x14ac:dyDescent="0.2">
      <c r="A160" s="26" t="s">
        <v>198</v>
      </c>
      <c r="B160" s="26"/>
      <c r="C160" s="26"/>
    </row>
    <row r="161" spans="1:3" ht="11.25" customHeight="1" x14ac:dyDescent="0.2">
      <c r="A161" s="25" t="s">
        <v>199</v>
      </c>
      <c r="B161" s="25"/>
      <c r="C161" s="25"/>
    </row>
    <row r="162" spans="1:3" ht="11.25" customHeight="1" x14ac:dyDescent="0.2">
      <c r="A162" s="26" t="s">
        <v>200</v>
      </c>
      <c r="B162" s="26"/>
      <c r="C162" s="26"/>
    </row>
    <row r="163" spans="1:3" ht="11.25" customHeight="1" x14ac:dyDescent="0.2">
      <c r="A163" s="26" t="s">
        <v>201</v>
      </c>
      <c r="B163" s="26"/>
      <c r="C163" s="26"/>
    </row>
    <row r="164" spans="1:3" ht="11.25" customHeight="1" x14ac:dyDescent="0.2">
      <c r="A164" s="25" t="s">
        <v>202</v>
      </c>
      <c r="B164" s="25"/>
      <c r="C164" s="25"/>
    </row>
    <row r="165" spans="1:3" ht="11.25" customHeight="1" x14ac:dyDescent="0.2">
      <c r="A165" s="26" t="s">
        <v>203</v>
      </c>
      <c r="B165" s="26"/>
      <c r="C165" s="26"/>
    </row>
    <row r="166" spans="1:3" ht="11.25" customHeight="1" x14ac:dyDescent="0.2">
      <c r="A166" s="25" t="s">
        <v>204</v>
      </c>
      <c r="B166" s="25"/>
      <c r="C166" s="25"/>
    </row>
    <row r="167" spans="1:3" ht="11.25" customHeight="1" x14ac:dyDescent="0.2">
      <c r="A167" s="26" t="s">
        <v>205</v>
      </c>
      <c r="B167" s="26"/>
      <c r="C167" s="26"/>
    </row>
    <row r="168" spans="1:3" ht="11.25" customHeight="1" x14ac:dyDescent="0.2">
      <c r="A168" s="25" t="s">
        <v>206</v>
      </c>
      <c r="B168" s="25"/>
      <c r="C168" s="25"/>
    </row>
    <row r="169" spans="1:3" ht="11.25" customHeight="1" x14ac:dyDescent="0.2">
      <c r="A169" s="25" t="s">
        <v>207</v>
      </c>
      <c r="B169" s="25"/>
      <c r="C169" s="25"/>
    </row>
    <row r="170" spans="1:3" ht="11.25" customHeight="1" x14ac:dyDescent="0.2">
      <c r="A170" s="26" t="s">
        <v>208</v>
      </c>
      <c r="B170" s="26"/>
      <c r="C170" s="26"/>
    </row>
    <row r="171" spans="1:3" ht="11.25" customHeight="1" x14ac:dyDescent="0.2">
      <c r="A171" s="25" t="s">
        <v>209</v>
      </c>
      <c r="B171" s="25"/>
      <c r="C171" s="25"/>
    </row>
    <row r="172" spans="1:3" ht="11.25" customHeight="1" x14ac:dyDescent="0.2">
      <c r="A172" s="26" t="s">
        <v>210</v>
      </c>
      <c r="B172" s="26"/>
      <c r="C172" s="26"/>
    </row>
    <row r="173" spans="1:3" ht="11.25" customHeight="1" x14ac:dyDescent="0.2">
      <c r="A173" s="25" t="s">
        <v>211</v>
      </c>
      <c r="B173" s="25"/>
      <c r="C173" s="25"/>
    </row>
    <row r="174" spans="1:3" ht="11.25" customHeight="1" x14ac:dyDescent="0.2">
      <c r="A174" s="26" t="s">
        <v>212</v>
      </c>
      <c r="B174" s="26"/>
      <c r="C174" s="26"/>
    </row>
    <row r="175" spans="1:3" ht="11.25" customHeight="1" x14ac:dyDescent="0.2">
      <c r="A175" s="25" t="s">
        <v>213</v>
      </c>
      <c r="B175" s="25"/>
      <c r="C175" s="25"/>
    </row>
    <row r="176" spans="1:3" ht="11.25" customHeight="1" x14ac:dyDescent="0.2">
      <c r="A176" s="26" t="s">
        <v>214</v>
      </c>
      <c r="B176" s="26"/>
      <c r="C176" s="26"/>
    </row>
    <row r="177" spans="1:3" ht="11.25" customHeight="1" x14ac:dyDescent="0.2">
      <c r="A177" s="25" t="s">
        <v>215</v>
      </c>
      <c r="B177" s="25"/>
      <c r="C177" s="25"/>
    </row>
    <row r="178" spans="1:3" ht="11.25" customHeight="1" x14ac:dyDescent="0.2">
      <c r="A178" s="26" t="s">
        <v>216</v>
      </c>
      <c r="B178" s="26"/>
      <c r="C178" s="26"/>
    </row>
    <row r="179" spans="1:3" ht="11.25" customHeight="1" x14ac:dyDescent="0.2">
      <c r="A179" s="25" t="s">
        <v>217</v>
      </c>
      <c r="B179" s="25"/>
      <c r="C179" s="25"/>
    </row>
    <row r="180" spans="1:3" ht="11.25" customHeight="1" x14ac:dyDescent="0.2">
      <c r="A180" s="26" t="s">
        <v>218</v>
      </c>
      <c r="B180" s="26"/>
      <c r="C180" s="26"/>
    </row>
    <row r="181" spans="1:3" ht="11.25" customHeight="1" x14ac:dyDescent="0.2">
      <c r="A181" s="25" t="s">
        <v>219</v>
      </c>
      <c r="B181" s="25"/>
      <c r="C181" s="25"/>
    </row>
    <row r="182" spans="1:3" ht="11.25" customHeight="1" x14ac:dyDescent="0.2">
      <c r="A182" s="26" t="s">
        <v>220</v>
      </c>
      <c r="B182" s="26"/>
      <c r="C182" s="26"/>
    </row>
    <row r="183" spans="1:3" ht="11.25" customHeight="1" x14ac:dyDescent="0.2">
      <c r="A183" s="25" t="s">
        <v>221</v>
      </c>
      <c r="B183" s="25"/>
      <c r="C183" s="25"/>
    </row>
    <row r="184" spans="1:3" ht="11.25" customHeight="1" x14ac:dyDescent="0.2">
      <c r="A184" s="26" t="s">
        <v>222</v>
      </c>
      <c r="B184" s="26"/>
      <c r="C184" s="26"/>
    </row>
    <row r="185" spans="1:3" ht="11.25" customHeight="1" x14ac:dyDescent="0.2">
      <c r="A185" s="25" t="s">
        <v>223</v>
      </c>
      <c r="B185" s="25"/>
      <c r="C185" s="25"/>
    </row>
    <row r="186" spans="1:3" ht="11.25" customHeight="1" x14ac:dyDescent="0.2">
      <c r="A186" s="26" t="s">
        <v>224</v>
      </c>
      <c r="B186" s="26"/>
      <c r="C186" s="26"/>
    </row>
    <row r="187" spans="1:3" ht="11.25" customHeight="1" x14ac:dyDescent="0.2">
      <c r="A187" s="25" t="s">
        <v>225</v>
      </c>
      <c r="B187" s="25"/>
      <c r="C187" s="25"/>
    </row>
    <row r="188" spans="1:3" ht="11.25" customHeight="1" x14ac:dyDescent="0.2">
      <c r="A188" s="26" t="s">
        <v>226</v>
      </c>
      <c r="B188" s="26"/>
      <c r="C188" s="26"/>
    </row>
    <row r="189" spans="1:3" ht="11.25" customHeight="1" x14ac:dyDescent="0.2">
      <c r="A189" s="25" t="s">
        <v>227</v>
      </c>
      <c r="B189" s="25"/>
      <c r="C189" s="25"/>
    </row>
    <row r="190" spans="1:3" ht="11.25" customHeight="1" x14ac:dyDescent="0.2">
      <c r="A190" s="25" t="s">
        <v>228</v>
      </c>
      <c r="B190" s="25"/>
      <c r="C190" s="25"/>
    </row>
    <row r="191" spans="1:3" ht="11.25" customHeight="1" x14ac:dyDescent="0.2">
      <c r="A191" s="26" t="s">
        <v>229</v>
      </c>
      <c r="B191" s="26"/>
      <c r="C191" s="26"/>
    </row>
    <row r="192" spans="1:3" ht="11.25" customHeight="1" x14ac:dyDescent="0.2">
      <c r="A192" s="25" t="s">
        <v>230</v>
      </c>
      <c r="B192" s="25"/>
      <c r="C192" s="25"/>
    </row>
    <row r="193" spans="1:3" ht="11.25" customHeight="1" x14ac:dyDescent="0.2">
      <c r="A193" s="26" t="s">
        <v>231</v>
      </c>
      <c r="B193" s="26"/>
      <c r="C193" s="26"/>
    </row>
    <row r="194" spans="1:3" ht="11.25" customHeight="1" x14ac:dyDescent="0.2">
      <c r="A194" s="25" t="s">
        <v>232</v>
      </c>
      <c r="B194" s="25"/>
      <c r="C194" s="25"/>
    </row>
    <row r="195" spans="1:3" ht="11.25" customHeight="1" x14ac:dyDescent="0.2">
      <c r="A195" s="26" t="s">
        <v>233</v>
      </c>
      <c r="B195" s="26"/>
      <c r="C195" s="26"/>
    </row>
    <row r="196" spans="1:3" ht="11.25" customHeight="1" x14ac:dyDescent="0.2">
      <c r="A196" s="25" t="s">
        <v>234</v>
      </c>
      <c r="B196" s="25"/>
      <c r="C196" s="25"/>
    </row>
    <row r="197" spans="1:3" ht="11.25" customHeight="1" x14ac:dyDescent="0.2">
      <c r="A197" s="26" t="s">
        <v>235</v>
      </c>
      <c r="B197" s="26"/>
      <c r="C197" s="26"/>
    </row>
    <row r="198" spans="1:3" ht="11.25" customHeight="1" x14ac:dyDescent="0.2">
      <c r="A198" s="25" t="s">
        <v>236</v>
      </c>
      <c r="B198" s="25"/>
      <c r="C198" s="25"/>
    </row>
    <row r="199" spans="1:3" ht="11.25" customHeight="1" x14ac:dyDescent="0.2">
      <c r="A199" s="26" t="s">
        <v>237</v>
      </c>
      <c r="B199" s="26"/>
      <c r="C199" s="26"/>
    </row>
    <row r="200" spans="1:3" ht="11.25" customHeight="1" x14ac:dyDescent="0.2">
      <c r="A200" s="25" t="s">
        <v>238</v>
      </c>
      <c r="B200" s="25"/>
      <c r="C200" s="25"/>
    </row>
    <row r="201" spans="1:3" ht="11.25" customHeight="1" x14ac:dyDescent="0.2">
      <c r="A201" s="25" t="s">
        <v>239</v>
      </c>
      <c r="B201" s="25"/>
      <c r="C201" s="25"/>
    </row>
    <row r="202" spans="1:3" ht="11.25" customHeight="1" x14ac:dyDescent="0.2">
      <c r="A202" s="26" t="s">
        <v>240</v>
      </c>
      <c r="B202" s="26"/>
      <c r="C202" s="26"/>
    </row>
    <row r="203" spans="1:3" ht="11.25" customHeight="1" x14ac:dyDescent="0.2">
      <c r="A203" s="25" t="s">
        <v>241</v>
      </c>
      <c r="B203" s="25"/>
      <c r="C203" s="25"/>
    </row>
    <row r="204" spans="1:3" ht="11.25" customHeight="1" x14ac:dyDescent="0.2">
      <c r="A204" s="26" t="s">
        <v>242</v>
      </c>
      <c r="B204" s="26"/>
      <c r="C204" s="26"/>
    </row>
    <row r="205" spans="1:3" ht="11.25" customHeight="1" x14ac:dyDescent="0.2">
      <c r="A205" s="25" t="s">
        <v>243</v>
      </c>
      <c r="B205" s="25"/>
      <c r="C205" s="25"/>
    </row>
    <row r="206" spans="1:3" ht="11.25" customHeight="1" x14ac:dyDescent="0.2">
      <c r="A206" s="26" t="s">
        <v>244</v>
      </c>
      <c r="B206" s="26"/>
      <c r="C206" s="26"/>
    </row>
    <row r="207" spans="1:3" ht="11.25" customHeight="1" x14ac:dyDescent="0.2">
      <c r="A207" s="25" t="s">
        <v>245</v>
      </c>
      <c r="B207" s="25"/>
      <c r="C207" s="25"/>
    </row>
    <row r="208" spans="1:3" ht="11.25" customHeight="1" x14ac:dyDescent="0.2">
      <c r="A208" s="26" t="s">
        <v>246</v>
      </c>
      <c r="B208" s="26"/>
      <c r="C208" s="26"/>
    </row>
    <row r="209" spans="1:3" ht="11.25" customHeight="1" x14ac:dyDescent="0.2">
      <c r="A209" s="25" t="s">
        <v>247</v>
      </c>
      <c r="B209" s="25"/>
      <c r="C209" s="25"/>
    </row>
    <row r="210" spans="1:3" ht="11.25" customHeight="1" x14ac:dyDescent="0.2">
      <c r="A210" s="26" t="s">
        <v>248</v>
      </c>
      <c r="B210" s="26"/>
      <c r="C210" s="26"/>
    </row>
    <row r="211" spans="1:3" ht="11.25" customHeight="1" x14ac:dyDescent="0.2">
      <c r="A211" s="25" t="s">
        <v>249</v>
      </c>
      <c r="B211" s="25"/>
      <c r="C211" s="25"/>
    </row>
    <row r="212" spans="1:3" ht="11.25" customHeight="1" x14ac:dyDescent="0.2">
      <c r="A212" s="26" t="s">
        <v>250</v>
      </c>
      <c r="B212" s="26"/>
      <c r="C212" s="26"/>
    </row>
    <row r="213" spans="1:3" ht="11.25" customHeight="1" x14ac:dyDescent="0.2">
      <c r="A213" s="26" t="s">
        <v>251</v>
      </c>
      <c r="B213" s="26"/>
      <c r="C213" s="26"/>
    </row>
    <row r="214" spans="1:3" ht="11.25" customHeight="1" x14ac:dyDescent="0.2">
      <c r="A214" s="25" t="s">
        <v>252</v>
      </c>
      <c r="B214" s="25"/>
      <c r="C214" s="25"/>
    </row>
    <row r="215" spans="1:3" ht="11.25" customHeight="1" x14ac:dyDescent="0.2">
      <c r="A215" s="26" t="s">
        <v>253</v>
      </c>
      <c r="B215" s="26"/>
      <c r="C215" s="26"/>
    </row>
    <row r="216" spans="1:3" ht="11.25" customHeight="1" x14ac:dyDescent="0.2">
      <c r="A216" s="25" t="s">
        <v>254</v>
      </c>
      <c r="B216" s="25"/>
      <c r="C216" s="25"/>
    </row>
    <row r="217" spans="1:3" ht="11.25" customHeight="1" x14ac:dyDescent="0.2">
      <c r="A217" s="26" t="s">
        <v>255</v>
      </c>
      <c r="B217" s="26"/>
      <c r="C217" s="26"/>
    </row>
    <row r="218" spans="1:3" ht="11.25" customHeight="1" x14ac:dyDescent="0.2">
      <c r="A218" s="25" t="s">
        <v>256</v>
      </c>
      <c r="B218" s="25"/>
      <c r="C218" s="25"/>
    </row>
    <row r="219" spans="1:3" ht="11.25" customHeight="1" x14ac:dyDescent="0.2">
      <c r="A219" s="26" t="s">
        <v>257</v>
      </c>
      <c r="B219" s="26"/>
      <c r="C219" s="26"/>
    </row>
    <row r="220" spans="1:3" ht="11.25" customHeight="1" x14ac:dyDescent="0.2">
      <c r="A220" s="25" t="s">
        <v>258</v>
      </c>
      <c r="B220" s="25"/>
      <c r="C220" s="25"/>
    </row>
    <row r="221" spans="1:3" ht="11.25" customHeight="1" x14ac:dyDescent="0.2">
      <c r="A221" s="26" t="s">
        <v>259</v>
      </c>
      <c r="B221" s="26"/>
      <c r="C221" s="26"/>
    </row>
    <row r="222" spans="1:3" ht="11.25" customHeight="1" x14ac:dyDescent="0.2">
      <c r="A222" s="25" t="s">
        <v>260</v>
      </c>
      <c r="B222" s="25"/>
      <c r="C222" s="25"/>
    </row>
    <row r="223" spans="1:3" ht="11.25" customHeight="1" x14ac:dyDescent="0.2">
      <c r="A223" s="26" t="s">
        <v>261</v>
      </c>
      <c r="B223" s="26"/>
      <c r="C223" s="26"/>
    </row>
    <row r="224" spans="1:3" ht="11.25" customHeight="1" x14ac:dyDescent="0.2">
      <c r="A224" s="25" t="s">
        <v>262</v>
      </c>
      <c r="B224" s="25"/>
      <c r="C224" s="25"/>
    </row>
    <row r="225" spans="1:3" ht="11.25" customHeight="1" x14ac:dyDescent="0.2">
      <c r="A225" s="26" t="s">
        <v>263</v>
      </c>
      <c r="B225" s="26"/>
      <c r="C225" s="26"/>
    </row>
    <row r="226" spans="1:3" ht="11.25" customHeight="1" x14ac:dyDescent="0.2">
      <c r="A226" s="26" t="s">
        <v>264</v>
      </c>
      <c r="B226" s="26"/>
      <c r="C226" s="26"/>
    </row>
    <row r="227" spans="1:3" ht="11.25" customHeight="1" x14ac:dyDescent="0.2">
      <c r="A227" s="25" t="s">
        <v>265</v>
      </c>
      <c r="B227" s="25"/>
      <c r="C227" s="25"/>
    </row>
    <row r="228" spans="1:3" ht="11.25" customHeight="1" x14ac:dyDescent="0.2">
      <c r="A228" s="26" t="s">
        <v>266</v>
      </c>
      <c r="B228" s="26"/>
      <c r="C228" s="26"/>
    </row>
    <row r="229" spans="1:3" ht="11.25" customHeight="1" x14ac:dyDescent="0.2">
      <c r="A229" s="25" t="s">
        <v>267</v>
      </c>
      <c r="B229" s="25"/>
      <c r="C229" s="25"/>
    </row>
    <row r="230" spans="1:3" ht="11.25" customHeight="1" x14ac:dyDescent="0.2">
      <c r="A230" s="26" t="s">
        <v>268</v>
      </c>
      <c r="B230" s="26"/>
      <c r="C230" s="26"/>
    </row>
    <row r="231" spans="1:3" ht="11.25" customHeight="1" x14ac:dyDescent="0.2">
      <c r="A231" s="26" t="s">
        <v>269</v>
      </c>
      <c r="B231" s="26"/>
      <c r="C231" s="26"/>
    </row>
    <row r="232" spans="1:3" ht="11.25" customHeight="1" x14ac:dyDescent="0.2">
      <c r="A232" s="25" t="s">
        <v>270</v>
      </c>
      <c r="B232" s="25"/>
      <c r="C232" s="25"/>
    </row>
    <row r="233" spans="1:3" ht="11.25" customHeight="1" x14ac:dyDescent="0.2">
      <c r="A233" s="26" t="s">
        <v>271</v>
      </c>
      <c r="B233" s="26"/>
      <c r="C233" s="26"/>
    </row>
    <row r="234" spans="1:3" ht="11.25" customHeight="1" x14ac:dyDescent="0.2">
      <c r="A234" s="25" t="s">
        <v>272</v>
      </c>
      <c r="B234" s="25"/>
      <c r="C234" s="25"/>
    </row>
    <row r="235" spans="1:3" ht="11.25" customHeight="1" x14ac:dyDescent="0.2">
      <c r="A235" s="25" t="s">
        <v>273</v>
      </c>
      <c r="B235" s="25"/>
      <c r="C235" s="25"/>
    </row>
    <row r="236" spans="1:3" ht="11.25" customHeight="1" x14ac:dyDescent="0.2">
      <c r="A236" s="26" t="s">
        <v>274</v>
      </c>
      <c r="B236" s="26"/>
      <c r="C236" s="26"/>
    </row>
    <row r="237" spans="1:3" ht="11.25" customHeight="1" x14ac:dyDescent="0.2">
      <c r="A237" s="26" t="s">
        <v>275</v>
      </c>
      <c r="B237" s="26"/>
      <c r="C237" s="26"/>
    </row>
    <row r="238" spans="1:3" ht="11.25" customHeight="1" x14ac:dyDescent="0.2">
      <c r="A238" s="25" t="s">
        <v>276</v>
      </c>
      <c r="B238" s="25"/>
      <c r="C238" s="25"/>
    </row>
    <row r="239" spans="1:3" ht="11.25" customHeight="1" x14ac:dyDescent="0.2">
      <c r="A239" s="26" t="s">
        <v>277</v>
      </c>
      <c r="B239" s="26"/>
      <c r="C239" s="26"/>
    </row>
    <row r="240" spans="1:3" ht="11.25" customHeight="1" x14ac:dyDescent="0.2">
      <c r="A240" s="25" t="s">
        <v>278</v>
      </c>
      <c r="B240" s="25"/>
      <c r="C240" s="25"/>
    </row>
    <row r="241" spans="1:3" ht="11.25" customHeight="1" x14ac:dyDescent="0.2">
      <c r="A241" s="26" t="s">
        <v>279</v>
      </c>
      <c r="B241" s="26"/>
      <c r="C241" s="26"/>
    </row>
    <row r="242" spans="1:3" ht="11.25" customHeight="1" x14ac:dyDescent="0.2">
      <c r="A242" s="26" t="s">
        <v>280</v>
      </c>
      <c r="B242" s="26"/>
      <c r="C242" s="26"/>
    </row>
    <row r="243" spans="1:3" ht="11.25" customHeight="1" x14ac:dyDescent="0.2">
      <c r="A243" s="25" t="s">
        <v>281</v>
      </c>
      <c r="B243" s="25"/>
      <c r="C243" s="25"/>
    </row>
    <row r="244" spans="1:3" ht="11.25" customHeight="1" x14ac:dyDescent="0.2">
      <c r="A244" s="26" t="s">
        <v>282</v>
      </c>
      <c r="B244" s="26"/>
      <c r="C244" s="26"/>
    </row>
    <row r="245" spans="1:3" ht="11.25" customHeight="1" x14ac:dyDescent="0.2">
      <c r="A245" s="25" t="s">
        <v>283</v>
      </c>
      <c r="B245" s="25"/>
      <c r="C245" s="25"/>
    </row>
    <row r="246" spans="1:3" ht="11.25" customHeight="1" x14ac:dyDescent="0.2">
      <c r="A246" s="26" t="s">
        <v>284</v>
      </c>
      <c r="B246" s="26"/>
      <c r="C246" s="26"/>
    </row>
    <row r="247" spans="1:3" ht="11.25" customHeight="1" x14ac:dyDescent="0.2">
      <c r="A247" s="25" t="s">
        <v>285</v>
      </c>
      <c r="B247" s="25"/>
      <c r="C247" s="25"/>
    </row>
    <row r="248" spans="1:3" ht="11.25" customHeight="1" x14ac:dyDescent="0.2">
      <c r="A248" s="26" t="s">
        <v>286</v>
      </c>
      <c r="B248" s="26"/>
      <c r="C248" s="26"/>
    </row>
    <row r="249" spans="1:3" ht="11.25" customHeight="1" x14ac:dyDescent="0.2">
      <c r="A249" s="25" t="s">
        <v>287</v>
      </c>
      <c r="B249" s="25"/>
      <c r="C249" s="25"/>
    </row>
    <row r="250" spans="1:3" ht="11.25" customHeight="1" x14ac:dyDescent="0.2">
      <c r="A250" s="26" t="s">
        <v>288</v>
      </c>
      <c r="B250" s="26"/>
      <c r="C250" s="26"/>
    </row>
    <row r="251" spans="1:3" ht="11.25" customHeight="1" x14ac:dyDescent="0.2">
      <c r="A251" s="25" t="s">
        <v>289</v>
      </c>
      <c r="B251" s="25"/>
      <c r="C251" s="25"/>
    </row>
    <row r="252" spans="1:3" ht="11.25" customHeight="1" x14ac:dyDescent="0.2">
      <c r="A252" s="26" t="s">
        <v>290</v>
      </c>
      <c r="B252" s="26"/>
      <c r="C252" s="26"/>
    </row>
    <row r="253" spans="1:3" ht="11.25" customHeight="1" x14ac:dyDescent="0.2">
      <c r="A253" s="25" t="s">
        <v>291</v>
      </c>
      <c r="B253" s="25"/>
      <c r="C253" s="25"/>
    </row>
    <row r="254" spans="1:3" ht="11.25" customHeight="1" x14ac:dyDescent="0.2">
      <c r="A254" s="26" t="s">
        <v>292</v>
      </c>
      <c r="B254" s="26"/>
      <c r="C254" s="26"/>
    </row>
    <row r="255" spans="1:3" ht="11.25" customHeight="1" x14ac:dyDescent="0.2">
      <c r="A255" s="25" t="s">
        <v>293</v>
      </c>
      <c r="B255" s="25"/>
      <c r="C255" s="25"/>
    </row>
    <row r="256" spans="1:3" ht="11.25" customHeight="1" x14ac:dyDescent="0.2">
      <c r="A256" s="26" t="s">
        <v>294</v>
      </c>
      <c r="B256" s="26"/>
      <c r="C256" s="26"/>
    </row>
    <row r="257" spans="1:3" ht="11.25" customHeight="1" x14ac:dyDescent="0.2">
      <c r="A257" s="25" t="s">
        <v>295</v>
      </c>
      <c r="B257" s="25"/>
      <c r="C257" s="25"/>
    </row>
    <row r="258" spans="1:3" ht="11.25" customHeight="1" x14ac:dyDescent="0.2">
      <c r="A258" s="26" t="s">
        <v>296</v>
      </c>
      <c r="B258" s="26"/>
      <c r="C258" s="26"/>
    </row>
    <row r="259" spans="1:3" ht="11.25" customHeight="1" x14ac:dyDescent="0.2">
      <c r="A259" s="25" t="s">
        <v>297</v>
      </c>
      <c r="B259" s="25"/>
      <c r="C259" s="25"/>
    </row>
    <row r="260" spans="1:3" ht="11.25" customHeight="1" x14ac:dyDescent="0.2">
      <c r="A260" s="26" t="s">
        <v>298</v>
      </c>
      <c r="B260" s="26"/>
      <c r="C260" s="26"/>
    </row>
    <row r="261" spans="1:3" ht="11.25" customHeight="1" x14ac:dyDescent="0.2">
      <c r="A261" s="25" t="s">
        <v>299</v>
      </c>
      <c r="B261" s="25"/>
      <c r="C261" s="25"/>
    </row>
    <row r="262" spans="1:3" ht="11.25" customHeight="1" x14ac:dyDescent="0.2">
      <c r="A262" s="26" t="s">
        <v>300</v>
      </c>
      <c r="B262" s="26"/>
      <c r="C262" s="26"/>
    </row>
    <row r="263" spans="1:3" ht="11.25" customHeight="1" x14ac:dyDescent="0.2">
      <c r="A263" s="25" t="s">
        <v>301</v>
      </c>
      <c r="B263" s="25"/>
      <c r="C263" s="25"/>
    </row>
    <row r="264" spans="1:3" ht="11.25" customHeight="1" x14ac:dyDescent="0.2">
      <c r="A264" s="26" t="s">
        <v>302</v>
      </c>
      <c r="B264" s="26"/>
      <c r="C264" s="26"/>
    </row>
    <row r="265" spans="1:3" ht="11.25" customHeight="1" x14ac:dyDescent="0.2">
      <c r="A265" s="25" t="s">
        <v>303</v>
      </c>
      <c r="B265" s="25"/>
      <c r="C265" s="25"/>
    </row>
    <row r="266" spans="1:3" ht="11.25" customHeight="1" x14ac:dyDescent="0.2">
      <c r="A266" s="26" t="s">
        <v>304</v>
      </c>
      <c r="B266" s="26"/>
      <c r="C266" s="26"/>
    </row>
    <row r="267" spans="1:3" ht="11.25" customHeight="1" x14ac:dyDescent="0.2">
      <c r="A267" s="25" t="s">
        <v>305</v>
      </c>
      <c r="B267" s="25"/>
      <c r="C267" s="25"/>
    </row>
    <row r="268" spans="1:3" ht="11.25" customHeight="1" x14ac:dyDescent="0.2">
      <c r="A268" s="26" t="s">
        <v>306</v>
      </c>
      <c r="B268" s="26"/>
      <c r="C268" s="26"/>
    </row>
    <row r="269" spans="1:3" ht="11.25" customHeight="1" x14ac:dyDescent="0.2">
      <c r="A269" s="25" t="s">
        <v>307</v>
      </c>
      <c r="B269" s="25"/>
      <c r="C269" s="25"/>
    </row>
    <row r="270" spans="1:3" ht="11.25" customHeight="1" x14ac:dyDescent="0.2">
      <c r="A270" s="26" t="s">
        <v>308</v>
      </c>
      <c r="B270" s="26"/>
      <c r="C270" s="26"/>
    </row>
    <row r="271" spans="1:3" ht="11.25" customHeight="1" x14ac:dyDescent="0.2">
      <c r="A271" s="25" t="s">
        <v>309</v>
      </c>
      <c r="B271" s="25"/>
      <c r="C271" s="25"/>
    </row>
    <row r="272" spans="1:3" ht="11.25" customHeight="1" x14ac:dyDescent="0.2">
      <c r="A272" s="26" t="s">
        <v>310</v>
      </c>
      <c r="B272" s="26"/>
      <c r="C272" s="26"/>
    </row>
    <row r="273" spans="1:3" ht="11.25" customHeight="1" x14ac:dyDescent="0.2">
      <c r="A273" s="26" t="s">
        <v>311</v>
      </c>
      <c r="B273" s="26"/>
      <c r="C273" s="26"/>
    </row>
    <row r="274" spans="1:3" ht="11.25" customHeight="1" x14ac:dyDescent="0.2">
      <c r="A274" s="25" t="s">
        <v>312</v>
      </c>
      <c r="B274" s="25"/>
      <c r="C274" s="25"/>
    </row>
    <row r="275" spans="1:3" ht="11.25" customHeight="1" x14ac:dyDescent="0.2">
      <c r="A275" s="26" t="s">
        <v>313</v>
      </c>
      <c r="B275" s="26"/>
      <c r="C275" s="26"/>
    </row>
    <row r="276" spans="1:3" ht="11.25" customHeight="1" x14ac:dyDescent="0.2">
      <c r="A276" s="25" t="s">
        <v>314</v>
      </c>
      <c r="B276" s="25"/>
      <c r="C276" s="25"/>
    </row>
    <row r="277" spans="1:3" ht="11.25" customHeight="1" x14ac:dyDescent="0.2">
      <c r="A277" s="25" t="s">
        <v>315</v>
      </c>
      <c r="B277" s="25"/>
      <c r="C277" s="25"/>
    </row>
    <row r="278" spans="1:3" ht="11.25" customHeight="1" x14ac:dyDescent="0.2">
      <c r="A278" s="26" t="s">
        <v>316</v>
      </c>
      <c r="B278" s="26"/>
      <c r="C278" s="26"/>
    </row>
    <row r="279" spans="1:3" ht="11.25" customHeight="1" x14ac:dyDescent="0.2">
      <c r="A279" s="25" t="s">
        <v>317</v>
      </c>
      <c r="B279" s="25"/>
      <c r="C279" s="25"/>
    </row>
    <row r="280" spans="1:3" ht="11.25" customHeight="1" x14ac:dyDescent="0.2">
      <c r="A280" s="26" t="s">
        <v>318</v>
      </c>
      <c r="B280" s="26"/>
      <c r="C280" s="26"/>
    </row>
    <row r="281" spans="1:3" ht="11.25" customHeight="1" x14ac:dyDescent="0.2">
      <c r="A281" s="26" t="s">
        <v>319</v>
      </c>
      <c r="B281" s="26"/>
      <c r="C281" s="26"/>
    </row>
    <row r="282" spans="1:3" ht="11.25" customHeight="1" x14ac:dyDescent="0.2">
      <c r="A282" s="25" t="s">
        <v>320</v>
      </c>
      <c r="B282" s="25"/>
      <c r="C282" s="25"/>
    </row>
    <row r="283" spans="1:3" ht="11.25" customHeight="1" x14ac:dyDescent="0.2">
      <c r="A283" s="26" t="s">
        <v>321</v>
      </c>
      <c r="B283" s="26"/>
      <c r="C283" s="26"/>
    </row>
    <row r="284" spans="1:3" ht="11.25" customHeight="1" x14ac:dyDescent="0.2">
      <c r="A284" s="26" t="s">
        <v>322</v>
      </c>
      <c r="B284" s="26"/>
      <c r="C284" s="26"/>
    </row>
    <row r="285" spans="1:3" ht="11.25" customHeight="1" x14ac:dyDescent="0.2">
      <c r="A285" s="25" t="s">
        <v>323</v>
      </c>
      <c r="B285" s="25"/>
      <c r="C285" s="25"/>
    </row>
    <row r="286" spans="1:3" ht="11.25" customHeight="1" x14ac:dyDescent="0.2">
      <c r="A286" s="26" t="s">
        <v>324</v>
      </c>
      <c r="B286" s="26"/>
      <c r="C286" s="26"/>
    </row>
    <row r="287" spans="1:3" ht="11.25" customHeight="1" x14ac:dyDescent="0.2">
      <c r="A287" s="25" t="s">
        <v>325</v>
      </c>
      <c r="B287" s="25"/>
      <c r="C287" s="25"/>
    </row>
    <row r="288" spans="1:3" ht="11.25" customHeight="1" x14ac:dyDescent="0.2">
      <c r="A288" s="26" t="s">
        <v>326</v>
      </c>
      <c r="B288" s="26"/>
      <c r="C288" s="26"/>
    </row>
    <row r="289" spans="1:3" ht="11.25" customHeight="1" x14ac:dyDescent="0.2">
      <c r="A289" s="25" t="s">
        <v>327</v>
      </c>
      <c r="B289" s="25"/>
      <c r="C289" s="25"/>
    </row>
    <row r="290" spans="1:3" ht="11.25" customHeight="1" x14ac:dyDescent="0.2">
      <c r="A290" s="26" t="s">
        <v>328</v>
      </c>
      <c r="B290" s="26"/>
      <c r="C290" s="26"/>
    </row>
    <row r="291" spans="1:3" ht="11.25" customHeight="1" x14ac:dyDescent="0.2">
      <c r="A291" s="25" t="s">
        <v>329</v>
      </c>
      <c r="B291" s="25"/>
      <c r="C291" s="25"/>
    </row>
    <row r="292" spans="1:3" ht="11.25" customHeight="1" x14ac:dyDescent="0.2">
      <c r="A292" s="26" t="s">
        <v>330</v>
      </c>
      <c r="B292" s="26"/>
      <c r="C292" s="26"/>
    </row>
    <row r="293" spans="1:3" ht="11.25" customHeight="1" x14ac:dyDescent="0.2">
      <c r="A293" s="25" t="s">
        <v>331</v>
      </c>
      <c r="B293" s="25"/>
      <c r="C293" s="25"/>
    </row>
    <row r="294" spans="1:3" ht="11.25" customHeight="1" x14ac:dyDescent="0.2">
      <c r="A294" s="26" t="s">
        <v>332</v>
      </c>
      <c r="B294" s="26"/>
      <c r="C294" s="26"/>
    </row>
    <row r="295" spans="1:3" ht="11.25" customHeight="1" x14ac:dyDescent="0.2">
      <c r="A295" s="25" t="s">
        <v>333</v>
      </c>
      <c r="B295" s="25"/>
      <c r="C295" s="25"/>
    </row>
    <row r="296" spans="1:3" ht="11.25" customHeight="1" x14ac:dyDescent="0.2">
      <c r="A296" s="26" t="s">
        <v>334</v>
      </c>
      <c r="B296" s="26"/>
      <c r="C296" s="26"/>
    </row>
    <row r="297" spans="1:3" ht="11.25" customHeight="1" x14ac:dyDescent="0.2">
      <c r="A297" s="25" t="s">
        <v>335</v>
      </c>
      <c r="B297" s="25"/>
      <c r="C297" s="25"/>
    </row>
    <row r="298" spans="1:3" ht="11.25" customHeight="1" x14ac:dyDescent="0.2">
      <c r="A298" s="26" t="s">
        <v>336</v>
      </c>
      <c r="B298" s="26"/>
      <c r="C298" s="26"/>
    </row>
    <row r="299" spans="1:3" ht="11.25" customHeight="1" x14ac:dyDescent="0.2">
      <c r="A299" s="25" t="s">
        <v>337</v>
      </c>
      <c r="B299" s="25"/>
      <c r="C299" s="25"/>
    </row>
    <row r="300" spans="1:3" ht="11.25" customHeight="1" x14ac:dyDescent="0.2">
      <c r="A300" s="26" t="s">
        <v>338</v>
      </c>
      <c r="B300" s="26"/>
      <c r="C300" s="26"/>
    </row>
    <row r="301" spans="1:3" ht="11.25" customHeight="1" x14ac:dyDescent="0.2">
      <c r="A301" s="25" t="s">
        <v>339</v>
      </c>
      <c r="B301" s="25"/>
      <c r="C301" s="25"/>
    </row>
    <row r="302" spans="1:3" ht="11.25" customHeight="1" x14ac:dyDescent="0.2">
      <c r="A302" s="26" t="s">
        <v>340</v>
      </c>
      <c r="B302" s="26"/>
      <c r="C302" s="26"/>
    </row>
    <row r="303" spans="1:3" ht="11.25" customHeight="1" x14ac:dyDescent="0.2">
      <c r="A303" s="25" t="s">
        <v>341</v>
      </c>
      <c r="B303" s="25"/>
      <c r="C303" s="25"/>
    </row>
    <row r="304" spans="1:3" ht="11.25" customHeight="1" x14ac:dyDescent="0.2">
      <c r="A304" s="26" t="s">
        <v>342</v>
      </c>
      <c r="B304" s="26"/>
      <c r="C304" s="26"/>
    </row>
    <row r="305" spans="1:3" ht="11.25" customHeight="1" x14ac:dyDescent="0.2">
      <c r="A305" s="25" t="s">
        <v>343</v>
      </c>
      <c r="B305" s="25"/>
      <c r="C305" s="25"/>
    </row>
    <row r="306" spans="1:3" ht="11.25" customHeight="1" x14ac:dyDescent="0.2">
      <c r="A306" s="26" t="s">
        <v>344</v>
      </c>
      <c r="B306" s="26"/>
      <c r="C306" s="26"/>
    </row>
    <row r="307" spans="1:3" ht="11.25" customHeight="1" x14ac:dyDescent="0.2">
      <c r="A307" s="25" t="s">
        <v>345</v>
      </c>
      <c r="B307" s="25"/>
      <c r="C307" s="25"/>
    </row>
    <row r="308" spans="1:3" ht="11.25" customHeight="1" x14ac:dyDescent="0.2">
      <c r="A308" s="25" t="s">
        <v>346</v>
      </c>
      <c r="B308" s="25"/>
      <c r="C308" s="25"/>
    </row>
    <row r="309" spans="1:3" ht="11.25" customHeight="1" x14ac:dyDescent="0.2">
      <c r="A309" s="26" t="s">
        <v>347</v>
      </c>
      <c r="B309" s="26"/>
      <c r="C309" s="26"/>
    </row>
    <row r="310" spans="1:3" ht="11.25" customHeight="1" x14ac:dyDescent="0.2">
      <c r="A310" s="25" t="s">
        <v>348</v>
      </c>
      <c r="B310" s="25"/>
      <c r="C310" s="25"/>
    </row>
    <row r="311" spans="1:3" ht="11.25" customHeight="1" x14ac:dyDescent="0.2">
      <c r="A311" s="26" t="s">
        <v>349</v>
      </c>
      <c r="B311" s="26"/>
      <c r="C311" s="26"/>
    </row>
    <row r="312" spans="1:3" ht="11.25" customHeight="1" x14ac:dyDescent="0.2">
      <c r="A312" s="25" t="s">
        <v>350</v>
      </c>
      <c r="B312" s="25"/>
      <c r="C312" s="25"/>
    </row>
    <row r="313" spans="1:3" ht="11.25" customHeight="1" x14ac:dyDescent="0.2">
      <c r="A313" s="26" t="s">
        <v>351</v>
      </c>
      <c r="B313" s="26"/>
      <c r="C313" s="26"/>
    </row>
    <row r="314" spans="1:3" ht="11.25" customHeight="1" x14ac:dyDescent="0.2">
      <c r="A314" s="25" t="s">
        <v>352</v>
      </c>
      <c r="B314" s="25"/>
      <c r="C314" s="25"/>
    </row>
    <row r="315" spans="1:3" ht="11.25" customHeight="1" x14ac:dyDescent="0.2">
      <c r="A315" s="26" t="s">
        <v>353</v>
      </c>
      <c r="B315" s="26"/>
      <c r="C315" s="26"/>
    </row>
    <row r="316" spans="1:3" ht="11.25" customHeight="1" x14ac:dyDescent="0.2">
      <c r="A316" s="25" t="s">
        <v>354</v>
      </c>
      <c r="B316" s="25"/>
      <c r="C316" s="25"/>
    </row>
    <row r="317" spans="1:3" ht="11.25" customHeight="1" x14ac:dyDescent="0.2">
      <c r="A317" s="26" t="s">
        <v>355</v>
      </c>
      <c r="B317" s="26"/>
      <c r="C317" s="26"/>
    </row>
    <row r="318" spans="1:3" ht="11.25" customHeight="1" x14ac:dyDescent="0.2">
      <c r="A318" s="25" t="s">
        <v>356</v>
      </c>
      <c r="B318" s="25"/>
      <c r="C318" s="25"/>
    </row>
    <row r="319" spans="1:3" ht="11.25" customHeight="1" x14ac:dyDescent="0.2">
      <c r="A319" s="26" t="s">
        <v>357</v>
      </c>
      <c r="B319" s="26"/>
      <c r="C319" s="26"/>
    </row>
    <row r="320" spans="1:3" ht="11.25" customHeight="1" x14ac:dyDescent="0.2">
      <c r="A320" s="26" t="s">
        <v>358</v>
      </c>
      <c r="B320" s="26"/>
      <c r="C320" s="26"/>
    </row>
    <row r="321" spans="1:3" ht="11.25" customHeight="1" x14ac:dyDescent="0.2">
      <c r="A321" s="25" t="s">
        <v>359</v>
      </c>
      <c r="B321" s="25"/>
      <c r="C321" s="25"/>
    </row>
    <row r="322" spans="1:3" ht="11.25" customHeight="1" x14ac:dyDescent="0.2">
      <c r="A322" s="26" t="s">
        <v>360</v>
      </c>
      <c r="B322" s="26"/>
      <c r="C322" s="26"/>
    </row>
    <row r="323" spans="1:3" ht="11.25" customHeight="1" x14ac:dyDescent="0.2">
      <c r="A323" s="25" t="s">
        <v>361</v>
      </c>
      <c r="B323" s="25"/>
      <c r="C323" s="25"/>
    </row>
    <row r="324" spans="1:3" ht="11.25" customHeight="1" x14ac:dyDescent="0.2">
      <c r="A324" s="26" t="s">
        <v>362</v>
      </c>
      <c r="B324" s="26"/>
      <c r="C324" s="26"/>
    </row>
    <row r="325" spans="1:3" ht="11.25" customHeight="1" x14ac:dyDescent="0.2">
      <c r="A325" s="25" t="s">
        <v>363</v>
      </c>
      <c r="B325" s="25"/>
      <c r="C325" s="25"/>
    </row>
    <row r="326" spans="1:3" ht="11.25" customHeight="1" x14ac:dyDescent="0.2">
      <c r="A326" s="26" t="s">
        <v>364</v>
      </c>
      <c r="B326" s="26"/>
      <c r="C326" s="26"/>
    </row>
    <row r="327" spans="1:3" ht="11.25" customHeight="1" x14ac:dyDescent="0.2">
      <c r="A327" s="25" t="s">
        <v>365</v>
      </c>
      <c r="B327" s="25"/>
      <c r="C327" s="25"/>
    </row>
    <row r="328" spans="1:3" ht="11.25" customHeight="1" x14ac:dyDescent="0.2">
      <c r="A328" s="26" t="s">
        <v>366</v>
      </c>
      <c r="B328" s="26"/>
      <c r="C328" s="26"/>
    </row>
    <row r="329" spans="1:3" ht="11.25" customHeight="1" x14ac:dyDescent="0.2">
      <c r="A329" s="25" t="s">
        <v>367</v>
      </c>
      <c r="B329" s="25"/>
      <c r="C329" s="25"/>
    </row>
    <row r="330" spans="1:3" ht="11.25" customHeight="1" x14ac:dyDescent="0.2">
      <c r="A330" s="25" t="s">
        <v>368</v>
      </c>
      <c r="B330" s="25"/>
      <c r="C330" s="25"/>
    </row>
    <row r="331" spans="1:3" ht="11.25" customHeight="1" x14ac:dyDescent="0.2">
      <c r="A331" s="25" t="s">
        <v>369</v>
      </c>
      <c r="B331" s="25"/>
      <c r="C331" s="25"/>
    </row>
    <row r="332" spans="1:3" ht="11.25" customHeight="1" x14ac:dyDescent="0.2">
      <c r="A332" s="26" t="s">
        <v>370</v>
      </c>
      <c r="B332" s="26"/>
      <c r="C332" s="26"/>
    </row>
    <row r="333" spans="1:3" ht="11.25" customHeight="1" x14ac:dyDescent="0.2">
      <c r="A333" s="25" t="s">
        <v>371</v>
      </c>
      <c r="B333" s="25"/>
      <c r="C333" s="25"/>
    </row>
    <row r="334" spans="1:3" ht="11.25" customHeight="1" x14ac:dyDescent="0.2">
      <c r="A334" s="26" t="s">
        <v>372</v>
      </c>
      <c r="B334" s="26"/>
      <c r="C334" s="26"/>
    </row>
    <row r="335" spans="1:3" ht="11.25" customHeight="1" x14ac:dyDescent="0.2">
      <c r="A335" s="25" t="s">
        <v>373</v>
      </c>
      <c r="B335" s="25"/>
      <c r="C335" s="25"/>
    </row>
    <row r="336" spans="1:3" ht="11.25" customHeight="1" x14ac:dyDescent="0.2">
      <c r="A336" s="26" t="s">
        <v>374</v>
      </c>
      <c r="B336" s="26"/>
      <c r="C336" s="26"/>
    </row>
    <row r="337" spans="1:3" ht="11.25" customHeight="1" x14ac:dyDescent="0.2">
      <c r="A337" s="25" t="s">
        <v>375</v>
      </c>
      <c r="B337" s="25"/>
      <c r="C337" s="25"/>
    </row>
    <row r="338" spans="1:3" ht="11.25" customHeight="1" x14ac:dyDescent="0.2">
      <c r="A338" s="26" t="s">
        <v>376</v>
      </c>
      <c r="B338" s="26"/>
      <c r="C338" s="26"/>
    </row>
    <row r="339" spans="1:3" ht="11.25" customHeight="1" x14ac:dyDescent="0.2">
      <c r="A339" s="26" t="s">
        <v>377</v>
      </c>
      <c r="B339" s="26"/>
      <c r="C339" s="26"/>
    </row>
    <row r="340" spans="1:3" ht="11.25" customHeight="1" x14ac:dyDescent="0.2">
      <c r="A340" s="25" t="s">
        <v>378</v>
      </c>
      <c r="B340" s="25"/>
      <c r="C340" s="25"/>
    </row>
    <row r="341" spans="1:3" ht="11.25" customHeight="1" x14ac:dyDescent="0.2">
      <c r="A341" s="26" t="s">
        <v>379</v>
      </c>
      <c r="B341" s="26"/>
      <c r="C341" s="26"/>
    </row>
    <row r="342" spans="1:3" ht="11.25" customHeight="1" x14ac:dyDescent="0.2">
      <c r="A342" s="25" t="s">
        <v>380</v>
      </c>
      <c r="B342" s="25"/>
      <c r="C342" s="25"/>
    </row>
    <row r="343" spans="1:3" ht="11.25" customHeight="1" x14ac:dyDescent="0.2">
      <c r="A343" s="26" t="s">
        <v>381</v>
      </c>
      <c r="B343" s="26"/>
      <c r="C343" s="26"/>
    </row>
    <row r="344" spans="1:3" ht="11.25" customHeight="1" x14ac:dyDescent="0.2">
      <c r="A344" s="25" t="s">
        <v>382</v>
      </c>
      <c r="B344" s="25"/>
      <c r="C344" s="25"/>
    </row>
    <row r="345" spans="1:3" ht="11.25" customHeight="1" x14ac:dyDescent="0.2">
      <c r="A345" s="25" t="s">
        <v>383</v>
      </c>
      <c r="B345" s="25"/>
      <c r="C345" s="25"/>
    </row>
    <row r="346" spans="1:3" ht="11.25" customHeight="1" x14ac:dyDescent="0.2">
      <c r="A346" s="26" t="s">
        <v>384</v>
      </c>
      <c r="B346" s="26"/>
      <c r="C346" s="26"/>
    </row>
    <row r="347" spans="1:3" ht="11.25" customHeight="1" x14ac:dyDescent="0.2">
      <c r="A347" s="25" t="s">
        <v>385</v>
      </c>
      <c r="B347" s="25"/>
      <c r="C347" s="25"/>
    </row>
    <row r="348" spans="1:3" ht="11.25" customHeight="1" x14ac:dyDescent="0.2">
      <c r="A348" s="26" t="s">
        <v>386</v>
      </c>
      <c r="B348" s="26"/>
      <c r="C348" s="26"/>
    </row>
    <row r="349" spans="1:3" ht="11.25" customHeight="1" x14ac:dyDescent="0.2">
      <c r="A349" s="25" t="s">
        <v>387</v>
      </c>
      <c r="B349" s="25"/>
      <c r="C349" s="25"/>
    </row>
    <row r="350" spans="1:3" ht="11.25" customHeight="1" x14ac:dyDescent="0.2">
      <c r="A350" s="26" t="s">
        <v>388</v>
      </c>
      <c r="B350" s="26"/>
      <c r="C350" s="26"/>
    </row>
    <row r="351" spans="1:3" ht="11.25" customHeight="1" x14ac:dyDescent="0.2">
      <c r="A351" s="25" t="s">
        <v>389</v>
      </c>
      <c r="B351" s="25"/>
      <c r="C351" s="25"/>
    </row>
    <row r="352" spans="1:3" ht="11.25" customHeight="1" x14ac:dyDescent="0.2">
      <c r="A352" s="26" t="s">
        <v>390</v>
      </c>
      <c r="B352" s="26"/>
      <c r="C352" s="26"/>
    </row>
    <row r="353" spans="1:3" ht="11.25" customHeight="1" x14ac:dyDescent="0.2">
      <c r="A353" s="25" t="s">
        <v>391</v>
      </c>
      <c r="B353" s="25"/>
      <c r="C353" s="25"/>
    </row>
    <row r="354" spans="1:3" ht="11.25" customHeight="1" x14ac:dyDescent="0.2">
      <c r="A354" s="26" t="s">
        <v>392</v>
      </c>
      <c r="B354" s="26"/>
      <c r="C354" s="26"/>
    </row>
    <row r="355" spans="1:3" ht="11.25" customHeight="1" x14ac:dyDescent="0.2">
      <c r="A355" s="25" t="s">
        <v>393</v>
      </c>
      <c r="B355" s="25"/>
      <c r="C355" s="25"/>
    </row>
    <row r="356" spans="1:3" ht="11.25" customHeight="1" x14ac:dyDescent="0.2">
      <c r="A356" s="26" t="s">
        <v>394</v>
      </c>
      <c r="B356" s="26"/>
      <c r="C356" s="26"/>
    </row>
    <row r="357" spans="1:3" ht="11.25" customHeight="1" x14ac:dyDescent="0.2">
      <c r="A357" s="26" t="s">
        <v>395</v>
      </c>
      <c r="B357" s="26"/>
      <c r="C357" s="26"/>
    </row>
    <row r="358" spans="1:3" ht="11.25" customHeight="1" x14ac:dyDescent="0.2">
      <c r="A358" s="25" t="s">
        <v>396</v>
      </c>
      <c r="B358" s="25"/>
      <c r="C358" s="25"/>
    </row>
    <row r="359" spans="1:3" ht="11.25" customHeight="1" x14ac:dyDescent="0.2">
      <c r="A359" s="26" t="s">
        <v>397</v>
      </c>
      <c r="B359" s="26"/>
      <c r="C359" s="26"/>
    </row>
    <row r="360" spans="1:3" ht="11.25" customHeight="1" x14ac:dyDescent="0.2">
      <c r="A360" s="25" t="s">
        <v>398</v>
      </c>
      <c r="B360" s="25"/>
      <c r="C360" s="25"/>
    </row>
    <row r="361" spans="1:3" ht="11.25" customHeight="1" x14ac:dyDescent="0.2">
      <c r="A361" s="26" t="s">
        <v>399</v>
      </c>
      <c r="B361" s="26"/>
      <c r="C361" s="26"/>
    </row>
    <row r="362" spans="1:3" ht="11.25" customHeight="1" x14ac:dyDescent="0.2">
      <c r="A362" s="25" t="s">
        <v>400</v>
      </c>
      <c r="B362" s="25"/>
      <c r="C362" s="25"/>
    </row>
    <row r="363" spans="1:3" ht="11.25" customHeight="1" x14ac:dyDescent="0.2">
      <c r="A363" s="26" t="s">
        <v>401</v>
      </c>
      <c r="B363" s="26"/>
      <c r="C363" s="26"/>
    </row>
    <row r="364" spans="1:3" ht="11.25" customHeight="1" x14ac:dyDescent="0.2">
      <c r="A364" s="25" t="s">
        <v>402</v>
      </c>
      <c r="B364" s="25"/>
      <c r="C364" s="25"/>
    </row>
    <row r="365" spans="1:3" ht="11.25" customHeight="1" x14ac:dyDescent="0.2">
      <c r="A365" s="26" t="s">
        <v>403</v>
      </c>
      <c r="B365" s="26"/>
      <c r="C365" s="26"/>
    </row>
    <row r="366" spans="1:3" ht="11.25" customHeight="1" x14ac:dyDescent="0.2">
      <c r="A366" s="25" t="s">
        <v>404</v>
      </c>
      <c r="B366" s="25"/>
      <c r="C366" s="25"/>
    </row>
    <row r="367" spans="1:3" ht="11.25" customHeight="1" x14ac:dyDescent="0.2">
      <c r="A367" s="26" t="s">
        <v>405</v>
      </c>
      <c r="B367" s="26"/>
      <c r="C367" s="26"/>
    </row>
    <row r="368" spans="1:3" ht="11.25" customHeight="1" x14ac:dyDescent="0.2">
      <c r="A368" s="25" t="s">
        <v>406</v>
      </c>
      <c r="B368" s="25"/>
      <c r="C368" s="25"/>
    </row>
    <row r="369" spans="1:3" ht="11.25" customHeight="1" x14ac:dyDescent="0.2">
      <c r="A369" s="25" t="s">
        <v>407</v>
      </c>
      <c r="B369" s="25"/>
      <c r="C369" s="25"/>
    </row>
    <row r="370" spans="1:3" ht="11.25" customHeight="1" x14ac:dyDescent="0.2">
      <c r="A370" s="26" t="s">
        <v>408</v>
      </c>
      <c r="B370" s="26"/>
      <c r="C370" s="26"/>
    </row>
    <row r="371" spans="1:3" ht="11.25" customHeight="1" x14ac:dyDescent="0.2">
      <c r="A371" s="25" t="s">
        <v>409</v>
      </c>
      <c r="B371" s="25"/>
      <c r="C371" s="25"/>
    </row>
    <row r="372" spans="1:3" ht="11.25" customHeight="1" x14ac:dyDescent="0.2">
      <c r="A372" s="26" t="s">
        <v>410</v>
      </c>
      <c r="B372" s="26"/>
      <c r="C372" s="26"/>
    </row>
    <row r="373" spans="1:3" ht="11.25" customHeight="1" x14ac:dyDescent="0.2">
      <c r="A373" s="26" t="s">
        <v>411</v>
      </c>
      <c r="B373" s="26"/>
      <c r="C373" s="26"/>
    </row>
    <row r="374" spans="1:3" ht="11.25" customHeight="1" x14ac:dyDescent="0.2">
      <c r="A374" s="25" t="s">
        <v>412</v>
      </c>
      <c r="B374" s="25"/>
      <c r="C374" s="25"/>
    </row>
    <row r="375" spans="1:3" ht="11.25" customHeight="1" x14ac:dyDescent="0.2">
      <c r="A375" s="25" t="s">
        <v>413</v>
      </c>
      <c r="B375" s="25"/>
      <c r="C375" s="25"/>
    </row>
    <row r="376" spans="1:3" ht="11.25" customHeight="1" x14ac:dyDescent="0.2">
      <c r="A376" s="26" t="s">
        <v>414</v>
      </c>
      <c r="B376" s="26"/>
      <c r="C376" s="26"/>
    </row>
    <row r="377" spans="1:3" ht="11.25" customHeight="1" x14ac:dyDescent="0.2">
      <c r="A377" s="26" t="s">
        <v>415</v>
      </c>
      <c r="B377" s="26"/>
      <c r="C377" s="26"/>
    </row>
    <row r="378" spans="1:3" ht="11.25" customHeight="1" x14ac:dyDescent="0.2">
      <c r="A378" s="26" t="s">
        <v>416</v>
      </c>
      <c r="B378" s="26"/>
      <c r="C378" s="26"/>
    </row>
    <row r="379" spans="1:3" ht="11.25" customHeight="1" x14ac:dyDescent="0.2">
      <c r="A379" s="26" t="s">
        <v>417</v>
      </c>
      <c r="B379" s="26"/>
      <c r="C379" s="26"/>
    </row>
    <row r="380" spans="1:3" ht="11.25" customHeight="1" x14ac:dyDescent="0.2">
      <c r="A380" s="26" t="s">
        <v>418</v>
      </c>
      <c r="B380" s="26"/>
      <c r="C380" s="26"/>
    </row>
    <row r="381" spans="1:3" ht="11.25" customHeight="1" x14ac:dyDescent="0.2">
      <c r="A381" s="26" t="s">
        <v>419</v>
      </c>
      <c r="B381" s="26"/>
      <c r="C381" s="26"/>
    </row>
    <row r="382" spans="1:3" ht="11.25" customHeight="1" x14ac:dyDescent="0.2">
      <c r="A382" s="26" t="s">
        <v>420</v>
      </c>
      <c r="B382" s="26"/>
      <c r="C382" s="26"/>
    </row>
    <row r="383" spans="1:3" ht="11.25" customHeight="1" x14ac:dyDescent="0.2">
      <c r="A383" s="26" t="s">
        <v>421</v>
      </c>
      <c r="B383" s="26"/>
      <c r="C383" s="26"/>
    </row>
    <row r="384" spans="1:3" ht="11.25" customHeight="1" x14ac:dyDescent="0.2">
      <c r="A384" s="26" t="s">
        <v>422</v>
      </c>
      <c r="B384" s="26"/>
      <c r="C384" s="26"/>
    </row>
    <row r="385" spans="1:3" ht="11.25" customHeight="1" x14ac:dyDescent="0.2">
      <c r="A385" s="26" t="s">
        <v>423</v>
      </c>
      <c r="B385" s="26"/>
      <c r="C385" s="26"/>
    </row>
    <row r="386" spans="1:3" ht="11.25" customHeight="1" x14ac:dyDescent="0.2">
      <c r="A386" s="26" t="s">
        <v>424</v>
      </c>
      <c r="B386" s="26"/>
      <c r="C386" s="26"/>
    </row>
    <row r="387" spans="1:3" ht="11.25" customHeight="1" x14ac:dyDescent="0.2">
      <c r="A387" s="26" t="s">
        <v>425</v>
      </c>
      <c r="B387" s="26"/>
      <c r="C387" s="26"/>
    </row>
    <row r="388" spans="1:3" ht="11.25" customHeight="1" x14ac:dyDescent="0.2">
      <c r="A388" s="26" t="s">
        <v>426</v>
      </c>
      <c r="B388" s="26"/>
      <c r="C388" s="26"/>
    </row>
    <row r="389" spans="1:3" ht="11.25" customHeight="1" x14ac:dyDescent="0.2">
      <c r="A389" s="26" t="s">
        <v>427</v>
      </c>
      <c r="B389" s="26"/>
      <c r="C389" s="26"/>
    </row>
    <row r="390" spans="1:3" ht="11.25" customHeight="1" x14ac:dyDescent="0.2">
      <c r="A390" s="26" t="s">
        <v>428</v>
      </c>
      <c r="B390" s="26"/>
      <c r="C390" s="26"/>
    </row>
    <row r="391" spans="1:3" ht="11.25" customHeight="1" x14ac:dyDescent="0.2">
      <c r="A391" s="26" t="s">
        <v>429</v>
      </c>
      <c r="B391" s="26"/>
      <c r="C391" s="26"/>
    </row>
    <row r="392" spans="1:3" ht="11.25" customHeight="1" x14ac:dyDescent="0.2">
      <c r="A392" s="26" t="s">
        <v>430</v>
      </c>
      <c r="B392" s="26"/>
      <c r="C392" s="26"/>
    </row>
    <row r="393" spans="1:3" ht="11.25" customHeight="1" x14ac:dyDescent="0.2">
      <c r="A393" s="26" t="s">
        <v>431</v>
      </c>
      <c r="B393" s="26"/>
      <c r="C393" s="26"/>
    </row>
    <row r="394" spans="1:3" ht="11.25" customHeight="1" x14ac:dyDescent="0.2">
      <c r="A394" s="26" t="s">
        <v>432</v>
      </c>
      <c r="B394" s="26"/>
      <c r="C394" s="26"/>
    </row>
    <row r="395" spans="1:3" ht="11.25" customHeight="1" x14ac:dyDescent="0.2">
      <c r="A395" s="26" t="s">
        <v>433</v>
      </c>
      <c r="B395" s="26"/>
      <c r="C395" s="26"/>
    </row>
    <row r="396" spans="1:3" ht="11.25" customHeight="1" x14ac:dyDescent="0.2">
      <c r="A396" s="26" t="s">
        <v>434</v>
      </c>
      <c r="B396" s="26"/>
      <c r="C396" s="26"/>
    </row>
    <row r="397" spans="1:3" ht="11.25" customHeight="1" x14ac:dyDescent="0.2">
      <c r="A397" s="26" t="s">
        <v>435</v>
      </c>
      <c r="B397" s="26"/>
      <c r="C397" s="26"/>
    </row>
    <row r="398" spans="1:3" ht="11.25" customHeight="1" x14ac:dyDescent="0.2">
      <c r="A398" s="26" t="s">
        <v>436</v>
      </c>
      <c r="B398" s="26"/>
      <c r="C398" s="26"/>
    </row>
    <row r="399" spans="1:3" ht="11.25" customHeight="1" x14ac:dyDescent="0.2">
      <c r="A399" s="26" t="s">
        <v>437</v>
      </c>
      <c r="B399" s="26"/>
      <c r="C399" s="26"/>
    </row>
    <row r="400" spans="1:3" ht="11.25" customHeight="1" x14ac:dyDescent="0.2">
      <c r="A400" s="26" t="s">
        <v>438</v>
      </c>
      <c r="B400" s="26"/>
      <c r="C400" s="26"/>
    </row>
    <row r="401" spans="1:3" ht="11.25" customHeight="1" x14ac:dyDescent="0.2">
      <c r="A401" s="26" t="s">
        <v>439</v>
      </c>
      <c r="B401" s="26"/>
      <c r="C401" s="26"/>
    </row>
    <row r="402" spans="1:3" ht="11.25" customHeight="1" x14ac:dyDescent="0.2">
      <c r="A402" s="26" t="s">
        <v>440</v>
      </c>
      <c r="B402" s="26"/>
      <c r="C402" s="26"/>
    </row>
    <row r="403" spans="1:3" ht="11.25" customHeight="1" x14ac:dyDescent="0.2">
      <c r="A403" s="26" t="s">
        <v>441</v>
      </c>
      <c r="B403" s="26"/>
      <c r="C403" s="26"/>
    </row>
    <row r="404" spans="1:3" ht="11.25" customHeight="1" x14ac:dyDescent="0.2">
      <c r="A404" s="26" t="s">
        <v>442</v>
      </c>
      <c r="B404" s="26"/>
      <c r="C404" s="26"/>
    </row>
    <row r="405" spans="1:3" ht="11.25" customHeight="1" x14ac:dyDescent="0.2">
      <c r="A405" s="26" t="s">
        <v>443</v>
      </c>
      <c r="B405" s="26"/>
      <c r="C405" s="26"/>
    </row>
    <row r="406" spans="1:3" ht="11.25" customHeight="1" x14ac:dyDescent="0.2">
      <c r="A406" s="26" t="s">
        <v>444</v>
      </c>
      <c r="B406" s="26"/>
      <c r="C406" s="26"/>
    </row>
    <row r="407" spans="1:3" ht="11.25" customHeight="1" x14ac:dyDescent="0.2">
      <c r="A407" s="26" t="s">
        <v>445</v>
      </c>
      <c r="B407" s="26"/>
      <c r="C407" s="26"/>
    </row>
    <row r="408" spans="1:3" ht="11.25" customHeight="1" x14ac:dyDescent="0.2">
      <c r="A408" s="26" t="s">
        <v>446</v>
      </c>
      <c r="B408" s="26"/>
      <c r="C408" s="26"/>
    </row>
    <row r="409" spans="1:3" ht="11.25" customHeight="1" x14ac:dyDescent="0.2">
      <c r="A409" s="26" t="s">
        <v>447</v>
      </c>
      <c r="B409" s="26"/>
      <c r="C409" s="26"/>
    </row>
    <row r="410" spans="1:3" ht="11.25" customHeight="1" x14ac:dyDescent="0.2">
      <c r="A410" s="26" t="s">
        <v>448</v>
      </c>
      <c r="B410" s="26"/>
      <c r="C410" s="26"/>
    </row>
    <row r="411" spans="1:3" ht="11.25" customHeight="1" x14ac:dyDescent="0.2">
      <c r="A411" s="26" t="s">
        <v>449</v>
      </c>
      <c r="B411" s="26"/>
      <c r="C411" s="26"/>
    </row>
    <row r="412" spans="1:3" ht="11.25" customHeight="1" x14ac:dyDescent="0.2">
      <c r="A412" s="26" t="s">
        <v>450</v>
      </c>
      <c r="B412" s="26"/>
      <c r="C412" s="26"/>
    </row>
    <row r="413" spans="1:3" ht="11.25" customHeight="1" x14ac:dyDescent="0.2">
      <c r="A413" s="26" t="s">
        <v>451</v>
      </c>
      <c r="B413" s="26"/>
      <c r="C413" s="26"/>
    </row>
    <row r="414" spans="1:3" ht="11.25" customHeight="1" x14ac:dyDescent="0.2">
      <c r="A414" s="26" t="s">
        <v>452</v>
      </c>
      <c r="B414" s="26"/>
      <c r="C414" s="26"/>
    </row>
    <row r="415" spans="1:3" ht="11.25" customHeight="1" x14ac:dyDescent="0.2">
      <c r="A415" s="26" t="s">
        <v>453</v>
      </c>
      <c r="B415" s="26"/>
      <c r="C415" s="26"/>
    </row>
    <row r="416" spans="1:3" ht="11.25" customHeight="1" x14ac:dyDescent="0.2">
      <c r="A416" s="26" t="s">
        <v>454</v>
      </c>
      <c r="B416" s="26"/>
      <c r="C416" s="26"/>
    </row>
    <row r="417" spans="1:3" ht="11.25" customHeight="1" x14ac:dyDescent="0.2">
      <c r="A417" s="26" t="s">
        <v>455</v>
      </c>
      <c r="B417" s="26"/>
      <c r="C417" s="26"/>
    </row>
    <row r="418" spans="1:3" ht="11.25" customHeight="1" x14ac:dyDescent="0.2">
      <c r="A418" s="26" t="s">
        <v>456</v>
      </c>
      <c r="B418" s="26"/>
      <c r="C418" s="26"/>
    </row>
    <row r="419" spans="1:3" ht="11.25" customHeight="1" x14ac:dyDescent="0.2">
      <c r="A419" s="26" t="s">
        <v>457</v>
      </c>
      <c r="B419" s="26"/>
      <c r="C419" s="26"/>
    </row>
    <row r="420" spans="1:3" ht="11.25" customHeight="1" x14ac:dyDescent="0.2">
      <c r="A420" s="26" t="s">
        <v>458</v>
      </c>
      <c r="B420" s="26"/>
      <c r="C420" s="26"/>
    </row>
    <row r="421" spans="1:3" ht="11.25" customHeight="1" x14ac:dyDescent="0.2">
      <c r="A421" s="26" t="s">
        <v>459</v>
      </c>
      <c r="B421" s="26"/>
      <c r="C421" s="26"/>
    </row>
    <row r="422" spans="1:3" ht="11.25" customHeight="1" x14ac:dyDescent="0.2">
      <c r="A422" s="26" t="s">
        <v>460</v>
      </c>
      <c r="B422" s="26"/>
      <c r="C422" s="26"/>
    </row>
    <row r="423" spans="1:3" ht="11.25" customHeight="1" x14ac:dyDescent="0.2">
      <c r="A423" s="26" t="s">
        <v>461</v>
      </c>
      <c r="B423" s="26"/>
      <c r="C423" s="26"/>
    </row>
    <row r="424" spans="1:3" ht="11.25" customHeight="1" x14ac:dyDescent="0.2">
      <c r="A424" s="26" t="s">
        <v>462</v>
      </c>
      <c r="B424" s="26"/>
      <c r="C424" s="26"/>
    </row>
    <row r="425" spans="1:3" ht="11.25" customHeight="1" x14ac:dyDescent="0.2">
      <c r="A425" s="26" t="s">
        <v>463</v>
      </c>
      <c r="B425" s="26"/>
      <c r="C425" s="26"/>
    </row>
    <row r="426" spans="1:3" ht="11.25" customHeight="1" x14ac:dyDescent="0.2">
      <c r="A426" s="26" t="s">
        <v>464</v>
      </c>
      <c r="B426" s="26"/>
      <c r="C426" s="26"/>
    </row>
    <row r="427" spans="1:3" ht="11.25" customHeight="1" x14ac:dyDescent="0.2">
      <c r="A427" s="26" t="s">
        <v>465</v>
      </c>
      <c r="B427" s="26"/>
      <c r="C427" s="26"/>
    </row>
    <row r="428" spans="1:3" ht="11.25" customHeight="1" x14ac:dyDescent="0.2">
      <c r="A428" s="26" t="s">
        <v>466</v>
      </c>
      <c r="B428" s="26"/>
      <c r="C428" s="26"/>
    </row>
    <row r="429" spans="1:3" ht="11.25" customHeight="1" x14ac:dyDescent="0.2">
      <c r="A429" s="26" t="s">
        <v>467</v>
      </c>
      <c r="B429" s="26"/>
      <c r="C429" s="26"/>
    </row>
    <row r="430" spans="1:3" ht="11.25" customHeight="1" x14ac:dyDescent="0.2">
      <c r="A430" s="26" t="s">
        <v>468</v>
      </c>
      <c r="B430" s="26"/>
      <c r="C430" s="26"/>
    </row>
    <row r="431" spans="1:3" ht="11.25" customHeight="1" x14ac:dyDescent="0.2">
      <c r="A431" s="26" t="s">
        <v>469</v>
      </c>
      <c r="B431" s="26"/>
      <c r="C431" s="26"/>
    </row>
    <row r="432" spans="1:3" ht="11.25" customHeight="1" x14ac:dyDescent="0.2">
      <c r="A432" s="26" t="s">
        <v>470</v>
      </c>
      <c r="B432" s="26"/>
      <c r="C432" s="26"/>
    </row>
    <row r="433" spans="1:3" ht="11.25" customHeight="1" x14ac:dyDescent="0.2">
      <c r="A433" s="26" t="s">
        <v>471</v>
      </c>
      <c r="B433" s="26"/>
      <c r="C433" s="26"/>
    </row>
    <row r="434" spans="1:3" ht="11.25" customHeight="1" x14ac:dyDescent="0.2">
      <c r="A434" s="26" t="s">
        <v>472</v>
      </c>
      <c r="B434" s="26"/>
      <c r="C434" s="26"/>
    </row>
    <row r="435" spans="1:3" ht="11.25" customHeight="1" x14ac:dyDescent="0.2">
      <c r="A435" s="26" t="s">
        <v>473</v>
      </c>
      <c r="B435" s="26"/>
      <c r="C435" s="26"/>
    </row>
    <row r="436" spans="1:3" ht="11.25" customHeight="1" x14ac:dyDescent="0.2">
      <c r="A436" s="26" t="s">
        <v>474</v>
      </c>
      <c r="B436" s="26"/>
      <c r="C436" s="26"/>
    </row>
    <row r="437" spans="1:3" ht="11.25" customHeight="1" x14ac:dyDescent="0.2">
      <c r="A437" s="26" t="s">
        <v>475</v>
      </c>
      <c r="B437" s="26"/>
      <c r="C437" s="26"/>
    </row>
    <row r="438" spans="1:3" ht="11.25" customHeight="1" x14ac:dyDescent="0.2">
      <c r="A438" s="26" t="s">
        <v>476</v>
      </c>
      <c r="B438" s="26"/>
      <c r="C438" s="26"/>
    </row>
    <row r="439" spans="1:3" ht="11.25" customHeight="1" x14ac:dyDescent="0.2">
      <c r="A439" s="26" t="s">
        <v>477</v>
      </c>
      <c r="B439" s="26"/>
      <c r="C439" s="26"/>
    </row>
    <row r="440" spans="1:3" ht="11.25" customHeight="1" x14ac:dyDescent="0.2">
      <c r="A440" s="26" t="s">
        <v>478</v>
      </c>
      <c r="B440" s="26"/>
      <c r="C440" s="26"/>
    </row>
    <row r="441" spans="1:3" ht="11.25" customHeight="1" x14ac:dyDescent="0.2">
      <c r="A441" s="26" t="s">
        <v>479</v>
      </c>
      <c r="B441" s="26"/>
      <c r="C441" s="26"/>
    </row>
    <row r="442" spans="1:3" ht="11.25" customHeight="1" x14ac:dyDescent="0.2">
      <c r="A442" s="26" t="s">
        <v>480</v>
      </c>
      <c r="B442" s="26"/>
      <c r="C442" s="26"/>
    </row>
    <row r="443" spans="1:3" ht="11.25" customHeight="1" x14ac:dyDescent="0.2">
      <c r="A443" s="26" t="s">
        <v>481</v>
      </c>
      <c r="B443" s="26"/>
      <c r="C443" s="26"/>
    </row>
    <row r="444" spans="1:3" ht="11.25" customHeight="1" x14ac:dyDescent="0.2">
      <c r="A444" s="26" t="s">
        <v>482</v>
      </c>
      <c r="B444" s="26"/>
      <c r="C444" s="26"/>
    </row>
    <row r="445" spans="1:3" ht="11.25" customHeight="1" x14ac:dyDescent="0.2">
      <c r="A445" s="26" t="s">
        <v>483</v>
      </c>
      <c r="B445" s="26"/>
      <c r="C445" s="26"/>
    </row>
    <row r="446" spans="1:3" ht="11.25" customHeight="1" x14ac:dyDescent="0.2">
      <c r="A446" s="26" t="s">
        <v>484</v>
      </c>
      <c r="B446" s="26"/>
      <c r="C446" s="26"/>
    </row>
    <row r="447" spans="1:3" ht="11.25" customHeight="1" x14ac:dyDescent="0.2">
      <c r="A447" s="26" t="s">
        <v>485</v>
      </c>
      <c r="B447" s="26"/>
      <c r="C447" s="26"/>
    </row>
    <row r="448" spans="1:3" ht="11.25" customHeight="1" x14ac:dyDescent="0.2">
      <c r="A448" s="26" t="s">
        <v>486</v>
      </c>
      <c r="B448" s="26"/>
      <c r="C448" s="26"/>
    </row>
    <row r="449" spans="1:3" ht="11.25" customHeight="1" x14ac:dyDescent="0.2">
      <c r="A449" s="26" t="s">
        <v>487</v>
      </c>
      <c r="B449" s="26"/>
      <c r="C449" s="26"/>
    </row>
    <row r="450" spans="1:3" ht="11.25" customHeight="1" x14ac:dyDescent="0.2">
      <c r="A450" s="26" t="s">
        <v>488</v>
      </c>
      <c r="B450" s="26"/>
      <c r="C450" s="26"/>
    </row>
    <row r="451" spans="1:3" ht="11.25" customHeight="1" x14ac:dyDescent="0.2">
      <c r="A451" s="26" t="s">
        <v>489</v>
      </c>
      <c r="B451" s="26"/>
      <c r="C451" s="26"/>
    </row>
    <row r="452" spans="1:3" ht="11.25" customHeight="1" x14ac:dyDescent="0.2">
      <c r="A452" s="26" t="s">
        <v>490</v>
      </c>
      <c r="B452" s="26"/>
      <c r="C452" s="26"/>
    </row>
    <row r="453" spans="1:3" ht="11.25" customHeight="1" x14ac:dyDescent="0.2">
      <c r="A453" s="26" t="s">
        <v>491</v>
      </c>
      <c r="B453" s="26"/>
      <c r="C453" s="26"/>
    </row>
    <row r="454" spans="1:3" ht="11.25" customHeight="1" x14ac:dyDescent="0.2">
      <c r="A454" s="26" t="s">
        <v>492</v>
      </c>
      <c r="B454" s="26"/>
      <c r="C454" s="26"/>
    </row>
    <row r="455" spans="1:3" ht="11.25" customHeight="1" x14ac:dyDescent="0.2">
      <c r="A455" s="26" t="s">
        <v>493</v>
      </c>
      <c r="B455" s="26"/>
      <c r="C455" s="26"/>
    </row>
    <row r="456" spans="1:3" ht="11.25" customHeight="1" x14ac:dyDescent="0.2">
      <c r="A456" s="26" t="s">
        <v>494</v>
      </c>
      <c r="B456" s="26"/>
      <c r="C456" s="26"/>
    </row>
    <row r="457" spans="1:3" ht="11.25" customHeight="1" x14ac:dyDescent="0.2">
      <c r="A457" s="26" t="s">
        <v>495</v>
      </c>
      <c r="B457" s="26"/>
      <c r="C457" s="26"/>
    </row>
    <row r="458" spans="1:3" ht="11.25" customHeight="1" x14ac:dyDescent="0.2">
      <c r="A458" s="26" t="s">
        <v>496</v>
      </c>
      <c r="B458" s="26"/>
      <c r="C458" s="26"/>
    </row>
    <row r="459" spans="1:3" ht="11.25" customHeight="1" x14ac:dyDescent="0.2">
      <c r="A459" s="26" t="s">
        <v>497</v>
      </c>
      <c r="B459" s="26"/>
      <c r="C459" s="26"/>
    </row>
    <row r="460" spans="1:3" ht="11.25" customHeight="1" x14ac:dyDescent="0.2">
      <c r="A460" s="26" t="s">
        <v>498</v>
      </c>
      <c r="B460" s="26"/>
      <c r="C460" s="26"/>
    </row>
    <row r="461" spans="1:3" ht="11.25" customHeight="1" x14ac:dyDescent="0.2">
      <c r="A461" s="26" t="s">
        <v>499</v>
      </c>
      <c r="B461" s="26"/>
      <c r="C461" s="26"/>
    </row>
    <row r="462" spans="1:3" ht="11.25" customHeight="1" x14ac:dyDescent="0.2">
      <c r="A462" s="26" t="s">
        <v>500</v>
      </c>
      <c r="B462" s="26"/>
      <c r="C462" s="26"/>
    </row>
    <row r="463" spans="1:3" ht="11.25" customHeight="1" x14ac:dyDescent="0.2">
      <c r="A463" s="26" t="s">
        <v>501</v>
      </c>
      <c r="B463" s="26"/>
      <c r="C463" s="26"/>
    </row>
    <row r="464" spans="1:3" ht="11.25" customHeight="1" x14ac:dyDescent="0.2">
      <c r="A464" s="26" t="s">
        <v>502</v>
      </c>
      <c r="B464" s="26"/>
      <c r="C464" s="26"/>
    </row>
    <row r="465" spans="1:3" ht="11.25" customHeight="1" x14ac:dyDescent="0.2">
      <c r="A465" s="26" t="s">
        <v>503</v>
      </c>
      <c r="B465" s="26"/>
      <c r="C465" s="26"/>
    </row>
    <row r="466" spans="1:3" ht="11.25" customHeight="1" x14ac:dyDescent="0.2">
      <c r="A466" s="26" t="s">
        <v>504</v>
      </c>
      <c r="B466" s="26"/>
      <c r="C466" s="26"/>
    </row>
    <row r="467" spans="1:3" ht="11.25" customHeight="1" x14ac:dyDescent="0.2">
      <c r="A467" s="26" t="s">
        <v>505</v>
      </c>
      <c r="B467" s="26"/>
      <c r="C467" s="26"/>
    </row>
    <row r="468" spans="1:3" ht="11.25" customHeight="1" x14ac:dyDescent="0.2">
      <c r="A468" s="26" t="s">
        <v>506</v>
      </c>
      <c r="B468" s="26"/>
      <c r="C468" s="26"/>
    </row>
    <row r="469" spans="1:3" ht="11.25" customHeight="1" x14ac:dyDescent="0.2">
      <c r="A469" s="26" t="s">
        <v>507</v>
      </c>
      <c r="B469" s="26"/>
      <c r="C469" s="26"/>
    </row>
    <row r="470" spans="1:3" ht="11.25" customHeight="1" x14ac:dyDescent="0.2">
      <c r="A470" s="26" t="s">
        <v>508</v>
      </c>
      <c r="B470" s="26"/>
      <c r="C470" s="26"/>
    </row>
    <row r="471" spans="1:3" ht="11.25" customHeight="1" x14ac:dyDescent="0.2">
      <c r="A471" s="26" t="s">
        <v>509</v>
      </c>
      <c r="B471" s="26"/>
      <c r="C471" s="26"/>
    </row>
    <row r="472" spans="1:3" ht="11.25" customHeight="1" x14ac:dyDescent="0.2">
      <c r="A472" s="26" t="s">
        <v>510</v>
      </c>
      <c r="B472" s="26"/>
      <c r="C472" s="26"/>
    </row>
    <row r="473" spans="1:3" ht="11.25" customHeight="1" x14ac:dyDescent="0.2">
      <c r="A473" s="26" t="s">
        <v>511</v>
      </c>
      <c r="B473" s="26"/>
      <c r="C473" s="26"/>
    </row>
    <row r="474" spans="1:3" ht="11.25" customHeight="1" x14ac:dyDescent="0.2">
      <c r="A474" s="26" t="s">
        <v>512</v>
      </c>
      <c r="B474" s="26"/>
      <c r="C474" s="26"/>
    </row>
    <row r="475" spans="1:3" ht="11.25" customHeight="1" x14ac:dyDescent="0.2">
      <c r="A475" s="26" t="s">
        <v>513</v>
      </c>
      <c r="B475" s="26"/>
      <c r="C475" s="26"/>
    </row>
    <row r="476" spans="1:3" ht="11.25" customHeight="1" x14ac:dyDescent="0.2">
      <c r="A476" s="26" t="s">
        <v>514</v>
      </c>
      <c r="B476" s="26"/>
      <c r="C476" s="26"/>
    </row>
    <row r="477" spans="1:3" ht="11.25" customHeight="1" x14ac:dyDescent="0.2">
      <c r="A477" s="26" t="s">
        <v>515</v>
      </c>
      <c r="B477" s="26"/>
      <c r="C477" s="26"/>
    </row>
    <row r="478" spans="1:3" ht="11.25" customHeight="1" x14ac:dyDescent="0.2">
      <c r="A478" s="26" t="s">
        <v>516</v>
      </c>
      <c r="B478" s="26"/>
      <c r="C478" s="26"/>
    </row>
    <row r="479" spans="1:3" ht="11.25" customHeight="1" x14ac:dyDescent="0.2">
      <c r="A479" s="26" t="s">
        <v>517</v>
      </c>
      <c r="B479" s="26"/>
      <c r="C479" s="26"/>
    </row>
    <row r="480" spans="1:3" ht="11.25" customHeight="1" x14ac:dyDescent="0.2">
      <c r="A480" s="26" t="s">
        <v>518</v>
      </c>
      <c r="B480" s="26"/>
      <c r="C480" s="26"/>
    </row>
    <row r="481" spans="1:3" ht="11.25" customHeight="1" x14ac:dyDescent="0.2">
      <c r="A481" s="26" t="s">
        <v>519</v>
      </c>
      <c r="B481" s="26"/>
      <c r="C481" s="26"/>
    </row>
    <row r="482" spans="1:3" ht="11.25" customHeight="1" x14ac:dyDescent="0.2">
      <c r="A482" s="26" t="s">
        <v>520</v>
      </c>
      <c r="B482" s="26"/>
      <c r="C482" s="26"/>
    </row>
    <row r="483" spans="1:3" ht="11.25" customHeight="1" x14ac:dyDescent="0.2">
      <c r="A483" s="26" t="s">
        <v>521</v>
      </c>
      <c r="B483" s="26"/>
      <c r="C483" s="26"/>
    </row>
    <row r="484" spans="1:3" ht="11.25" customHeight="1" x14ac:dyDescent="0.2">
      <c r="A484" s="26" t="s">
        <v>522</v>
      </c>
      <c r="B484" s="26"/>
      <c r="C484" s="26"/>
    </row>
    <row r="485" spans="1:3" ht="11.25" customHeight="1" x14ac:dyDescent="0.2">
      <c r="A485" s="26" t="s">
        <v>523</v>
      </c>
      <c r="B485" s="26"/>
      <c r="C485" s="26"/>
    </row>
    <row r="486" spans="1:3" ht="11.25" customHeight="1" x14ac:dyDescent="0.2">
      <c r="A486" s="26" t="s">
        <v>524</v>
      </c>
      <c r="B486" s="26"/>
      <c r="C486" s="26"/>
    </row>
    <row r="487" spans="1:3" ht="11.25" customHeight="1" x14ac:dyDescent="0.2">
      <c r="A487" s="26" t="s">
        <v>525</v>
      </c>
      <c r="B487" s="26"/>
      <c r="C487" s="26"/>
    </row>
    <row r="488" spans="1:3" ht="11.25" customHeight="1" x14ac:dyDescent="0.2">
      <c r="A488" s="26" t="s">
        <v>526</v>
      </c>
      <c r="B488" s="26"/>
      <c r="C488" s="26"/>
    </row>
    <row r="489" spans="1:3" ht="11.25" customHeight="1" x14ac:dyDescent="0.2">
      <c r="A489" s="26" t="s">
        <v>527</v>
      </c>
      <c r="B489" s="26"/>
      <c r="C489" s="26"/>
    </row>
    <row r="490" spans="1:3" ht="11.25" customHeight="1" x14ac:dyDescent="0.2">
      <c r="A490" s="26" t="s">
        <v>528</v>
      </c>
      <c r="B490" s="26"/>
      <c r="C490" s="26"/>
    </row>
    <row r="491" spans="1:3" ht="11.25" customHeight="1" x14ac:dyDescent="0.2">
      <c r="A491" s="26" t="s">
        <v>529</v>
      </c>
      <c r="B491" s="26"/>
      <c r="C491" s="26"/>
    </row>
    <row r="492" spans="1:3" ht="11.25" customHeight="1" x14ac:dyDescent="0.2">
      <c r="A492" s="26" t="s">
        <v>530</v>
      </c>
      <c r="B492" s="26"/>
      <c r="C492" s="26"/>
    </row>
    <row r="493" spans="1:3" ht="11.25" customHeight="1" x14ac:dyDescent="0.2">
      <c r="A493" s="26" t="s">
        <v>531</v>
      </c>
      <c r="B493" s="26"/>
      <c r="C493" s="26"/>
    </row>
    <row r="494" spans="1:3" ht="11.25" customHeight="1" x14ac:dyDescent="0.2">
      <c r="A494" s="26" t="s">
        <v>532</v>
      </c>
      <c r="B494" s="26"/>
      <c r="C494" s="26"/>
    </row>
    <row r="495" spans="1:3" ht="11.25" customHeight="1" x14ac:dyDescent="0.2">
      <c r="A495" s="26" t="s">
        <v>533</v>
      </c>
      <c r="B495" s="26"/>
      <c r="C495" s="26"/>
    </row>
    <row r="496" spans="1:3" ht="11.25" customHeight="1" x14ac:dyDescent="0.2">
      <c r="A496" s="26" t="s">
        <v>534</v>
      </c>
      <c r="B496" s="26"/>
      <c r="C496" s="26"/>
    </row>
    <row r="497" spans="1:3" ht="11.25" customHeight="1" x14ac:dyDescent="0.2">
      <c r="A497" s="26" t="s">
        <v>535</v>
      </c>
      <c r="B497" s="26"/>
      <c r="C497" s="26"/>
    </row>
    <row r="498" spans="1:3" ht="11.25" customHeight="1" x14ac:dyDescent="0.2">
      <c r="A498" s="26" t="s">
        <v>536</v>
      </c>
      <c r="B498" s="26"/>
      <c r="C498" s="26"/>
    </row>
    <row r="499" spans="1:3" ht="11.25" customHeight="1" x14ac:dyDescent="0.2">
      <c r="A499" s="26" t="s">
        <v>537</v>
      </c>
      <c r="B499" s="26"/>
      <c r="C499" s="26"/>
    </row>
    <row r="500" spans="1:3" ht="11.25" customHeight="1" x14ac:dyDescent="0.2">
      <c r="A500" s="26" t="s">
        <v>538</v>
      </c>
      <c r="B500" s="26"/>
      <c r="C500" s="26"/>
    </row>
    <row r="501" spans="1:3" ht="11.25" customHeight="1" x14ac:dyDescent="0.2">
      <c r="A501" s="26" t="s">
        <v>539</v>
      </c>
      <c r="B501" s="26"/>
      <c r="C501" s="26"/>
    </row>
    <row r="502" spans="1:3" ht="11.25" customHeight="1" x14ac:dyDescent="0.2">
      <c r="A502" s="26" t="s">
        <v>540</v>
      </c>
      <c r="B502" s="26"/>
      <c r="C502" s="26"/>
    </row>
    <row r="503" spans="1:3" ht="11.25" customHeight="1" x14ac:dyDescent="0.2">
      <c r="A503" s="26" t="s">
        <v>541</v>
      </c>
      <c r="B503" s="26"/>
      <c r="C503" s="26"/>
    </row>
    <row r="504" spans="1:3" ht="11.25" customHeight="1" x14ac:dyDescent="0.2">
      <c r="A504" s="26" t="s">
        <v>542</v>
      </c>
      <c r="B504" s="26"/>
      <c r="C504" s="26"/>
    </row>
    <row r="505" spans="1:3" ht="11.25" customHeight="1" x14ac:dyDescent="0.2">
      <c r="A505" s="26" t="s">
        <v>543</v>
      </c>
      <c r="B505" s="26"/>
      <c r="C505" s="26"/>
    </row>
    <row r="506" spans="1:3" ht="11.25" customHeight="1" x14ac:dyDescent="0.2">
      <c r="A506" s="26" t="s">
        <v>544</v>
      </c>
      <c r="B506" s="26"/>
      <c r="C506" s="26"/>
    </row>
    <row r="507" spans="1:3" ht="11.25" customHeight="1" x14ac:dyDescent="0.2">
      <c r="A507" s="26" t="s">
        <v>545</v>
      </c>
      <c r="B507" s="26"/>
      <c r="C507" s="26"/>
    </row>
    <row r="508" spans="1:3" ht="11.25" customHeight="1" x14ac:dyDescent="0.2">
      <c r="A508" s="26" t="s">
        <v>546</v>
      </c>
      <c r="B508" s="26"/>
      <c r="C508" s="26"/>
    </row>
    <row r="509" spans="1:3" ht="11.25" customHeight="1" x14ac:dyDescent="0.2">
      <c r="A509" s="26" t="s">
        <v>547</v>
      </c>
      <c r="B509" s="26"/>
      <c r="C509" s="26"/>
    </row>
    <row r="510" spans="1:3" ht="11.25" customHeight="1" x14ac:dyDescent="0.2">
      <c r="A510" s="26" t="s">
        <v>548</v>
      </c>
      <c r="B510" s="26"/>
      <c r="C510" s="26"/>
    </row>
    <row r="511" spans="1:3" ht="11.25" customHeight="1" x14ac:dyDescent="0.2">
      <c r="A511" s="26" t="s">
        <v>549</v>
      </c>
      <c r="B511" s="26"/>
      <c r="C511" s="26"/>
    </row>
    <row r="512" spans="1:3" ht="11.25" customHeight="1" x14ac:dyDescent="0.2">
      <c r="A512" s="26" t="s">
        <v>550</v>
      </c>
      <c r="B512" s="26"/>
      <c r="C512" s="26"/>
    </row>
    <row r="513" spans="1:3" ht="11.25" customHeight="1" x14ac:dyDescent="0.2">
      <c r="A513" s="26" t="s">
        <v>551</v>
      </c>
      <c r="B513" s="26"/>
      <c r="C513" s="26"/>
    </row>
    <row r="514" spans="1:3" ht="11.25" customHeight="1" x14ac:dyDescent="0.2">
      <c r="A514" s="26" t="s">
        <v>552</v>
      </c>
      <c r="B514" s="26"/>
      <c r="C514" s="26"/>
    </row>
    <row r="515" spans="1:3" ht="11.25" customHeight="1" x14ac:dyDescent="0.2">
      <c r="A515" s="26" t="s">
        <v>553</v>
      </c>
      <c r="B515" s="26"/>
      <c r="C515" s="26"/>
    </row>
    <row r="516" spans="1:3" ht="11.25" customHeight="1" x14ac:dyDescent="0.2">
      <c r="A516" s="26" t="s">
        <v>554</v>
      </c>
      <c r="B516" s="26"/>
      <c r="C516" s="26"/>
    </row>
    <row r="517" spans="1:3" ht="11.25" customHeight="1" x14ac:dyDescent="0.2">
      <c r="A517" s="26" t="s">
        <v>555</v>
      </c>
      <c r="B517" s="26"/>
      <c r="C517" s="26"/>
    </row>
    <row r="518" spans="1:3" ht="11.25" customHeight="1" x14ac:dyDescent="0.2">
      <c r="A518" s="26" t="s">
        <v>556</v>
      </c>
      <c r="B518" s="26"/>
      <c r="C518" s="26"/>
    </row>
    <row r="519" spans="1:3" ht="11.25" customHeight="1" x14ac:dyDescent="0.2">
      <c r="A519" s="26" t="s">
        <v>557</v>
      </c>
      <c r="B519" s="26"/>
      <c r="C519" s="26"/>
    </row>
    <row r="520" spans="1:3" ht="11.25" customHeight="1" x14ac:dyDescent="0.2">
      <c r="A520" s="26" t="s">
        <v>558</v>
      </c>
      <c r="B520" s="26"/>
      <c r="C520" s="26"/>
    </row>
    <row r="521" spans="1:3" ht="11.25" customHeight="1" x14ac:dyDescent="0.2">
      <c r="A521" s="26" t="s">
        <v>559</v>
      </c>
      <c r="B521" s="26"/>
      <c r="C521" s="26"/>
    </row>
    <row r="522" spans="1:3" ht="11.25" customHeight="1" x14ac:dyDescent="0.2">
      <c r="A522" s="26" t="s">
        <v>560</v>
      </c>
      <c r="B522" s="26"/>
      <c r="C522" s="26"/>
    </row>
    <row r="523" spans="1:3" ht="11.25" customHeight="1" x14ac:dyDescent="0.2">
      <c r="A523" s="26" t="s">
        <v>561</v>
      </c>
      <c r="B523" s="26"/>
      <c r="C523" s="26"/>
    </row>
    <row r="524" spans="1:3" ht="11.25" customHeight="1" x14ac:dyDescent="0.2">
      <c r="A524" s="26" t="s">
        <v>562</v>
      </c>
      <c r="B524" s="26"/>
      <c r="C524" s="26"/>
    </row>
    <row r="525" spans="1:3" ht="11.25" customHeight="1" x14ac:dyDescent="0.2">
      <c r="A525" s="26" t="s">
        <v>563</v>
      </c>
      <c r="B525" s="26"/>
      <c r="C525" s="26"/>
    </row>
    <row r="526" spans="1:3" ht="11.25" customHeight="1" x14ac:dyDescent="0.2">
      <c r="A526" s="26" t="s">
        <v>564</v>
      </c>
      <c r="B526" s="26"/>
      <c r="C526" s="26"/>
    </row>
    <row r="527" spans="1:3" ht="11.25" customHeight="1" x14ac:dyDescent="0.2">
      <c r="A527" s="26" t="s">
        <v>565</v>
      </c>
      <c r="B527" s="26"/>
      <c r="C527" s="26"/>
    </row>
    <row r="528" spans="1:3" ht="11.25" customHeight="1" x14ac:dyDescent="0.2">
      <c r="A528" s="26" t="s">
        <v>566</v>
      </c>
      <c r="B528" s="26"/>
      <c r="C528" s="26"/>
    </row>
    <row r="529" spans="1:3" ht="11.25" customHeight="1" x14ac:dyDescent="0.2">
      <c r="A529" s="26" t="s">
        <v>567</v>
      </c>
      <c r="B529" s="26"/>
      <c r="C529" s="26"/>
    </row>
    <row r="530" spans="1:3" ht="11.25" customHeight="1" x14ac:dyDescent="0.2">
      <c r="A530" s="26" t="s">
        <v>568</v>
      </c>
      <c r="B530" s="26"/>
      <c r="C530" s="26"/>
    </row>
    <row r="531" spans="1:3" ht="11.25" customHeight="1" x14ac:dyDescent="0.2">
      <c r="A531" s="26" t="s">
        <v>569</v>
      </c>
      <c r="B531" s="26"/>
      <c r="C531" s="26"/>
    </row>
    <row r="532" spans="1:3" ht="11.25" customHeight="1" x14ac:dyDescent="0.2">
      <c r="A532" s="26" t="s">
        <v>570</v>
      </c>
      <c r="B532" s="26"/>
      <c r="C532" s="26"/>
    </row>
    <row r="533" spans="1:3" ht="11.25" customHeight="1" x14ac:dyDescent="0.2">
      <c r="A533" s="26" t="s">
        <v>571</v>
      </c>
      <c r="B533" s="26"/>
      <c r="C533" s="26"/>
    </row>
    <row r="534" spans="1:3" ht="11.25" customHeight="1" x14ac:dyDescent="0.2">
      <c r="A534" s="26" t="s">
        <v>572</v>
      </c>
      <c r="B534" s="26"/>
      <c r="C534" s="26"/>
    </row>
    <row r="535" spans="1:3" ht="11.25" customHeight="1" x14ac:dyDescent="0.2">
      <c r="A535" s="26" t="s">
        <v>573</v>
      </c>
      <c r="B535" s="26"/>
      <c r="C535" s="26"/>
    </row>
    <row r="536" spans="1:3" ht="11.25" customHeight="1" x14ac:dyDescent="0.2">
      <c r="A536" s="26" t="s">
        <v>574</v>
      </c>
      <c r="B536" s="26"/>
      <c r="C536" s="26"/>
    </row>
    <row r="537" spans="1:3" ht="11.25" customHeight="1" x14ac:dyDescent="0.2">
      <c r="A537" s="26" t="s">
        <v>575</v>
      </c>
      <c r="B537" s="26"/>
      <c r="C537" s="26"/>
    </row>
    <row r="538" spans="1:3" ht="11.25" customHeight="1" x14ac:dyDescent="0.2">
      <c r="A538" s="26" t="s">
        <v>576</v>
      </c>
      <c r="B538" s="26"/>
      <c r="C538" s="26"/>
    </row>
    <row r="539" spans="1:3" ht="11.25" customHeight="1" x14ac:dyDescent="0.2">
      <c r="A539" s="26" t="s">
        <v>577</v>
      </c>
      <c r="B539" s="26"/>
      <c r="C539" s="26"/>
    </row>
    <row r="540" spans="1:3" ht="11.25" customHeight="1" x14ac:dyDescent="0.2">
      <c r="A540" s="26" t="s">
        <v>578</v>
      </c>
      <c r="B540" s="26"/>
      <c r="C540" s="26"/>
    </row>
    <row r="541" spans="1:3" ht="11.25" customHeight="1" x14ac:dyDescent="0.2">
      <c r="A541" s="26" t="s">
        <v>579</v>
      </c>
      <c r="B541" s="26"/>
      <c r="C541" s="26"/>
    </row>
    <row r="542" spans="1:3" ht="11.25" customHeight="1" x14ac:dyDescent="0.2">
      <c r="A542" s="26" t="s">
        <v>580</v>
      </c>
      <c r="B542" s="26"/>
      <c r="C542" s="26"/>
    </row>
    <row r="543" spans="1:3" ht="11.25" customHeight="1" x14ac:dyDescent="0.2">
      <c r="A543" s="26" t="s">
        <v>581</v>
      </c>
      <c r="B543" s="26"/>
      <c r="C543" s="26"/>
    </row>
    <row r="544" spans="1:3" ht="11.25" customHeight="1" x14ac:dyDescent="0.2">
      <c r="A544" s="26" t="s">
        <v>582</v>
      </c>
      <c r="B544" s="26"/>
      <c r="C544" s="26"/>
    </row>
    <row r="545" spans="1:3" ht="11.25" customHeight="1" x14ac:dyDescent="0.2">
      <c r="A545" s="26" t="s">
        <v>583</v>
      </c>
      <c r="B545" s="26"/>
      <c r="C545" s="26"/>
    </row>
    <row r="546" spans="1:3" ht="11.25" customHeight="1" x14ac:dyDescent="0.2">
      <c r="A546" s="26" t="s">
        <v>584</v>
      </c>
      <c r="B546" s="26"/>
      <c r="C546" s="26"/>
    </row>
    <row r="547" spans="1:3" ht="11.25" customHeight="1" x14ac:dyDescent="0.2">
      <c r="A547" s="26" t="s">
        <v>585</v>
      </c>
      <c r="B547" s="26"/>
      <c r="C547" s="26"/>
    </row>
    <row r="548" spans="1:3" ht="11.25" customHeight="1" x14ac:dyDescent="0.2">
      <c r="A548" s="26" t="s">
        <v>586</v>
      </c>
      <c r="B548" s="26"/>
      <c r="C548" s="26"/>
    </row>
    <row r="549" spans="1:3" ht="11.25" customHeight="1" x14ac:dyDescent="0.2">
      <c r="A549" s="26" t="s">
        <v>587</v>
      </c>
      <c r="B549" s="26"/>
      <c r="C549" s="26"/>
    </row>
    <row r="550" spans="1:3" ht="11.25" customHeight="1" x14ac:dyDescent="0.2">
      <c r="A550" s="26" t="s">
        <v>588</v>
      </c>
      <c r="B550" s="26"/>
      <c r="C550" s="26"/>
    </row>
    <row r="551" spans="1:3" ht="11.25" customHeight="1" x14ac:dyDescent="0.2">
      <c r="A551" s="26" t="s">
        <v>589</v>
      </c>
      <c r="B551" s="26"/>
      <c r="C551" s="26"/>
    </row>
    <row r="552" spans="1:3" ht="11.25" customHeight="1" x14ac:dyDescent="0.2">
      <c r="A552" s="26" t="s">
        <v>590</v>
      </c>
      <c r="B552" s="26"/>
      <c r="C552" s="26"/>
    </row>
    <row r="553" spans="1:3" ht="11.25" customHeight="1" x14ac:dyDescent="0.2">
      <c r="A553" s="26" t="s">
        <v>591</v>
      </c>
      <c r="B553" s="26"/>
      <c r="C553" s="26"/>
    </row>
    <row r="554" spans="1:3" ht="11.25" customHeight="1" x14ac:dyDescent="0.2">
      <c r="A554" s="26" t="s">
        <v>592</v>
      </c>
      <c r="B554" s="26"/>
      <c r="C554" s="26"/>
    </row>
    <row r="555" spans="1:3" ht="11.25" customHeight="1" x14ac:dyDescent="0.2">
      <c r="A555" s="26" t="s">
        <v>593</v>
      </c>
      <c r="B555" s="26"/>
      <c r="C555" s="26"/>
    </row>
    <row r="556" spans="1:3" ht="11.25" customHeight="1" x14ac:dyDescent="0.2">
      <c r="A556" s="26" t="s">
        <v>594</v>
      </c>
      <c r="B556" s="26"/>
      <c r="C556" s="26"/>
    </row>
    <row r="557" spans="1:3" ht="11.25" customHeight="1" x14ac:dyDescent="0.2">
      <c r="A557" s="26" t="s">
        <v>595</v>
      </c>
      <c r="B557" s="26"/>
      <c r="C557" s="26"/>
    </row>
    <row r="558" spans="1:3" ht="11.25" customHeight="1" x14ac:dyDescent="0.2">
      <c r="A558" s="26" t="s">
        <v>596</v>
      </c>
      <c r="B558" s="26"/>
      <c r="C558" s="26"/>
    </row>
    <row r="559" spans="1:3" ht="11.25" customHeight="1" x14ac:dyDescent="0.2">
      <c r="A559" s="26" t="s">
        <v>597</v>
      </c>
      <c r="B559" s="26"/>
      <c r="C559" s="26"/>
    </row>
    <row r="560" spans="1:3" ht="11.25" customHeight="1" x14ac:dyDescent="0.2">
      <c r="A560" s="26" t="s">
        <v>598</v>
      </c>
      <c r="B560" s="26"/>
      <c r="C560" s="26"/>
    </row>
    <row r="561" spans="1:3" ht="11.25" customHeight="1" x14ac:dyDescent="0.2">
      <c r="A561" s="26" t="s">
        <v>599</v>
      </c>
      <c r="B561" s="26"/>
      <c r="C561" s="26"/>
    </row>
    <row r="562" spans="1:3" ht="11.25" customHeight="1" x14ac:dyDescent="0.2">
      <c r="A562" s="26" t="s">
        <v>600</v>
      </c>
      <c r="B562" s="26"/>
      <c r="C562" s="26"/>
    </row>
    <row r="563" spans="1:3" ht="11.25" customHeight="1" x14ac:dyDescent="0.2">
      <c r="A563" s="26" t="s">
        <v>601</v>
      </c>
      <c r="B563" s="26"/>
      <c r="C563" s="26"/>
    </row>
    <row r="564" spans="1:3" ht="11.25" customHeight="1" x14ac:dyDescent="0.2">
      <c r="A564" s="26" t="s">
        <v>602</v>
      </c>
      <c r="B564" s="26"/>
      <c r="C564" s="26"/>
    </row>
    <row r="565" spans="1:3" ht="11.25" customHeight="1" x14ac:dyDescent="0.2">
      <c r="A565" s="26" t="s">
        <v>603</v>
      </c>
      <c r="B565" s="26"/>
      <c r="C565" s="26"/>
    </row>
    <row r="566" spans="1:3" ht="11.25" customHeight="1" x14ac:dyDescent="0.2">
      <c r="A566" s="26" t="s">
        <v>604</v>
      </c>
      <c r="B566" s="26"/>
      <c r="C566" s="26"/>
    </row>
    <row r="567" spans="1:3" ht="11.25" customHeight="1" x14ac:dyDescent="0.2">
      <c r="A567" s="26" t="s">
        <v>605</v>
      </c>
      <c r="B567" s="26"/>
      <c r="C567" s="26"/>
    </row>
    <row r="568" spans="1:3" ht="11.25" customHeight="1" x14ac:dyDescent="0.2">
      <c r="A568" s="26" t="s">
        <v>606</v>
      </c>
      <c r="B568" s="26"/>
      <c r="C568" s="26"/>
    </row>
    <row r="569" spans="1:3" ht="11.25" customHeight="1" x14ac:dyDescent="0.2">
      <c r="A569" s="26" t="s">
        <v>607</v>
      </c>
      <c r="B569" s="26"/>
      <c r="C569" s="26"/>
    </row>
    <row r="570" spans="1:3" ht="11.25" customHeight="1" x14ac:dyDescent="0.2">
      <c r="A570" s="26" t="s">
        <v>608</v>
      </c>
      <c r="B570" s="26"/>
      <c r="C570" s="26"/>
    </row>
    <row r="571" spans="1:3" ht="11.25" customHeight="1" x14ac:dyDescent="0.2">
      <c r="A571" s="26" t="s">
        <v>609</v>
      </c>
      <c r="B571" s="26"/>
      <c r="C571" s="26"/>
    </row>
    <row r="572" spans="1:3" ht="11.25" customHeight="1" x14ac:dyDescent="0.2">
      <c r="A572" s="26" t="s">
        <v>610</v>
      </c>
      <c r="B572" s="26"/>
      <c r="C572" s="26"/>
    </row>
    <row r="573" spans="1:3" ht="11.25" customHeight="1" x14ac:dyDescent="0.2">
      <c r="A573" s="26" t="s">
        <v>611</v>
      </c>
      <c r="B573" s="26"/>
      <c r="C573" s="26"/>
    </row>
    <row r="574" spans="1:3" ht="11.25" customHeight="1" x14ac:dyDescent="0.2">
      <c r="A574" s="26" t="s">
        <v>612</v>
      </c>
      <c r="B574" s="26"/>
      <c r="C574" s="26"/>
    </row>
    <row r="575" spans="1:3" ht="11.25" customHeight="1" x14ac:dyDescent="0.2">
      <c r="A575" s="26" t="s">
        <v>613</v>
      </c>
      <c r="B575" s="26"/>
      <c r="C575" s="26"/>
    </row>
    <row r="576" spans="1:3" ht="11.25" customHeight="1" x14ac:dyDescent="0.2">
      <c r="A576" s="26" t="s">
        <v>614</v>
      </c>
      <c r="B576" s="26"/>
      <c r="C576" s="26"/>
    </row>
    <row r="577" spans="1:3" ht="11.25" customHeight="1" x14ac:dyDescent="0.2">
      <c r="A577" s="26" t="s">
        <v>615</v>
      </c>
      <c r="B577" s="26"/>
      <c r="C577" s="26"/>
    </row>
    <row r="578" spans="1:3" ht="11.25" customHeight="1" x14ac:dyDescent="0.2">
      <c r="A578" s="26" t="s">
        <v>616</v>
      </c>
      <c r="B578" s="26"/>
      <c r="C578" s="26"/>
    </row>
    <row r="579" spans="1:3" ht="11.25" customHeight="1" x14ac:dyDescent="0.2">
      <c r="A579" s="26" t="s">
        <v>617</v>
      </c>
      <c r="B579" s="26"/>
      <c r="C579" s="26"/>
    </row>
    <row r="580" spans="1:3" ht="11.25" customHeight="1" x14ac:dyDescent="0.2">
      <c r="A580" s="26" t="s">
        <v>618</v>
      </c>
      <c r="B580" s="26"/>
      <c r="C580" s="26"/>
    </row>
    <row r="581" spans="1:3" ht="11.25" customHeight="1" x14ac:dyDescent="0.2">
      <c r="A581" s="26" t="s">
        <v>619</v>
      </c>
      <c r="B581" s="26"/>
      <c r="C581" s="26"/>
    </row>
    <row r="582" spans="1:3" ht="11.25" customHeight="1" x14ac:dyDescent="0.2">
      <c r="A582" s="26" t="s">
        <v>620</v>
      </c>
      <c r="B582" s="26"/>
      <c r="C582" s="26"/>
    </row>
    <row r="583" spans="1:3" ht="11.25" customHeight="1" x14ac:dyDescent="0.2">
      <c r="A583" s="26" t="s">
        <v>621</v>
      </c>
      <c r="B583" s="26"/>
      <c r="C583" s="26"/>
    </row>
    <row r="584" spans="1:3" ht="11.25" customHeight="1" x14ac:dyDescent="0.2">
      <c r="A584" s="26" t="s">
        <v>622</v>
      </c>
      <c r="B584" s="26"/>
      <c r="C584" s="26"/>
    </row>
    <row r="585" spans="1:3" ht="11.25" customHeight="1" x14ac:dyDescent="0.2">
      <c r="A585" s="26" t="s">
        <v>623</v>
      </c>
      <c r="B585" s="26"/>
      <c r="C585" s="26"/>
    </row>
    <row r="586" spans="1:3" ht="11.25" customHeight="1" x14ac:dyDescent="0.2">
      <c r="A586" s="26" t="s">
        <v>624</v>
      </c>
      <c r="B586" s="26"/>
      <c r="C586" s="26"/>
    </row>
    <row r="587" spans="1:3" ht="11.25" customHeight="1" x14ac:dyDescent="0.2">
      <c r="A587" s="26" t="s">
        <v>625</v>
      </c>
      <c r="B587" s="26"/>
      <c r="C587" s="26"/>
    </row>
    <row r="588" spans="1:3" ht="11.25" customHeight="1" x14ac:dyDescent="0.2">
      <c r="A588" s="26" t="s">
        <v>626</v>
      </c>
      <c r="B588" s="26"/>
      <c r="C588" s="26"/>
    </row>
    <row r="589" spans="1:3" ht="11.25" customHeight="1" x14ac:dyDescent="0.2">
      <c r="A589" s="26" t="s">
        <v>627</v>
      </c>
      <c r="B589" s="26"/>
      <c r="C589" s="26"/>
    </row>
    <row r="590" spans="1:3" ht="11.25" customHeight="1" x14ac:dyDescent="0.2">
      <c r="A590" s="26" t="s">
        <v>628</v>
      </c>
      <c r="B590" s="26"/>
      <c r="C590" s="26"/>
    </row>
    <row r="591" spans="1:3" ht="11.25" customHeight="1" x14ac:dyDescent="0.2">
      <c r="A591" s="26" t="s">
        <v>629</v>
      </c>
      <c r="B591" s="26"/>
      <c r="C591" s="26"/>
    </row>
    <row r="592" spans="1:3" ht="11.25" customHeight="1" x14ac:dyDescent="0.2">
      <c r="A592" s="26" t="s">
        <v>630</v>
      </c>
      <c r="B592" s="26"/>
      <c r="C592" s="26"/>
    </row>
    <row r="593" spans="1:3" ht="11.25" customHeight="1" x14ac:dyDescent="0.2">
      <c r="A593" s="26" t="s">
        <v>631</v>
      </c>
      <c r="B593" s="26"/>
      <c r="C593" s="26"/>
    </row>
    <row r="594" spans="1:3" ht="11.25" customHeight="1" x14ac:dyDescent="0.2">
      <c r="A594" s="26" t="s">
        <v>632</v>
      </c>
      <c r="B594" s="26"/>
      <c r="C594" s="26"/>
    </row>
    <row r="595" spans="1:3" ht="11.25" customHeight="1" x14ac:dyDescent="0.2">
      <c r="A595" s="26" t="s">
        <v>633</v>
      </c>
      <c r="B595" s="26"/>
      <c r="C595" s="26"/>
    </row>
    <row r="596" spans="1:3" ht="11.25" customHeight="1" x14ac:dyDescent="0.2">
      <c r="A596" s="26" t="s">
        <v>634</v>
      </c>
      <c r="B596" s="26"/>
      <c r="C596" s="26"/>
    </row>
    <row r="597" spans="1:3" ht="11.25" customHeight="1" x14ac:dyDescent="0.2">
      <c r="A597" s="26" t="s">
        <v>635</v>
      </c>
      <c r="B597" s="26"/>
      <c r="C597" s="26"/>
    </row>
    <row r="598" spans="1:3" ht="11.25" customHeight="1" x14ac:dyDescent="0.2">
      <c r="A598" s="26" t="s">
        <v>636</v>
      </c>
      <c r="B598" s="26"/>
      <c r="C598" s="26"/>
    </row>
    <row r="599" spans="1:3" ht="11.25" customHeight="1" x14ac:dyDescent="0.2">
      <c r="A599" s="26" t="s">
        <v>637</v>
      </c>
      <c r="B599" s="26"/>
      <c r="C599" s="26"/>
    </row>
    <row r="600" spans="1:3" ht="11.25" customHeight="1" x14ac:dyDescent="0.2">
      <c r="A600" s="26" t="s">
        <v>638</v>
      </c>
      <c r="B600" s="26"/>
      <c r="C600" s="26"/>
    </row>
    <row r="601" spans="1:3" ht="11.25" customHeight="1" x14ac:dyDescent="0.2">
      <c r="A601" s="26" t="s">
        <v>639</v>
      </c>
      <c r="B601" s="26"/>
      <c r="C601" s="26"/>
    </row>
    <row r="602" spans="1:3" ht="11.25" customHeight="1" x14ac:dyDescent="0.2">
      <c r="A602" s="26" t="s">
        <v>640</v>
      </c>
      <c r="B602" s="26"/>
      <c r="C602" s="26"/>
    </row>
    <row r="603" spans="1:3" ht="11.25" customHeight="1" x14ac:dyDescent="0.2">
      <c r="A603" s="26" t="s">
        <v>641</v>
      </c>
      <c r="B603" s="26"/>
      <c r="C603" s="26"/>
    </row>
    <row r="604" spans="1:3" ht="11.25" customHeight="1" x14ac:dyDescent="0.2">
      <c r="A604" s="26" t="s">
        <v>642</v>
      </c>
      <c r="B604" s="26"/>
      <c r="C604" s="26"/>
    </row>
    <row r="605" spans="1:3" ht="11.25" customHeight="1" x14ac:dyDescent="0.2">
      <c r="A605" s="26" t="s">
        <v>643</v>
      </c>
      <c r="B605" s="26"/>
      <c r="C605" s="26"/>
    </row>
    <row r="606" spans="1:3" ht="11.25" customHeight="1" x14ac:dyDescent="0.2">
      <c r="A606" s="26" t="s">
        <v>644</v>
      </c>
      <c r="B606" s="26"/>
      <c r="C606" s="26"/>
    </row>
    <row r="607" spans="1:3" ht="11.25" customHeight="1" x14ac:dyDescent="0.2">
      <c r="A607" s="26" t="s">
        <v>645</v>
      </c>
      <c r="B607" s="26"/>
      <c r="C607" s="26"/>
    </row>
    <row r="608" spans="1:3" ht="11.25" customHeight="1" x14ac:dyDescent="0.2">
      <c r="A608" s="26" t="s">
        <v>646</v>
      </c>
      <c r="B608" s="26"/>
      <c r="C608" s="26"/>
    </row>
    <row r="609" spans="1:3" ht="11.25" customHeight="1" x14ac:dyDescent="0.2">
      <c r="A609" s="26" t="s">
        <v>647</v>
      </c>
      <c r="B609" s="26"/>
      <c r="C609" s="26"/>
    </row>
    <row r="610" spans="1:3" ht="11.25" customHeight="1" x14ac:dyDescent="0.2">
      <c r="A610" s="26" t="s">
        <v>648</v>
      </c>
      <c r="B610" s="26"/>
      <c r="C610" s="26"/>
    </row>
    <row r="611" spans="1:3" ht="11.25" customHeight="1" x14ac:dyDescent="0.2">
      <c r="A611" s="26" t="s">
        <v>649</v>
      </c>
      <c r="B611" s="26"/>
      <c r="C611" s="26"/>
    </row>
    <row r="612" spans="1:3" ht="11.25" customHeight="1" x14ac:dyDescent="0.2">
      <c r="A612" s="26" t="s">
        <v>650</v>
      </c>
      <c r="B612" s="26"/>
      <c r="C612" s="26"/>
    </row>
    <row r="613" spans="1:3" ht="11.25" customHeight="1" x14ac:dyDescent="0.2">
      <c r="A613" s="26" t="s">
        <v>651</v>
      </c>
      <c r="B613" s="26"/>
      <c r="C613" s="26"/>
    </row>
    <row r="614" spans="1:3" ht="11.25" customHeight="1" x14ac:dyDescent="0.2">
      <c r="A614" s="26" t="s">
        <v>652</v>
      </c>
      <c r="B614" s="26"/>
      <c r="C614" s="26"/>
    </row>
    <row r="615" spans="1:3" ht="11.25" customHeight="1" x14ac:dyDescent="0.2">
      <c r="A615" s="26" t="s">
        <v>653</v>
      </c>
      <c r="B615" s="26"/>
      <c r="C615" s="26"/>
    </row>
    <row r="616" spans="1:3" ht="11.25" customHeight="1" x14ac:dyDescent="0.2">
      <c r="A616" s="26" t="s">
        <v>654</v>
      </c>
      <c r="B616" s="26"/>
      <c r="C616" s="26"/>
    </row>
    <row r="617" spans="1:3" ht="11.25" customHeight="1" x14ac:dyDescent="0.2">
      <c r="A617" s="26" t="s">
        <v>655</v>
      </c>
      <c r="B617" s="26"/>
      <c r="C617" s="26"/>
    </row>
    <row r="618" spans="1:3" ht="11.25" customHeight="1" x14ac:dyDescent="0.2">
      <c r="A618" s="26" t="s">
        <v>656</v>
      </c>
      <c r="B618" s="26"/>
      <c r="C618" s="26"/>
    </row>
    <row r="619" spans="1:3" ht="11.25" customHeight="1" x14ac:dyDescent="0.2">
      <c r="A619" s="26" t="s">
        <v>657</v>
      </c>
      <c r="B619" s="26"/>
      <c r="C619" s="26"/>
    </row>
    <row r="620" spans="1:3" ht="11.25" customHeight="1" x14ac:dyDescent="0.2">
      <c r="A620" s="26" t="s">
        <v>658</v>
      </c>
      <c r="B620" s="26"/>
      <c r="C620" s="26"/>
    </row>
    <row r="621" spans="1:3" ht="11.25" customHeight="1" x14ac:dyDescent="0.2">
      <c r="A621" s="26" t="s">
        <v>659</v>
      </c>
      <c r="B621" s="26"/>
      <c r="C621" s="26"/>
    </row>
    <row r="622" spans="1:3" ht="11.25" customHeight="1" x14ac:dyDescent="0.2">
      <c r="A622" s="26" t="s">
        <v>660</v>
      </c>
      <c r="B622" s="26"/>
      <c r="C622" s="26"/>
    </row>
    <row r="623" spans="1:3" ht="11.25" customHeight="1" x14ac:dyDescent="0.2">
      <c r="A623" s="26" t="s">
        <v>661</v>
      </c>
      <c r="B623" s="26"/>
      <c r="C623" s="26"/>
    </row>
    <row r="624" spans="1:3" ht="11.25" customHeight="1" x14ac:dyDescent="0.2">
      <c r="A624" s="26" t="s">
        <v>662</v>
      </c>
      <c r="B624" s="26"/>
      <c r="C624" s="26"/>
    </row>
    <row r="625" spans="1:3" ht="11.25" customHeight="1" x14ac:dyDescent="0.2">
      <c r="A625" s="26" t="s">
        <v>663</v>
      </c>
      <c r="B625" s="26"/>
      <c r="C625" s="26"/>
    </row>
    <row r="626" spans="1:3" ht="11.25" customHeight="1" x14ac:dyDescent="0.2">
      <c r="A626" s="26" t="s">
        <v>664</v>
      </c>
      <c r="B626" s="26"/>
      <c r="C626" s="26"/>
    </row>
    <row r="627" spans="1:3" ht="11.25" customHeight="1" x14ac:dyDescent="0.2">
      <c r="A627" s="26" t="s">
        <v>665</v>
      </c>
      <c r="B627" s="26"/>
      <c r="C627" s="26"/>
    </row>
    <row r="628" spans="1:3" ht="11.25" customHeight="1" x14ac:dyDescent="0.2">
      <c r="A628" s="26" t="s">
        <v>666</v>
      </c>
      <c r="B628" s="26"/>
      <c r="C628" s="26"/>
    </row>
    <row r="629" spans="1:3" ht="11.25" customHeight="1" x14ac:dyDescent="0.2">
      <c r="A629" s="26" t="s">
        <v>667</v>
      </c>
      <c r="B629" s="26"/>
      <c r="C629" s="26"/>
    </row>
    <row r="630" spans="1:3" ht="11.25" customHeight="1" x14ac:dyDescent="0.2">
      <c r="A630" s="26" t="s">
        <v>668</v>
      </c>
      <c r="B630" s="26"/>
      <c r="C630" s="26"/>
    </row>
    <row r="631" spans="1:3" ht="11.25" customHeight="1" x14ac:dyDescent="0.2">
      <c r="A631" s="26" t="s">
        <v>669</v>
      </c>
      <c r="B631" s="26"/>
      <c r="C631" s="26"/>
    </row>
    <row r="632" spans="1:3" ht="11.25" customHeight="1" x14ac:dyDescent="0.2">
      <c r="A632" s="26" t="s">
        <v>670</v>
      </c>
      <c r="B632" s="26"/>
      <c r="C632" s="26"/>
    </row>
    <row r="633" spans="1:3" ht="11.25" customHeight="1" x14ac:dyDescent="0.2">
      <c r="A633" s="26" t="s">
        <v>671</v>
      </c>
      <c r="B633" s="26"/>
      <c r="C633" s="26"/>
    </row>
    <row r="634" spans="1:3" ht="11.25" customHeight="1" x14ac:dyDescent="0.2">
      <c r="A634" s="26" t="s">
        <v>672</v>
      </c>
      <c r="B634" s="26"/>
      <c r="C634" s="26"/>
    </row>
    <row r="635" spans="1:3" ht="11.25" customHeight="1" x14ac:dyDescent="0.2">
      <c r="A635" s="26" t="s">
        <v>673</v>
      </c>
      <c r="B635" s="26"/>
      <c r="C635" s="26"/>
    </row>
    <row r="636" spans="1:3" ht="11.25" customHeight="1" x14ac:dyDescent="0.2">
      <c r="A636" s="26" t="s">
        <v>674</v>
      </c>
      <c r="B636" s="26"/>
      <c r="C636" s="26"/>
    </row>
    <row r="637" spans="1:3" ht="11.25" customHeight="1" x14ac:dyDescent="0.2">
      <c r="A637" s="26" t="s">
        <v>675</v>
      </c>
      <c r="B637" s="26"/>
      <c r="C637" s="26"/>
    </row>
    <row r="638" spans="1:3" ht="11.25" customHeight="1" x14ac:dyDescent="0.2">
      <c r="A638" s="26" t="s">
        <v>676</v>
      </c>
      <c r="B638" s="26"/>
      <c r="C638" s="26"/>
    </row>
    <row r="639" spans="1:3" ht="11.25" customHeight="1" x14ac:dyDescent="0.2">
      <c r="A639" s="26" t="s">
        <v>677</v>
      </c>
      <c r="B639" s="26"/>
      <c r="C639" s="26"/>
    </row>
    <row r="640" spans="1:3" ht="11.25" customHeight="1" x14ac:dyDescent="0.2">
      <c r="A640" s="26" t="s">
        <v>678</v>
      </c>
      <c r="B640" s="26"/>
      <c r="C640" s="26"/>
    </row>
    <row r="641" spans="1:3" ht="11.25" customHeight="1" x14ac:dyDescent="0.2">
      <c r="A641" s="26" t="s">
        <v>679</v>
      </c>
      <c r="B641" s="26"/>
      <c r="C641" s="26"/>
    </row>
    <row r="642" spans="1:3" ht="11.25" customHeight="1" x14ac:dyDescent="0.2">
      <c r="A642" s="26" t="s">
        <v>680</v>
      </c>
      <c r="B642" s="26"/>
      <c r="C642" s="26"/>
    </row>
    <row r="643" spans="1:3" ht="11.25" customHeight="1" x14ac:dyDescent="0.2">
      <c r="A643" s="26" t="s">
        <v>681</v>
      </c>
      <c r="B643" s="26"/>
      <c r="C643" s="26"/>
    </row>
    <row r="644" spans="1:3" ht="11.25" customHeight="1" x14ac:dyDescent="0.2">
      <c r="A644" s="26" t="s">
        <v>682</v>
      </c>
      <c r="B644" s="26"/>
      <c r="C644" s="26"/>
    </row>
    <row r="645" spans="1:3" ht="11.25" customHeight="1" x14ac:dyDescent="0.2">
      <c r="A645" s="26" t="s">
        <v>683</v>
      </c>
      <c r="B645" s="26"/>
      <c r="C645" s="26"/>
    </row>
    <row r="646" spans="1:3" ht="11.25" customHeight="1" x14ac:dyDescent="0.2">
      <c r="A646" s="26" t="s">
        <v>684</v>
      </c>
      <c r="B646" s="26"/>
      <c r="C646" s="26"/>
    </row>
    <row r="647" spans="1:3" ht="11.25" customHeight="1" x14ac:dyDescent="0.2">
      <c r="A647" s="26" t="s">
        <v>685</v>
      </c>
      <c r="B647" s="26"/>
      <c r="C647" s="26"/>
    </row>
    <row r="648" spans="1:3" ht="11.25" customHeight="1" x14ac:dyDescent="0.2">
      <c r="A648" s="26" t="s">
        <v>686</v>
      </c>
      <c r="B648" s="26"/>
      <c r="C648" s="26"/>
    </row>
    <row r="649" spans="1:3" ht="11.25" customHeight="1" x14ac:dyDescent="0.2">
      <c r="A649" s="26" t="s">
        <v>687</v>
      </c>
      <c r="B649" s="26"/>
      <c r="C649" s="26"/>
    </row>
    <row r="650" spans="1:3" ht="11.25" customHeight="1" x14ac:dyDescent="0.2">
      <c r="A650" s="26" t="s">
        <v>688</v>
      </c>
      <c r="B650" s="26"/>
      <c r="C650" s="26"/>
    </row>
    <row r="651" spans="1:3" ht="11.25" customHeight="1" x14ac:dyDescent="0.2">
      <c r="A651" s="26" t="s">
        <v>689</v>
      </c>
      <c r="B651" s="26"/>
      <c r="C651" s="26"/>
    </row>
    <row r="652" spans="1:3" ht="11.25" customHeight="1" x14ac:dyDescent="0.2">
      <c r="A652" s="26" t="s">
        <v>690</v>
      </c>
      <c r="B652" s="26"/>
      <c r="C652" s="26"/>
    </row>
    <row r="653" spans="1:3" ht="11.25" customHeight="1" x14ac:dyDescent="0.2">
      <c r="A653" s="26" t="s">
        <v>691</v>
      </c>
      <c r="B653" s="26"/>
      <c r="C653" s="26"/>
    </row>
    <row r="654" spans="1:3" ht="11.25" customHeight="1" x14ac:dyDescent="0.2">
      <c r="A654" s="26" t="s">
        <v>692</v>
      </c>
      <c r="B654" s="26"/>
      <c r="C654" s="26"/>
    </row>
    <row r="655" spans="1:3" ht="11.25" customHeight="1" x14ac:dyDescent="0.2">
      <c r="A655" s="26" t="s">
        <v>693</v>
      </c>
      <c r="B655" s="26"/>
      <c r="C655" s="26"/>
    </row>
    <row r="656" spans="1:3" ht="11.25" customHeight="1" x14ac:dyDescent="0.2">
      <c r="A656" s="26" t="s">
        <v>694</v>
      </c>
      <c r="B656" s="26"/>
      <c r="C656" s="26"/>
    </row>
    <row r="657" spans="1:3" ht="11.25" customHeight="1" x14ac:dyDescent="0.2">
      <c r="A657" s="26" t="s">
        <v>695</v>
      </c>
      <c r="B657" s="26"/>
      <c r="C657" s="26"/>
    </row>
    <row r="658" spans="1:3" ht="11.25" customHeight="1" x14ac:dyDescent="0.2">
      <c r="A658" s="26" t="s">
        <v>696</v>
      </c>
      <c r="B658" s="26"/>
      <c r="C658" s="26"/>
    </row>
    <row r="659" spans="1:3" ht="11.25" customHeight="1" x14ac:dyDescent="0.2">
      <c r="A659" s="26" t="s">
        <v>697</v>
      </c>
      <c r="B659" s="26"/>
      <c r="C659" s="26"/>
    </row>
    <row r="660" spans="1:3" ht="11.25" customHeight="1" x14ac:dyDescent="0.2">
      <c r="A660" s="26" t="s">
        <v>698</v>
      </c>
      <c r="B660" s="26"/>
      <c r="C660" s="26"/>
    </row>
    <row r="661" spans="1:3" ht="11.25" customHeight="1" x14ac:dyDescent="0.2">
      <c r="A661" s="26" t="s">
        <v>699</v>
      </c>
      <c r="B661" s="26"/>
      <c r="C661" s="26"/>
    </row>
    <row r="662" spans="1:3" ht="11.25" customHeight="1" x14ac:dyDescent="0.2">
      <c r="A662" s="26" t="s">
        <v>700</v>
      </c>
      <c r="B662" s="26"/>
      <c r="C662" s="26"/>
    </row>
    <row r="663" spans="1:3" ht="11.25" customHeight="1" x14ac:dyDescent="0.2">
      <c r="A663" s="26" t="s">
        <v>701</v>
      </c>
      <c r="B663" s="26"/>
      <c r="C663" s="26"/>
    </row>
    <row r="664" spans="1:3" ht="11.25" customHeight="1" x14ac:dyDescent="0.2">
      <c r="A664" s="26" t="s">
        <v>702</v>
      </c>
      <c r="B664" s="26"/>
      <c r="C664" s="26"/>
    </row>
    <row r="665" spans="1:3" ht="11.25" customHeight="1" x14ac:dyDescent="0.2">
      <c r="A665" s="26" t="s">
        <v>703</v>
      </c>
      <c r="B665" s="26"/>
      <c r="C665" s="26"/>
    </row>
    <row r="666" spans="1:3" ht="11.25" customHeight="1" x14ac:dyDescent="0.2">
      <c r="A666" s="26" t="s">
        <v>704</v>
      </c>
      <c r="B666" s="26"/>
      <c r="C666" s="26"/>
    </row>
    <row r="667" spans="1:3" ht="11.25" customHeight="1" x14ac:dyDescent="0.2">
      <c r="A667" s="26" t="s">
        <v>705</v>
      </c>
      <c r="B667" s="26"/>
      <c r="C667" s="26"/>
    </row>
    <row r="668" spans="1:3" ht="11.25" customHeight="1" x14ac:dyDescent="0.2">
      <c r="A668" s="26" t="s">
        <v>706</v>
      </c>
      <c r="B668" s="26"/>
      <c r="C668" s="26"/>
    </row>
    <row r="669" spans="1:3" ht="11.25" customHeight="1" x14ac:dyDescent="0.2">
      <c r="A669" s="26" t="s">
        <v>707</v>
      </c>
      <c r="B669" s="26"/>
      <c r="C669" s="26"/>
    </row>
    <row r="670" spans="1:3" ht="11.25" customHeight="1" x14ac:dyDescent="0.2">
      <c r="A670" s="26" t="s">
        <v>708</v>
      </c>
      <c r="B670" s="26"/>
      <c r="C670" s="26"/>
    </row>
    <row r="671" spans="1:3" ht="11.25" customHeight="1" x14ac:dyDescent="0.2">
      <c r="A671" s="26" t="s">
        <v>709</v>
      </c>
      <c r="B671" s="26"/>
      <c r="C671" s="26"/>
    </row>
    <row r="672" spans="1:3" ht="11.25" customHeight="1" x14ac:dyDescent="0.2">
      <c r="A672" s="26" t="s">
        <v>710</v>
      </c>
      <c r="B672" s="26"/>
      <c r="C672" s="26"/>
    </row>
    <row r="673" spans="1:3" ht="11.25" customHeight="1" x14ac:dyDescent="0.2">
      <c r="A673" s="26" t="s">
        <v>711</v>
      </c>
      <c r="B673" s="26"/>
      <c r="C673" s="26"/>
    </row>
    <row r="674" spans="1:3" ht="11.25" customHeight="1" x14ac:dyDescent="0.2">
      <c r="A674" s="26" t="s">
        <v>712</v>
      </c>
      <c r="B674" s="26"/>
      <c r="C674" s="26"/>
    </row>
    <row r="675" spans="1:3" ht="11.25" customHeight="1" x14ac:dyDescent="0.2">
      <c r="A675" s="26" t="s">
        <v>713</v>
      </c>
      <c r="B675" s="26"/>
      <c r="C675" s="26"/>
    </row>
    <row r="676" spans="1:3" ht="11.25" customHeight="1" x14ac:dyDescent="0.2">
      <c r="A676" s="26" t="s">
        <v>714</v>
      </c>
      <c r="B676" s="26"/>
      <c r="C676" s="26"/>
    </row>
    <row r="677" spans="1:3" ht="11.25" customHeight="1" x14ac:dyDescent="0.2">
      <c r="A677" s="26" t="s">
        <v>715</v>
      </c>
      <c r="B677" s="26"/>
      <c r="C677" s="26"/>
    </row>
    <row r="678" spans="1:3" ht="11.25" customHeight="1" x14ac:dyDescent="0.2">
      <c r="A678" s="26" t="s">
        <v>716</v>
      </c>
      <c r="B678" s="26"/>
      <c r="C678" s="26"/>
    </row>
    <row r="679" spans="1:3" ht="11.25" customHeight="1" x14ac:dyDescent="0.2">
      <c r="A679" s="26" t="s">
        <v>717</v>
      </c>
      <c r="B679" s="26"/>
      <c r="C679" s="26"/>
    </row>
    <row r="680" spans="1:3" ht="11.25" customHeight="1" x14ac:dyDescent="0.2">
      <c r="A680" s="26" t="s">
        <v>718</v>
      </c>
      <c r="B680" s="26"/>
      <c r="C680" s="26"/>
    </row>
    <row r="681" spans="1:3" ht="11.25" customHeight="1" x14ac:dyDescent="0.2">
      <c r="A681" s="26" t="s">
        <v>719</v>
      </c>
      <c r="B681" s="26"/>
      <c r="C681" s="26"/>
    </row>
    <row r="682" spans="1:3" ht="11.25" customHeight="1" x14ac:dyDescent="0.2">
      <c r="A682" s="26" t="s">
        <v>720</v>
      </c>
      <c r="B682" s="26"/>
      <c r="C682" s="26"/>
    </row>
    <row r="683" spans="1:3" ht="11.25" customHeight="1" x14ac:dyDescent="0.2">
      <c r="A683" s="26" t="s">
        <v>721</v>
      </c>
      <c r="B683" s="26"/>
      <c r="C683" s="26"/>
    </row>
    <row r="684" spans="1:3" ht="11.25" customHeight="1" x14ac:dyDescent="0.2">
      <c r="A684" s="26" t="s">
        <v>722</v>
      </c>
      <c r="B684" s="26"/>
      <c r="C684" s="26"/>
    </row>
    <row r="685" spans="1:3" ht="11.25" customHeight="1" x14ac:dyDescent="0.2">
      <c r="A685" s="26" t="s">
        <v>723</v>
      </c>
      <c r="B685" s="26"/>
      <c r="C685" s="26"/>
    </row>
    <row r="686" spans="1:3" ht="11.25" customHeight="1" x14ac:dyDescent="0.2">
      <c r="A686" s="26" t="s">
        <v>724</v>
      </c>
      <c r="B686" s="26"/>
      <c r="C686" s="26"/>
    </row>
    <row r="687" spans="1:3" ht="11.25" customHeight="1" x14ac:dyDescent="0.2">
      <c r="A687" s="26" t="s">
        <v>725</v>
      </c>
      <c r="B687" s="26"/>
      <c r="C687" s="26"/>
    </row>
    <row r="688" spans="1:3" ht="11.25" customHeight="1" x14ac:dyDescent="0.2">
      <c r="A688" s="26" t="s">
        <v>726</v>
      </c>
      <c r="B688" s="26"/>
      <c r="C688" s="26"/>
    </row>
    <row r="689" spans="1:3" ht="11.25" customHeight="1" x14ac:dyDescent="0.2">
      <c r="A689" s="26" t="s">
        <v>727</v>
      </c>
      <c r="B689" s="26"/>
      <c r="C689" s="26"/>
    </row>
    <row r="690" spans="1:3" ht="11.25" customHeight="1" x14ac:dyDescent="0.2">
      <c r="A690" s="26" t="s">
        <v>728</v>
      </c>
      <c r="B690" s="26"/>
      <c r="C690" s="26"/>
    </row>
    <row r="691" spans="1:3" ht="11.25" customHeight="1" x14ac:dyDescent="0.2">
      <c r="A691" s="26" t="s">
        <v>729</v>
      </c>
      <c r="B691" s="26"/>
      <c r="C691" s="26"/>
    </row>
    <row r="692" spans="1:3" ht="11.25" customHeight="1" x14ac:dyDescent="0.2">
      <c r="A692" s="26" t="s">
        <v>730</v>
      </c>
      <c r="B692" s="26"/>
      <c r="C692" s="26"/>
    </row>
    <row r="693" spans="1:3" ht="11.25" customHeight="1" x14ac:dyDescent="0.2">
      <c r="A693" s="26" t="s">
        <v>731</v>
      </c>
      <c r="B693" s="26"/>
      <c r="C693" s="26"/>
    </row>
    <row r="694" spans="1:3" ht="11.25" customHeight="1" x14ac:dyDescent="0.2">
      <c r="A694" s="26" t="s">
        <v>732</v>
      </c>
      <c r="B694" s="26"/>
      <c r="C694" s="26"/>
    </row>
    <row r="695" spans="1:3" ht="11.25" customHeight="1" x14ac:dyDescent="0.2">
      <c r="A695" s="26" t="s">
        <v>733</v>
      </c>
      <c r="B695" s="26"/>
      <c r="C695" s="26"/>
    </row>
    <row r="696" spans="1:3" ht="11.25" customHeight="1" x14ac:dyDescent="0.2">
      <c r="A696" s="26" t="s">
        <v>734</v>
      </c>
      <c r="B696" s="26"/>
      <c r="C696" s="26"/>
    </row>
    <row r="697" spans="1:3" ht="11.25" customHeight="1" x14ac:dyDescent="0.2">
      <c r="A697" s="26" t="s">
        <v>735</v>
      </c>
      <c r="B697" s="26"/>
      <c r="C697" s="26"/>
    </row>
    <row r="698" spans="1:3" ht="11.25" customHeight="1" x14ac:dyDescent="0.2">
      <c r="A698" s="26" t="s">
        <v>736</v>
      </c>
      <c r="B698" s="26"/>
      <c r="C698" s="26"/>
    </row>
    <row r="699" spans="1:3" ht="11.25" customHeight="1" x14ac:dyDescent="0.2">
      <c r="A699" s="26" t="s">
        <v>737</v>
      </c>
      <c r="B699" s="26"/>
      <c r="C699" s="26"/>
    </row>
    <row r="700" spans="1:3" ht="11.25" customHeight="1" x14ac:dyDescent="0.2">
      <c r="A700" s="26" t="s">
        <v>738</v>
      </c>
      <c r="B700" s="26"/>
      <c r="C700" s="26"/>
    </row>
    <row r="701" spans="1:3" ht="11.25" customHeight="1" x14ac:dyDescent="0.2">
      <c r="A701" s="26" t="s">
        <v>739</v>
      </c>
      <c r="B701" s="26"/>
      <c r="C701" s="26"/>
    </row>
    <row r="702" spans="1:3" ht="11.25" customHeight="1" x14ac:dyDescent="0.2">
      <c r="A702" s="26" t="s">
        <v>740</v>
      </c>
      <c r="B702" s="26"/>
      <c r="C702" s="26"/>
    </row>
    <row r="703" spans="1:3" ht="11.25" customHeight="1" x14ac:dyDescent="0.2">
      <c r="A703" s="26" t="s">
        <v>741</v>
      </c>
      <c r="B703" s="26"/>
      <c r="C703" s="26"/>
    </row>
    <row r="704" spans="1:3" ht="11.25" customHeight="1" x14ac:dyDescent="0.2">
      <c r="A704" s="26" t="s">
        <v>742</v>
      </c>
      <c r="B704" s="26"/>
      <c r="C704" s="26"/>
    </row>
    <row r="705" spans="1:3" ht="11.25" customHeight="1" x14ac:dyDescent="0.2">
      <c r="A705" s="26" t="s">
        <v>743</v>
      </c>
      <c r="B705" s="26"/>
      <c r="C705" s="26"/>
    </row>
    <row r="706" spans="1:3" ht="11.25" customHeight="1" x14ac:dyDescent="0.2">
      <c r="A706" s="26" t="s">
        <v>744</v>
      </c>
      <c r="B706" s="26"/>
      <c r="C706" s="26"/>
    </row>
    <row r="707" spans="1:3" ht="11.25" customHeight="1" x14ac:dyDescent="0.2">
      <c r="A707" s="26" t="s">
        <v>745</v>
      </c>
      <c r="B707" s="26"/>
      <c r="C707" s="26"/>
    </row>
    <row r="708" spans="1:3" ht="11.25" customHeight="1" x14ac:dyDescent="0.2">
      <c r="A708" s="26" t="s">
        <v>746</v>
      </c>
      <c r="B708" s="26"/>
      <c r="C708" s="26"/>
    </row>
    <row r="709" spans="1:3" ht="11.25" customHeight="1" x14ac:dyDescent="0.2">
      <c r="A709" s="26" t="s">
        <v>747</v>
      </c>
      <c r="B709" s="26"/>
      <c r="C709" s="26"/>
    </row>
    <row r="710" spans="1:3" ht="11.25" customHeight="1" x14ac:dyDescent="0.2">
      <c r="A710" s="26" t="s">
        <v>748</v>
      </c>
      <c r="B710" s="26"/>
      <c r="C710" s="26"/>
    </row>
    <row r="711" spans="1:3" ht="11.25" customHeight="1" x14ac:dyDescent="0.2">
      <c r="A711" s="26" t="s">
        <v>749</v>
      </c>
      <c r="B711" s="26"/>
      <c r="C711" s="26"/>
    </row>
    <row r="712" spans="1:3" ht="11.25" customHeight="1" x14ac:dyDescent="0.2">
      <c r="A712" s="26" t="s">
        <v>750</v>
      </c>
      <c r="B712" s="26"/>
      <c r="C712" s="26"/>
    </row>
    <row r="713" spans="1:3" ht="11.25" customHeight="1" x14ac:dyDescent="0.2">
      <c r="A713" s="26" t="s">
        <v>751</v>
      </c>
      <c r="B713" s="26"/>
      <c r="C713" s="26"/>
    </row>
    <row r="714" spans="1:3" ht="11.25" customHeight="1" x14ac:dyDescent="0.2">
      <c r="A714" s="26" t="s">
        <v>752</v>
      </c>
      <c r="B714" s="26"/>
      <c r="C714" s="26"/>
    </row>
    <row r="715" spans="1:3" ht="11.25" customHeight="1" x14ac:dyDescent="0.2">
      <c r="A715" s="26" t="s">
        <v>753</v>
      </c>
      <c r="B715" s="26"/>
      <c r="C715" s="26"/>
    </row>
    <row r="716" spans="1:3" ht="11.25" customHeight="1" x14ac:dyDescent="0.2">
      <c r="A716" s="26" t="s">
        <v>754</v>
      </c>
      <c r="B716" s="26"/>
      <c r="C716" s="26"/>
    </row>
    <row r="717" spans="1:3" ht="11.25" customHeight="1" x14ac:dyDescent="0.2">
      <c r="A717" s="26" t="s">
        <v>755</v>
      </c>
      <c r="B717" s="26"/>
      <c r="C717" s="26"/>
    </row>
    <row r="718" spans="1:3" ht="11.25" customHeight="1" x14ac:dyDescent="0.2">
      <c r="A718" s="26" t="s">
        <v>756</v>
      </c>
      <c r="B718" s="26"/>
      <c r="C718" s="26"/>
    </row>
    <row r="719" spans="1:3" ht="11.25" customHeight="1" x14ac:dyDescent="0.2">
      <c r="A719" s="26" t="s">
        <v>757</v>
      </c>
      <c r="B719" s="26"/>
      <c r="C719" s="26"/>
    </row>
    <row r="720" spans="1:3" ht="11.25" customHeight="1" x14ac:dyDescent="0.2">
      <c r="A720" s="26" t="s">
        <v>758</v>
      </c>
      <c r="B720" s="26"/>
      <c r="C720" s="26"/>
    </row>
    <row r="721" spans="1:3" ht="11.25" customHeight="1" x14ac:dyDescent="0.2">
      <c r="A721" s="26" t="s">
        <v>759</v>
      </c>
      <c r="B721" s="26"/>
      <c r="C721" s="26"/>
    </row>
    <row r="722" spans="1:3" ht="11.25" customHeight="1" x14ac:dyDescent="0.2">
      <c r="A722" s="26" t="s">
        <v>760</v>
      </c>
      <c r="B722" s="26"/>
      <c r="C722" s="26"/>
    </row>
    <row r="723" spans="1:3" ht="11.25" customHeight="1" x14ac:dyDescent="0.2">
      <c r="A723" s="26" t="s">
        <v>761</v>
      </c>
      <c r="B723" s="26"/>
      <c r="C723" s="26"/>
    </row>
    <row r="724" spans="1:3" ht="11.25" customHeight="1" x14ac:dyDescent="0.2">
      <c r="A724" s="26" t="s">
        <v>762</v>
      </c>
      <c r="B724" s="26"/>
      <c r="C724" s="26"/>
    </row>
    <row r="725" spans="1:3" ht="11.25" customHeight="1" x14ac:dyDescent="0.2">
      <c r="A725" s="26" t="s">
        <v>763</v>
      </c>
      <c r="B725" s="26"/>
      <c r="C725" s="26"/>
    </row>
    <row r="726" spans="1:3" ht="11.25" customHeight="1" x14ac:dyDescent="0.2">
      <c r="A726" s="26" t="s">
        <v>764</v>
      </c>
      <c r="B726" s="26"/>
      <c r="C726" s="26"/>
    </row>
    <row r="727" spans="1:3" ht="11.25" customHeight="1" x14ac:dyDescent="0.2">
      <c r="A727" s="26" t="s">
        <v>765</v>
      </c>
      <c r="B727" s="26"/>
      <c r="C727" s="26"/>
    </row>
    <row r="728" spans="1:3" ht="11.25" customHeight="1" x14ac:dyDescent="0.2">
      <c r="A728" s="26" t="s">
        <v>766</v>
      </c>
      <c r="B728" s="26"/>
      <c r="C728" s="26"/>
    </row>
    <row r="729" spans="1:3" ht="11.25" customHeight="1" x14ac:dyDescent="0.2">
      <c r="A729" s="26" t="s">
        <v>767</v>
      </c>
      <c r="B729" s="26"/>
      <c r="C729" s="26"/>
    </row>
    <row r="730" spans="1:3" ht="11.25" customHeight="1" x14ac:dyDescent="0.2">
      <c r="A730" s="26" t="s">
        <v>768</v>
      </c>
      <c r="B730" s="26"/>
      <c r="C730" s="26"/>
    </row>
    <row r="731" spans="1:3" ht="11.25" customHeight="1" x14ac:dyDescent="0.2">
      <c r="A731" s="26" t="s">
        <v>769</v>
      </c>
      <c r="B731" s="26"/>
      <c r="C731" s="26"/>
    </row>
    <row r="732" spans="1:3" ht="11.25" customHeight="1" x14ac:dyDescent="0.2">
      <c r="A732" s="26" t="s">
        <v>770</v>
      </c>
      <c r="B732" s="26"/>
      <c r="C732" s="26"/>
    </row>
    <row r="733" spans="1:3" ht="11.25" customHeight="1" x14ac:dyDescent="0.2">
      <c r="A733" s="26" t="s">
        <v>771</v>
      </c>
      <c r="B733" s="26"/>
      <c r="C733" s="26"/>
    </row>
    <row r="734" spans="1:3" ht="11.25" customHeight="1" x14ac:dyDescent="0.2">
      <c r="A734" s="26" t="s">
        <v>772</v>
      </c>
      <c r="B734" s="26"/>
      <c r="C734" s="26"/>
    </row>
    <row r="735" spans="1:3" ht="11.25" customHeight="1" x14ac:dyDescent="0.2">
      <c r="A735" s="26" t="s">
        <v>773</v>
      </c>
      <c r="B735" s="26"/>
      <c r="C735" s="26"/>
    </row>
    <row r="736" spans="1:3" ht="11.25" customHeight="1" x14ac:dyDescent="0.2">
      <c r="A736" s="26" t="s">
        <v>774</v>
      </c>
      <c r="B736" s="26"/>
      <c r="C736" s="26"/>
    </row>
    <row r="737" spans="1:3" ht="11.25" customHeight="1" x14ac:dyDescent="0.2">
      <c r="A737" s="26" t="s">
        <v>775</v>
      </c>
      <c r="B737" s="26"/>
      <c r="C737" s="26"/>
    </row>
    <row r="738" spans="1:3" ht="11.25" customHeight="1" x14ac:dyDescent="0.2">
      <c r="A738" s="26" t="s">
        <v>776</v>
      </c>
      <c r="B738" s="26"/>
      <c r="C738" s="26"/>
    </row>
    <row r="739" spans="1:3" ht="11.25" customHeight="1" x14ac:dyDescent="0.2">
      <c r="A739" s="26" t="s">
        <v>777</v>
      </c>
      <c r="B739" s="26"/>
      <c r="C739" s="26"/>
    </row>
    <row r="740" spans="1:3" ht="11.25" customHeight="1" x14ac:dyDescent="0.2">
      <c r="A740" s="26" t="s">
        <v>778</v>
      </c>
      <c r="B740" s="26"/>
      <c r="C740" s="26"/>
    </row>
    <row r="741" spans="1:3" ht="11.25" customHeight="1" x14ac:dyDescent="0.2">
      <c r="A741" s="26" t="s">
        <v>779</v>
      </c>
      <c r="B741" s="26"/>
      <c r="C741" s="26"/>
    </row>
    <row r="742" spans="1:3" ht="11.25" customHeight="1" x14ac:dyDescent="0.2">
      <c r="A742" s="26" t="s">
        <v>780</v>
      </c>
      <c r="B742" s="26"/>
      <c r="C742" s="26"/>
    </row>
    <row r="743" spans="1:3" ht="11.25" customHeight="1" x14ac:dyDescent="0.2">
      <c r="A743" s="26" t="s">
        <v>781</v>
      </c>
      <c r="B743" s="26"/>
      <c r="C743" s="26"/>
    </row>
    <row r="744" spans="1:3" ht="11.25" customHeight="1" x14ac:dyDescent="0.2">
      <c r="A744" s="26" t="s">
        <v>782</v>
      </c>
      <c r="B744" s="26"/>
      <c r="C744" s="26"/>
    </row>
    <row r="745" spans="1:3" ht="11.25" customHeight="1" x14ac:dyDescent="0.2">
      <c r="A745" s="26" t="s">
        <v>783</v>
      </c>
      <c r="B745" s="26"/>
      <c r="C745" s="26"/>
    </row>
    <row r="746" spans="1:3" ht="11.25" customHeight="1" x14ac:dyDescent="0.2">
      <c r="A746" s="26" t="s">
        <v>784</v>
      </c>
      <c r="B746" s="26"/>
      <c r="C746" s="26"/>
    </row>
    <row r="747" spans="1:3" ht="11.25" customHeight="1" x14ac:dyDescent="0.2">
      <c r="A747" s="26" t="s">
        <v>785</v>
      </c>
      <c r="B747" s="26"/>
      <c r="C747" s="26"/>
    </row>
    <row r="748" spans="1:3" ht="11.25" customHeight="1" x14ac:dyDescent="0.2">
      <c r="A748" s="26" t="s">
        <v>786</v>
      </c>
      <c r="B748" s="26"/>
      <c r="C748" s="26"/>
    </row>
    <row r="749" spans="1:3" ht="11.25" customHeight="1" x14ac:dyDescent="0.2">
      <c r="A749" s="26" t="s">
        <v>787</v>
      </c>
      <c r="B749" s="26"/>
      <c r="C749" s="26"/>
    </row>
    <row r="750" spans="1:3" ht="11.25" customHeight="1" x14ac:dyDescent="0.2">
      <c r="A750" s="26" t="s">
        <v>788</v>
      </c>
      <c r="B750" s="26"/>
      <c r="C750" s="26"/>
    </row>
    <row r="751" spans="1:3" ht="11.25" customHeight="1" x14ac:dyDescent="0.2">
      <c r="A751" s="26" t="s">
        <v>789</v>
      </c>
      <c r="B751" s="26"/>
      <c r="C751" s="26"/>
    </row>
    <row r="752" spans="1:3" ht="11.25" customHeight="1" x14ac:dyDescent="0.2">
      <c r="A752" s="26" t="s">
        <v>790</v>
      </c>
      <c r="B752" s="26"/>
      <c r="C752" s="26"/>
    </row>
    <row r="753" spans="1:3" ht="11.25" customHeight="1" x14ac:dyDescent="0.2">
      <c r="A753" s="26" t="s">
        <v>791</v>
      </c>
      <c r="B753" s="26"/>
      <c r="C753" s="26"/>
    </row>
    <row r="754" spans="1:3" ht="11.25" customHeight="1" x14ac:dyDescent="0.2">
      <c r="A754" s="26" t="s">
        <v>792</v>
      </c>
      <c r="B754" s="26"/>
      <c r="C754" s="26"/>
    </row>
    <row r="755" spans="1:3" ht="11.25" customHeight="1" x14ac:dyDescent="0.2">
      <c r="A755" s="26" t="s">
        <v>793</v>
      </c>
      <c r="B755" s="26"/>
      <c r="C755" s="26"/>
    </row>
    <row r="756" spans="1:3" ht="11.25" customHeight="1" x14ac:dyDescent="0.2">
      <c r="A756" s="26" t="s">
        <v>794</v>
      </c>
      <c r="B756" s="26"/>
      <c r="C756" s="26"/>
    </row>
    <row r="757" spans="1:3" ht="11.25" customHeight="1" x14ac:dyDescent="0.2">
      <c r="A757" s="26" t="s">
        <v>795</v>
      </c>
      <c r="B757" s="26"/>
      <c r="C757" s="26"/>
    </row>
    <row r="758" spans="1:3" ht="11.25" customHeight="1" x14ac:dyDescent="0.2">
      <c r="A758" s="26" t="s">
        <v>796</v>
      </c>
      <c r="B758" s="26"/>
      <c r="C758" s="26"/>
    </row>
    <row r="759" spans="1:3" ht="11.25" customHeight="1" x14ac:dyDescent="0.2">
      <c r="A759" s="26" t="s">
        <v>797</v>
      </c>
      <c r="B759" s="26"/>
      <c r="C759" s="26"/>
    </row>
    <row r="760" spans="1:3" ht="11.25" customHeight="1" x14ac:dyDescent="0.2">
      <c r="A760" s="26" t="s">
        <v>798</v>
      </c>
      <c r="B760" s="26"/>
      <c r="C760" s="26"/>
    </row>
    <row r="761" spans="1:3" ht="11.25" customHeight="1" x14ac:dyDescent="0.2">
      <c r="A761" s="26" t="s">
        <v>799</v>
      </c>
      <c r="B761" s="26"/>
      <c r="C761" s="26"/>
    </row>
    <row r="762" spans="1:3" ht="11.25" customHeight="1" x14ac:dyDescent="0.2">
      <c r="A762" s="26" t="s">
        <v>800</v>
      </c>
      <c r="B762" s="26"/>
      <c r="C762" s="26"/>
    </row>
    <row r="763" spans="1:3" ht="11.25" customHeight="1" x14ac:dyDescent="0.2">
      <c r="A763" s="26" t="s">
        <v>801</v>
      </c>
      <c r="B763" s="26"/>
      <c r="C763" s="26"/>
    </row>
    <row r="764" spans="1:3" ht="11.25" customHeight="1" x14ac:dyDescent="0.2">
      <c r="A764" s="26" t="s">
        <v>802</v>
      </c>
      <c r="B764" s="26"/>
      <c r="C764" s="26"/>
    </row>
    <row r="765" spans="1:3" ht="11.25" customHeight="1" x14ac:dyDescent="0.2">
      <c r="A765" s="26" t="s">
        <v>803</v>
      </c>
      <c r="B765" s="26"/>
      <c r="C765" s="26"/>
    </row>
    <row r="766" spans="1:3" ht="11.25" customHeight="1" x14ac:dyDescent="0.2">
      <c r="A766" s="26" t="s">
        <v>804</v>
      </c>
      <c r="B766" s="26"/>
      <c r="C766" s="26"/>
    </row>
    <row r="767" spans="1:3" ht="11.25" customHeight="1" x14ac:dyDescent="0.2">
      <c r="A767" s="26" t="s">
        <v>805</v>
      </c>
      <c r="B767" s="26"/>
      <c r="C767" s="26"/>
    </row>
    <row r="768" spans="1:3" ht="11.25" customHeight="1" x14ac:dyDescent="0.2">
      <c r="A768" s="26" t="s">
        <v>806</v>
      </c>
      <c r="B768" s="26"/>
      <c r="C768" s="26"/>
    </row>
    <row r="769" spans="1:3" ht="11.25" customHeight="1" x14ac:dyDescent="0.2">
      <c r="A769" s="26" t="s">
        <v>807</v>
      </c>
      <c r="B769" s="26"/>
      <c r="C769" s="26"/>
    </row>
    <row r="770" spans="1:3" ht="11.25" customHeight="1" x14ac:dyDescent="0.2">
      <c r="A770" s="26" t="s">
        <v>808</v>
      </c>
      <c r="B770" s="26"/>
      <c r="C770" s="26"/>
    </row>
    <row r="771" spans="1:3" ht="11.25" customHeight="1" x14ac:dyDescent="0.2">
      <c r="A771" s="26" t="s">
        <v>809</v>
      </c>
      <c r="B771" s="26"/>
      <c r="C771" s="26"/>
    </row>
    <row r="772" spans="1:3" ht="11.25" customHeight="1" x14ac:dyDescent="0.2">
      <c r="A772" s="26" t="s">
        <v>810</v>
      </c>
      <c r="B772" s="26"/>
      <c r="C772" s="26"/>
    </row>
    <row r="773" spans="1:3" ht="11.25" customHeight="1" x14ac:dyDescent="0.2">
      <c r="A773" s="26" t="s">
        <v>811</v>
      </c>
      <c r="B773" s="26"/>
      <c r="C773" s="26"/>
    </row>
    <row r="774" spans="1:3" ht="11.25" customHeight="1" x14ac:dyDescent="0.2">
      <c r="A774" s="26" t="s">
        <v>812</v>
      </c>
      <c r="B774" s="26"/>
      <c r="C774" s="26"/>
    </row>
    <row r="775" spans="1:3" ht="11.25" customHeight="1" x14ac:dyDescent="0.2">
      <c r="A775" s="26" t="s">
        <v>813</v>
      </c>
      <c r="B775" s="26"/>
      <c r="C775" s="26"/>
    </row>
    <row r="776" spans="1:3" ht="11.25" customHeight="1" x14ac:dyDescent="0.2">
      <c r="A776" s="26" t="s">
        <v>814</v>
      </c>
      <c r="B776" s="26"/>
      <c r="C776" s="26"/>
    </row>
    <row r="777" spans="1:3" ht="11.25" customHeight="1" x14ac:dyDescent="0.2">
      <c r="A777" s="26" t="s">
        <v>815</v>
      </c>
      <c r="B777" s="26"/>
      <c r="C777" s="26"/>
    </row>
    <row r="778" spans="1:3" ht="11.25" customHeight="1" x14ac:dyDescent="0.2">
      <c r="A778" s="26" t="s">
        <v>816</v>
      </c>
      <c r="B778" s="26"/>
      <c r="C778" s="26"/>
    </row>
    <row r="779" spans="1:3" ht="11.25" customHeight="1" x14ac:dyDescent="0.2">
      <c r="A779" s="26" t="s">
        <v>817</v>
      </c>
      <c r="B779" s="26"/>
      <c r="C779" s="26"/>
    </row>
    <row r="780" spans="1:3" ht="11.25" customHeight="1" x14ac:dyDescent="0.2">
      <c r="A780" s="26" t="s">
        <v>818</v>
      </c>
      <c r="B780" s="26"/>
      <c r="C780" s="26"/>
    </row>
    <row r="781" spans="1:3" ht="11.25" customHeight="1" x14ac:dyDescent="0.2">
      <c r="A781" s="26" t="s">
        <v>819</v>
      </c>
      <c r="B781" s="26"/>
      <c r="C781" s="26"/>
    </row>
    <row r="782" spans="1:3" ht="11.25" customHeight="1" x14ac:dyDescent="0.2">
      <c r="A782" s="26" t="s">
        <v>820</v>
      </c>
      <c r="B782" s="26"/>
      <c r="C782" s="26"/>
    </row>
    <row r="783" spans="1:3" ht="11.25" customHeight="1" x14ac:dyDescent="0.2">
      <c r="A783" s="26" t="s">
        <v>821</v>
      </c>
      <c r="B783" s="26"/>
      <c r="C783" s="26"/>
    </row>
    <row r="784" spans="1:3" ht="11.25" customHeight="1" x14ac:dyDescent="0.2">
      <c r="A784" s="26" t="s">
        <v>822</v>
      </c>
      <c r="B784" s="26"/>
      <c r="C784" s="26"/>
    </row>
    <row r="785" spans="1:3" ht="11.25" customHeight="1" x14ac:dyDescent="0.2">
      <c r="A785" s="26" t="s">
        <v>823</v>
      </c>
      <c r="B785" s="26"/>
      <c r="C785" s="26"/>
    </row>
    <row r="786" spans="1:3" ht="11.25" customHeight="1" x14ac:dyDescent="0.2">
      <c r="A786" s="26" t="s">
        <v>824</v>
      </c>
      <c r="B786" s="26"/>
      <c r="C786" s="26"/>
    </row>
    <row r="787" spans="1:3" ht="11.25" customHeight="1" x14ac:dyDescent="0.2">
      <c r="A787" s="26" t="s">
        <v>825</v>
      </c>
      <c r="B787" s="26"/>
      <c r="C787" s="26"/>
    </row>
    <row r="788" spans="1:3" ht="11.25" customHeight="1" x14ac:dyDescent="0.2">
      <c r="A788" s="26" t="s">
        <v>826</v>
      </c>
      <c r="B788" s="26"/>
      <c r="C788" s="26"/>
    </row>
    <row r="789" spans="1:3" ht="11.25" customHeight="1" x14ac:dyDescent="0.2">
      <c r="A789" s="26" t="s">
        <v>827</v>
      </c>
      <c r="B789" s="26"/>
      <c r="C789" s="26"/>
    </row>
    <row r="790" spans="1:3" ht="11.25" customHeight="1" x14ac:dyDescent="0.2">
      <c r="A790" s="26" t="s">
        <v>828</v>
      </c>
      <c r="B790" s="26"/>
      <c r="C790" s="26"/>
    </row>
    <row r="791" spans="1:3" ht="11.25" customHeight="1" x14ac:dyDescent="0.2">
      <c r="A791" s="26" t="s">
        <v>829</v>
      </c>
      <c r="B791" s="26"/>
      <c r="C791" s="26"/>
    </row>
    <row r="792" spans="1:3" ht="11.25" customHeight="1" x14ac:dyDescent="0.2">
      <c r="A792" s="26" t="s">
        <v>830</v>
      </c>
      <c r="B792" s="26"/>
      <c r="C792" s="26"/>
    </row>
    <row r="793" spans="1:3" ht="11.25" customHeight="1" x14ac:dyDescent="0.2">
      <c r="A793" s="26" t="s">
        <v>831</v>
      </c>
      <c r="B793" s="26"/>
      <c r="C793" s="26"/>
    </row>
    <row r="794" spans="1:3" ht="11.25" customHeight="1" x14ac:dyDescent="0.2">
      <c r="A794" s="26" t="s">
        <v>832</v>
      </c>
      <c r="B794" s="26"/>
      <c r="C794" s="26"/>
    </row>
    <row r="795" spans="1:3" ht="11.25" customHeight="1" x14ac:dyDescent="0.2">
      <c r="A795" s="26" t="s">
        <v>833</v>
      </c>
      <c r="B795" s="26"/>
      <c r="C795" s="26"/>
    </row>
    <row r="796" spans="1:3" ht="11.25" customHeight="1" x14ac:dyDescent="0.2">
      <c r="A796" s="26" t="s">
        <v>834</v>
      </c>
      <c r="B796" s="26"/>
      <c r="C796" s="26"/>
    </row>
    <row r="797" spans="1:3" ht="11.25" customHeight="1" x14ac:dyDescent="0.2">
      <c r="A797" s="26" t="s">
        <v>835</v>
      </c>
      <c r="B797" s="26"/>
      <c r="C797" s="26"/>
    </row>
    <row r="798" spans="1:3" ht="11.25" customHeight="1" x14ac:dyDescent="0.2">
      <c r="A798" s="26" t="s">
        <v>836</v>
      </c>
      <c r="B798" s="26"/>
      <c r="C798" s="26"/>
    </row>
    <row r="799" spans="1:3" ht="11.25" customHeight="1" x14ac:dyDescent="0.2">
      <c r="A799" s="26" t="s">
        <v>837</v>
      </c>
      <c r="B799" s="26"/>
      <c r="C799" s="26"/>
    </row>
    <row r="800" spans="1:3" ht="11.25" customHeight="1" x14ac:dyDescent="0.2">
      <c r="A800" s="26" t="s">
        <v>838</v>
      </c>
      <c r="B800" s="26"/>
      <c r="C800" s="26"/>
    </row>
    <row r="801" spans="1:3" ht="11.25" customHeight="1" x14ac:dyDescent="0.2">
      <c r="A801" s="26" t="s">
        <v>839</v>
      </c>
      <c r="B801" s="26"/>
      <c r="C801" s="26"/>
    </row>
    <row r="802" spans="1:3" ht="11.25" customHeight="1" x14ac:dyDescent="0.2">
      <c r="A802" s="26" t="s">
        <v>840</v>
      </c>
      <c r="B802" s="26"/>
      <c r="C802" s="26"/>
    </row>
    <row r="803" spans="1:3" ht="11.25" customHeight="1" x14ac:dyDescent="0.2">
      <c r="A803" s="26" t="s">
        <v>841</v>
      </c>
      <c r="B803" s="26"/>
      <c r="C803" s="26"/>
    </row>
    <row r="804" spans="1:3" ht="11.25" customHeight="1" x14ac:dyDescent="0.2">
      <c r="A804" s="26" t="s">
        <v>842</v>
      </c>
      <c r="B804" s="26"/>
      <c r="C804" s="26"/>
    </row>
    <row r="805" spans="1:3" ht="11.25" customHeight="1" x14ac:dyDescent="0.2">
      <c r="A805" s="26" t="s">
        <v>843</v>
      </c>
      <c r="B805" s="26"/>
      <c r="C805" s="26"/>
    </row>
    <row r="806" spans="1:3" ht="11.25" customHeight="1" x14ac:dyDescent="0.2">
      <c r="A806" s="26" t="s">
        <v>844</v>
      </c>
      <c r="B806" s="26"/>
      <c r="C806" s="26"/>
    </row>
    <row r="807" spans="1:3" ht="11.25" customHeight="1" x14ac:dyDescent="0.2">
      <c r="A807" s="26" t="s">
        <v>845</v>
      </c>
      <c r="B807" s="26"/>
      <c r="C807" s="26"/>
    </row>
    <row r="808" spans="1:3" ht="11.25" customHeight="1" x14ac:dyDescent="0.2">
      <c r="A808" s="26" t="s">
        <v>846</v>
      </c>
      <c r="B808" s="26"/>
      <c r="C808" s="26"/>
    </row>
    <row r="809" spans="1:3" ht="11.25" customHeight="1" x14ac:dyDescent="0.2">
      <c r="A809" s="26" t="s">
        <v>847</v>
      </c>
      <c r="B809" s="26"/>
      <c r="C809" s="26"/>
    </row>
    <row r="810" spans="1:3" ht="11.25" customHeight="1" x14ac:dyDescent="0.2">
      <c r="A810" s="26" t="s">
        <v>848</v>
      </c>
      <c r="B810" s="26"/>
      <c r="C810" s="26"/>
    </row>
    <row r="811" spans="1:3" ht="11.25" customHeight="1" x14ac:dyDescent="0.2">
      <c r="A811" s="26" t="s">
        <v>849</v>
      </c>
      <c r="B811" s="26"/>
      <c r="C811" s="26"/>
    </row>
    <row r="812" spans="1:3" ht="11.25" customHeight="1" x14ac:dyDescent="0.2">
      <c r="A812" s="26" t="s">
        <v>850</v>
      </c>
      <c r="B812" s="26"/>
      <c r="C812" s="26"/>
    </row>
    <row r="813" spans="1:3" ht="11.25" customHeight="1" x14ac:dyDescent="0.2">
      <c r="A813" s="26" t="s">
        <v>851</v>
      </c>
      <c r="B813" s="26"/>
      <c r="C813" s="26"/>
    </row>
    <row r="814" spans="1:3" ht="11.25" customHeight="1" x14ac:dyDescent="0.2">
      <c r="A814" s="26" t="s">
        <v>852</v>
      </c>
      <c r="B814" s="26"/>
      <c r="C814" s="26"/>
    </row>
    <row r="815" spans="1:3" ht="11.25" customHeight="1" x14ac:dyDescent="0.2">
      <c r="A815" s="26" t="s">
        <v>853</v>
      </c>
      <c r="B815" s="26"/>
      <c r="C815" s="26"/>
    </row>
    <row r="816" spans="1:3" ht="11.25" customHeight="1" x14ac:dyDescent="0.2">
      <c r="A816" s="26" t="s">
        <v>854</v>
      </c>
      <c r="B816" s="26"/>
      <c r="C816" s="26"/>
    </row>
    <row r="817" spans="1:3" ht="11.25" customHeight="1" x14ac:dyDescent="0.2">
      <c r="A817" s="26" t="s">
        <v>855</v>
      </c>
      <c r="B817" s="26"/>
      <c r="C817" s="26"/>
    </row>
    <row r="818" spans="1:3" ht="11.25" customHeight="1" x14ac:dyDescent="0.2">
      <c r="A818" s="26" t="s">
        <v>856</v>
      </c>
      <c r="B818" s="26"/>
      <c r="C818" s="26"/>
    </row>
    <row r="819" spans="1:3" ht="11.25" customHeight="1" x14ac:dyDescent="0.2">
      <c r="A819" s="26" t="s">
        <v>857</v>
      </c>
      <c r="B819" s="26"/>
      <c r="C819" s="26"/>
    </row>
    <row r="820" spans="1:3" ht="11.25" customHeight="1" x14ac:dyDescent="0.2">
      <c r="A820" s="26" t="s">
        <v>858</v>
      </c>
      <c r="B820" s="26"/>
      <c r="C820" s="26"/>
    </row>
    <row r="821" spans="1:3" ht="11.25" customHeight="1" x14ac:dyDescent="0.2">
      <c r="A821" s="26" t="s">
        <v>859</v>
      </c>
      <c r="B821" s="26"/>
      <c r="C821" s="26"/>
    </row>
    <row r="822" spans="1:3" ht="11.25" customHeight="1" x14ac:dyDescent="0.2">
      <c r="A822" s="26" t="s">
        <v>860</v>
      </c>
      <c r="B822" s="26"/>
      <c r="C822" s="26"/>
    </row>
    <row r="823" spans="1:3" ht="11.25" customHeight="1" x14ac:dyDescent="0.2">
      <c r="A823" s="26" t="s">
        <v>861</v>
      </c>
      <c r="B823" s="26"/>
      <c r="C823" s="26"/>
    </row>
    <row r="824" spans="1:3" ht="11.25" customHeight="1" x14ac:dyDescent="0.2">
      <c r="A824" s="26" t="s">
        <v>862</v>
      </c>
      <c r="B824" s="26"/>
      <c r="C824" s="26"/>
    </row>
    <row r="825" spans="1:3" ht="11.25" customHeight="1" x14ac:dyDescent="0.2">
      <c r="A825" s="26" t="s">
        <v>863</v>
      </c>
      <c r="B825" s="26"/>
      <c r="C825" s="26"/>
    </row>
    <row r="826" spans="1:3" ht="11.25" customHeight="1" x14ac:dyDescent="0.2">
      <c r="A826" s="26" t="s">
        <v>864</v>
      </c>
      <c r="B826" s="26"/>
      <c r="C826" s="26"/>
    </row>
    <row r="827" spans="1:3" ht="11.25" customHeight="1" x14ac:dyDescent="0.2">
      <c r="A827" s="26" t="s">
        <v>865</v>
      </c>
      <c r="B827" s="26"/>
      <c r="C827" s="26"/>
    </row>
    <row r="828" spans="1:3" ht="11.25" customHeight="1" x14ac:dyDescent="0.2">
      <c r="A828" s="26" t="s">
        <v>866</v>
      </c>
      <c r="B828" s="26"/>
      <c r="C828" s="26"/>
    </row>
    <row r="829" spans="1:3" ht="11.25" customHeight="1" x14ac:dyDescent="0.2">
      <c r="A829" s="26" t="s">
        <v>867</v>
      </c>
      <c r="B829" s="26"/>
      <c r="C829" s="26"/>
    </row>
    <row r="830" spans="1:3" ht="11.25" customHeight="1" x14ac:dyDescent="0.2">
      <c r="A830" s="26" t="s">
        <v>868</v>
      </c>
      <c r="B830" s="26"/>
      <c r="C830" s="26"/>
    </row>
    <row r="831" spans="1:3" ht="11.25" customHeight="1" x14ac:dyDescent="0.2">
      <c r="A831" s="26" t="s">
        <v>869</v>
      </c>
      <c r="B831" s="26"/>
      <c r="C831" s="26"/>
    </row>
    <row r="832" spans="1:3" ht="11.25" customHeight="1" x14ac:dyDescent="0.2">
      <c r="A832" s="26" t="s">
        <v>870</v>
      </c>
      <c r="B832" s="26"/>
      <c r="C832" s="26"/>
    </row>
    <row r="833" spans="1:3" ht="11.25" customHeight="1" x14ac:dyDescent="0.2">
      <c r="A833" s="26" t="s">
        <v>871</v>
      </c>
      <c r="B833" s="26"/>
      <c r="C833" s="26"/>
    </row>
    <row r="834" spans="1:3" ht="11.25" customHeight="1" x14ac:dyDescent="0.2">
      <c r="A834" s="26" t="s">
        <v>872</v>
      </c>
      <c r="B834" s="26"/>
      <c r="C834" s="26"/>
    </row>
    <row r="835" spans="1:3" ht="11.25" customHeight="1" x14ac:dyDescent="0.2">
      <c r="A835" s="26" t="s">
        <v>873</v>
      </c>
      <c r="B835" s="26"/>
      <c r="C835" s="26"/>
    </row>
    <row r="836" spans="1:3" ht="11.25" customHeight="1" x14ac:dyDescent="0.2">
      <c r="A836" s="26" t="s">
        <v>874</v>
      </c>
      <c r="B836" s="26"/>
      <c r="C836" s="26"/>
    </row>
    <row r="837" spans="1:3" ht="11.25" customHeight="1" x14ac:dyDescent="0.2">
      <c r="A837" s="26" t="s">
        <v>875</v>
      </c>
      <c r="B837" s="26"/>
      <c r="C837" s="26"/>
    </row>
    <row r="838" spans="1:3" ht="11.25" customHeight="1" x14ac:dyDescent="0.2">
      <c r="A838" s="26" t="s">
        <v>876</v>
      </c>
      <c r="B838" s="26"/>
      <c r="C838" s="26"/>
    </row>
    <row r="839" spans="1:3" ht="11.25" customHeight="1" x14ac:dyDescent="0.2">
      <c r="A839" s="26" t="s">
        <v>877</v>
      </c>
      <c r="B839" s="26"/>
      <c r="C839" s="26"/>
    </row>
    <row r="840" spans="1:3" ht="11.25" customHeight="1" x14ac:dyDescent="0.2">
      <c r="A840" s="26" t="s">
        <v>878</v>
      </c>
      <c r="B840" s="26"/>
      <c r="C840" s="26"/>
    </row>
    <row r="841" spans="1:3" ht="11.25" customHeight="1" x14ac:dyDescent="0.2">
      <c r="A841" s="26" t="s">
        <v>879</v>
      </c>
      <c r="B841" s="26"/>
      <c r="C841" s="26"/>
    </row>
    <row r="842" spans="1:3" ht="11.25" customHeight="1" x14ac:dyDescent="0.2">
      <c r="A842" s="26" t="s">
        <v>880</v>
      </c>
      <c r="B842" s="26"/>
      <c r="C842" s="26"/>
    </row>
    <row r="843" spans="1:3" ht="11.25" customHeight="1" x14ac:dyDescent="0.2">
      <c r="A843" s="26" t="s">
        <v>881</v>
      </c>
      <c r="B843" s="26"/>
      <c r="C843" s="26"/>
    </row>
    <row r="844" spans="1:3" ht="11.25" customHeight="1" x14ac:dyDescent="0.2">
      <c r="A844" s="26" t="s">
        <v>882</v>
      </c>
      <c r="B844" s="26"/>
      <c r="C844" s="26"/>
    </row>
    <row r="845" spans="1:3" ht="11.25" customHeight="1" x14ac:dyDescent="0.2">
      <c r="A845" s="26" t="s">
        <v>883</v>
      </c>
      <c r="B845" s="26"/>
      <c r="C845" s="26"/>
    </row>
    <row r="846" spans="1:3" ht="11.25" customHeight="1" x14ac:dyDescent="0.2">
      <c r="A846" s="26" t="s">
        <v>884</v>
      </c>
      <c r="B846" s="26"/>
      <c r="C846" s="26"/>
    </row>
    <row r="847" spans="1:3" ht="11.25" customHeight="1" x14ac:dyDescent="0.2">
      <c r="A847" s="26" t="s">
        <v>885</v>
      </c>
      <c r="B847" s="26"/>
      <c r="C847" s="26"/>
    </row>
    <row r="848" spans="1:3" ht="11.25" customHeight="1" x14ac:dyDescent="0.2">
      <c r="A848" s="26" t="s">
        <v>886</v>
      </c>
      <c r="B848" s="26"/>
      <c r="C848" s="26"/>
    </row>
    <row r="849" spans="1:3" ht="11.25" customHeight="1" x14ac:dyDescent="0.2">
      <c r="A849" s="26" t="s">
        <v>887</v>
      </c>
      <c r="B849" s="26"/>
      <c r="C849" s="26"/>
    </row>
    <row r="850" spans="1:3" ht="11.25" customHeight="1" x14ac:dyDescent="0.2">
      <c r="A850" s="26" t="s">
        <v>888</v>
      </c>
      <c r="B850" s="26"/>
      <c r="C850" s="26"/>
    </row>
    <row r="851" spans="1:3" ht="11.25" customHeight="1" x14ac:dyDescent="0.2">
      <c r="A851" s="26" t="s">
        <v>889</v>
      </c>
      <c r="B851" s="26"/>
      <c r="C851" s="26"/>
    </row>
    <row r="852" spans="1:3" ht="11.25" customHeight="1" x14ac:dyDescent="0.2">
      <c r="A852" s="26" t="s">
        <v>890</v>
      </c>
      <c r="B852" s="26"/>
      <c r="C852" s="26"/>
    </row>
    <row r="853" spans="1:3" ht="11.25" customHeight="1" x14ac:dyDescent="0.2">
      <c r="A853" s="26" t="s">
        <v>891</v>
      </c>
      <c r="B853" s="26"/>
      <c r="C853" s="26"/>
    </row>
    <row r="854" spans="1:3" ht="11.25" customHeight="1" x14ac:dyDescent="0.2">
      <c r="A854" s="26" t="s">
        <v>892</v>
      </c>
      <c r="B854" s="26"/>
      <c r="C854" s="26"/>
    </row>
    <row r="855" spans="1:3" ht="11.25" customHeight="1" x14ac:dyDescent="0.2">
      <c r="A855" s="26" t="s">
        <v>893</v>
      </c>
      <c r="B855" s="26"/>
      <c r="C855" s="26"/>
    </row>
    <row r="856" spans="1:3" ht="11.25" customHeight="1" x14ac:dyDescent="0.2">
      <c r="A856" s="26" t="s">
        <v>894</v>
      </c>
      <c r="B856" s="26"/>
      <c r="C856" s="26"/>
    </row>
    <row r="857" spans="1:3" ht="11.25" customHeight="1" x14ac:dyDescent="0.2">
      <c r="A857" s="26" t="s">
        <v>895</v>
      </c>
      <c r="B857" s="26"/>
      <c r="C857" s="26"/>
    </row>
    <row r="858" spans="1:3" ht="11.25" customHeight="1" x14ac:dyDescent="0.2">
      <c r="A858" s="26" t="s">
        <v>896</v>
      </c>
      <c r="B858" s="26"/>
      <c r="C858" s="26"/>
    </row>
    <row r="859" spans="1:3" ht="11.25" customHeight="1" x14ac:dyDescent="0.2">
      <c r="A859" s="26" t="s">
        <v>897</v>
      </c>
      <c r="B859" s="26"/>
      <c r="C859" s="26"/>
    </row>
    <row r="860" spans="1:3" ht="11.25" customHeight="1" x14ac:dyDescent="0.2">
      <c r="A860" s="26" t="s">
        <v>898</v>
      </c>
      <c r="B860" s="26"/>
      <c r="C860" s="26"/>
    </row>
    <row r="861" spans="1:3" ht="11.25" customHeight="1" x14ac:dyDescent="0.2">
      <c r="A861" s="26" t="s">
        <v>899</v>
      </c>
      <c r="B861" s="26"/>
      <c r="C861" s="26"/>
    </row>
    <row r="862" spans="1:3" ht="11.25" customHeight="1" x14ac:dyDescent="0.2">
      <c r="A862" s="26" t="s">
        <v>900</v>
      </c>
      <c r="B862" s="26"/>
      <c r="C862" s="26"/>
    </row>
    <row r="863" spans="1:3" ht="11.25" customHeight="1" x14ac:dyDescent="0.2">
      <c r="A863" s="26" t="s">
        <v>901</v>
      </c>
      <c r="B863" s="26"/>
      <c r="C863" s="26"/>
    </row>
    <row r="864" spans="1:3" ht="11.25" customHeight="1" x14ac:dyDescent="0.2">
      <c r="A864" s="26" t="s">
        <v>902</v>
      </c>
      <c r="B864" s="26"/>
      <c r="C864" s="26"/>
    </row>
    <row r="865" spans="1:3" ht="11.25" customHeight="1" x14ac:dyDescent="0.2">
      <c r="A865" s="26" t="s">
        <v>903</v>
      </c>
      <c r="B865" s="26"/>
      <c r="C865" s="26"/>
    </row>
    <row r="866" spans="1:3" ht="11.25" customHeight="1" x14ac:dyDescent="0.2">
      <c r="A866" s="26" t="s">
        <v>904</v>
      </c>
      <c r="B866" s="26"/>
      <c r="C866" s="26"/>
    </row>
    <row r="867" spans="1:3" ht="11.25" customHeight="1" x14ac:dyDescent="0.2">
      <c r="A867" s="26" t="s">
        <v>905</v>
      </c>
      <c r="B867" s="26"/>
      <c r="C867" s="26"/>
    </row>
    <row r="868" spans="1:3" ht="11.25" customHeight="1" x14ac:dyDescent="0.2">
      <c r="A868" s="26" t="s">
        <v>906</v>
      </c>
      <c r="B868" s="26"/>
      <c r="C868" s="26"/>
    </row>
    <row r="869" spans="1:3" ht="11.25" customHeight="1" x14ac:dyDescent="0.2">
      <c r="A869" s="26" t="s">
        <v>907</v>
      </c>
      <c r="B869" s="26"/>
      <c r="C869" s="26"/>
    </row>
    <row r="870" spans="1:3" ht="11.25" customHeight="1" x14ac:dyDescent="0.2">
      <c r="A870" s="26" t="s">
        <v>908</v>
      </c>
      <c r="B870" s="26"/>
      <c r="C870" s="26"/>
    </row>
    <row r="871" spans="1:3" ht="11.25" customHeight="1" x14ac:dyDescent="0.2">
      <c r="A871" s="26" t="s">
        <v>909</v>
      </c>
      <c r="B871" s="26"/>
      <c r="C871" s="26"/>
    </row>
    <row r="872" spans="1:3" ht="11.25" customHeight="1" x14ac:dyDescent="0.2">
      <c r="A872" s="26" t="s">
        <v>910</v>
      </c>
      <c r="B872" s="26"/>
      <c r="C872" s="26"/>
    </row>
    <row r="873" spans="1:3" ht="11.25" customHeight="1" x14ac:dyDescent="0.2">
      <c r="A873" s="26" t="s">
        <v>911</v>
      </c>
      <c r="B873" s="26"/>
      <c r="C873" s="26"/>
    </row>
    <row r="874" spans="1:3" ht="11.25" customHeight="1" x14ac:dyDescent="0.2">
      <c r="A874" s="26" t="s">
        <v>912</v>
      </c>
      <c r="B874" s="26"/>
      <c r="C874" s="26"/>
    </row>
    <row r="875" spans="1:3" ht="11.25" customHeight="1" x14ac:dyDescent="0.2">
      <c r="A875" s="26" t="s">
        <v>913</v>
      </c>
      <c r="B875" s="26"/>
      <c r="C875" s="26"/>
    </row>
    <row r="876" spans="1:3" ht="11.25" customHeight="1" x14ac:dyDescent="0.2">
      <c r="A876" s="26" t="s">
        <v>914</v>
      </c>
      <c r="B876" s="26"/>
      <c r="C876" s="26"/>
    </row>
    <row r="877" spans="1:3" ht="11.25" customHeight="1" x14ac:dyDescent="0.2">
      <c r="A877" s="26" t="s">
        <v>915</v>
      </c>
      <c r="B877" s="26"/>
      <c r="C877" s="26"/>
    </row>
    <row r="878" spans="1:3" ht="11.25" customHeight="1" x14ac:dyDescent="0.2">
      <c r="A878" s="26" t="s">
        <v>916</v>
      </c>
      <c r="B878" s="26"/>
      <c r="C878" s="26"/>
    </row>
    <row r="879" spans="1:3" ht="11.25" customHeight="1" x14ac:dyDescent="0.2">
      <c r="A879" s="26" t="s">
        <v>917</v>
      </c>
      <c r="B879" s="26"/>
      <c r="C879" s="26"/>
    </row>
    <row r="880" spans="1:3" ht="11.25" customHeight="1" x14ac:dyDescent="0.2">
      <c r="A880" s="26" t="s">
        <v>918</v>
      </c>
      <c r="B880" s="26"/>
      <c r="C880" s="26"/>
    </row>
    <row r="881" spans="1:3" ht="11.25" customHeight="1" x14ac:dyDescent="0.2">
      <c r="A881" s="26" t="s">
        <v>919</v>
      </c>
      <c r="B881" s="26"/>
      <c r="C881" s="26"/>
    </row>
    <row r="882" spans="1:3" ht="11.25" customHeight="1" x14ac:dyDescent="0.2">
      <c r="A882" s="26" t="s">
        <v>920</v>
      </c>
      <c r="B882" s="26"/>
      <c r="C882" s="26"/>
    </row>
    <row r="883" spans="1:3" ht="11.25" customHeight="1" x14ac:dyDescent="0.2">
      <c r="A883" s="26" t="s">
        <v>921</v>
      </c>
      <c r="B883" s="26"/>
      <c r="C883" s="26"/>
    </row>
    <row r="884" spans="1:3" ht="11.25" customHeight="1" x14ac:dyDescent="0.2">
      <c r="A884" s="26" t="s">
        <v>922</v>
      </c>
      <c r="B884" s="26"/>
      <c r="C884" s="26"/>
    </row>
    <row r="885" spans="1:3" ht="11.25" customHeight="1" x14ac:dyDescent="0.2">
      <c r="A885" s="26" t="s">
        <v>923</v>
      </c>
      <c r="B885" s="26"/>
      <c r="C885" s="26"/>
    </row>
    <row r="886" spans="1:3" ht="11.25" customHeight="1" x14ac:dyDescent="0.2">
      <c r="A886" s="26" t="s">
        <v>924</v>
      </c>
      <c r="B886" s="26"/>
      <c r="C886" s="26"/>
    </row>
    <row r="887" spans="1:3" ht="11.25" customHeight="1" x14ac:dyDescent="0.2">
      <c r="A887" s="26" t="s">
        <v>925</v>
      </c>
      <c r="B887" s="26"/>
      <c r="C887" s="26"/>
    </row>
    <row r="888" spans="1:3" ht="11.25" customHeight="1" x14ac:dyDescent="0.2">
      <c r="A888" s="26" t="s">
        <v>926</v>
      </c>
      <c r="B888" s="26"/>
      <c r="C888" s="26"/>
    </row>
    <row r="889" spans="1:3" ht="11.25" customHeight="1" x14ac:dyDescent="0.2">
      <c r="A889" s="26" t="s">
        <v>927</v>
      </c>
      <c r="B889" s="26"/>
      <c r="C889" s="26"/>
    </row>
    <row r="890" spans="1:3" ht="11.25" customHeight="1" x14ac:dyDescent="0.2">
      <c r="A890" s="26" t="s">
        <v>928</v>
      </c>
      <c r="B890" s="26"/>
      <c r="C890" s="26"/>
    </row>
    <row r="891" spans="1:3" ht="11.25" customHeight="1" x14ac:dyDescent="0.2">
      <c r="A891" s="26" t="s">
        <v>929</v>
      </c>
      <c r="B891" s="26"/>
      <c r="C891" s="26"/>
    </row>
    <row r="892" spans="1:3" ht="11.25" customHeight="1" x14ac:dyDescent="0.2">
      <c r="A892" s="26" t="s">
        <v>930</v>
      </c>
      <c r="B892" s="26"/>
      <c r="C892" s="26"/>
    </row>
    <row r="893" spans="1:3" ht="11.25" customHeight="1" x14ac:dyDescent="0.2">
      <c r="A893" s="26" t="s">
        <v>931</v>
      </c>
      <c r="B893" s="26"/>
      <c r="C893" s="26"/>
    </row>
    <row r="894" spans="1:3" ht="11.25" customHeight="1" x14ac:dyDescent="0.2">
      <c r="A894" s="26" t="s">
        <v>932</v>
      </c>
      <c r="B894" s="26"/>
      <c r="C894" s="26"/>
    </row>
    <row r="895" spans="1:3" ht="11.25" customHeight="1" x14ac:dyDescent="0.2">
      <c r="A895" s="26" t="s">
        <v>933</v>
      </c>
      <c r="B895" s="26"/>
      <c r="C895" s="26"/>
    </row>
    <row r="896" spans="1:3" ht="11.25" customHeight="1" x14ac:dyDescent="0.2">
      <c r="A896" s="26" t="s">
        <v>934</v>
      </c>
      <c r="B896" s="26"/>
      <c r="C896" s="26"/>
    </row>
    <row r="897" spans="1:3" ht="11.25" customHeight="1" x14ac:dyDescent="0.2">
      <c r="A897" s="26" t="s">
        <v>935</v>
      </c>
      <c r="B897" s="26"/>
      <c r="C897" s="26"/>
    </row>
    <row r="898" spans="1:3" ht="11.25" customHeight="1" x14ac:dyDescent="0.2">
      <c r="A898" s="26" t="s">
        <v>936</v>
      </c>
      <c r="B898" s="26"/>
      <c r="C898" s="26"/>
    </row>
    <row r="899" spans="1:3" ht="11.25" customHeight="1" x14ac:dyDescent="0.2">
      <c r="A899" s="26" t="s">
        <v>937</v>
      </c>
      <c r="B899" s="26"/>
      <c r="C899" s="26"/>
    </row>
    <row r="900" spans="1:3" ht="11.25" customHeight="1" x14ac:dyDescent="0.2">
      <c r="A900" s="26" t="s">
        <v>938</v>
      </c>
      <c r="B900" s="26"/>
      <c r="C900" s="26"/>
    </row>
    <row r="901" spans="1:3" ht="11.25" customHeight="1" x14ac:dyDescent="0.2">
      <c r="A901" s="26" t="s">
        <v>939</v>
      </c>
      <c r="B901" s="26"/>
      <c r="C901" s="26"/>
    </row>
    <row r="902" spans="1:3" ht="11.25" customHeight="1" x14ac:dyDescent="0.2">
      <c r="A902" s="26" t="s">
        <v>940</v>
      </c>
      <c r="B902" s="26"/>
      <c r="C902" s="26"/>
    </row>
    <row r="903" spans="1:3" ht="11.25" customHeight="1" x14ac:dyDescent="0.2">
      <c r="A903" s="26" t="s">
        <v>941</v>
      </c>
      <c r="B903" s="26"/>
      <c r="C903" s="26"/>
    </row>
    <row r="904" spans="1:3" ht="11.25" customHeight="1" x14ac:dyDescent="0.2">
      <c r="A904" s="26" t="s">
        <v>942</v>
      </c>
      <c r="B904" s="26"/>
      <c r="C904" s="26"/>
    </row>
    <row r="905" spans="1:3" ht="11.25" customHeight="1" x14ac:dyDescent="0.2">
      <c r="A905" s="26" t="s">
        <v>943</v>
      </c>
      <c r="B905" s="26"/>
      <c r="C905" s="26"/>
    </row>
    <row r="906" spans="1:3" ht="11.25" customHeight="1" x14ac:dyDescent="0.2">
      <c r="A906" s="26" t="s">
        <v>944</v>
      </c>
      <c r="B906" s="26"/>
      <c r="C906" s="26"/>
    </row>
    <row r="907" spans="1:3" ht="11.25" customHeight="1" x14ac:dyDescent="0.2">
      <c r="A907" s="26" t="s">
        <v>945</v>
      </c>
      <c r="B907" s="26"/>
      <c r="C907" s="26"/>
    </row>
    <row r="908" spans="1:3" ht="11.25" customHeight="1" x14ac:dyDescent="0.2">
      <c r="A908" s="26" t="s">
        <v>946</v>
      </c>
      <c r="B908" s="26"/>
      <c r="C908" s="26"/>
    </row>
    <row r="909" spans="1:3" ht="11.25" customHeight="1" x14ac:dyDescent="0.2">
      <c r="A909" s="26" t="s">
        <v>947</v>
      </c>
      <c r="B909" s="26"/>
      <c r="C909" s="26"/>
    </row>
    <row r="910" spans="1:3" ht="11.25" customHeight="1" x14ac:dyDescent="0.2">
      <c r="A910" s="26" t="s">
        <v>948</v>
      </c>
      <c r="B910" s="26"/>
      <c r="C910" s="26"/>
    </row>
    <row r="911" spans="1:3" ht="11.25" customHeight="1" x14ac:dyDescent="0.2">
      <c r="A911" s="26" t="s">
        <v>949</v>
      </c>
      <c r="B911" s="26"/>
      <c r="C911" s="26"/>
    </row>
    <row r="912" spans="1:3" ht="11.25" customHeight="1" x14ac:dyDescent="0.2">
      <c r="A912" s="26" t="s">
        <v>950</v>
      </c>
      <c r="B912" s="26"/>
      <c r="C912" s="26"/>
    </row>
    <row r="913" spans="1:3" ht="11.25" customHeight="1" x14ac:dyDescent="0.2">
      <c r="A913" s="26" t="s">
        <v>951</v>
      </c>
      <c r="B913" s="26"/>
      <c r="C913" s="26"/>
    </row>
    <row r="914" spans="1:3" ht="11.25" customHeight="1" x14ac:dyDescent="0.2">
      <c r="A914" s="26" t="s">
        <v>952</v>
      </c>
      <c r="B914" s="26"/>
      <c r="C914" s="26"/>
    </row>
    <row r="915" spans="1:3" ht="11.25" customHeight="1" x14ac:dyDescent="0.2">
      <c r="A915" s="26" t="s">
        <v>953</v>
      </c>
      <c r="B915" s="26"/>
      <c r="C915" s="26"/>
    </row>
    <row r="916" spans="1:3" ht="11.25" customHeight="1" x14ac:dyDescent="0.2">
      <c r="A916" s="26" t="s">
        <v>954</v>
      </c>
      <c r="B916" s="26"/>
      <c r="C916" s="26"/>
    </row>
    <row r="917" spans="1:3" ht="11.25" customHeight="1" x14ac:dyDescent="0.2">
      <c r="A917" s="26" t="s">
        <v>955</v>
      </c>
      <c r="B917" s="26"/>
      <c r="C917" s="26"/>
    </row>
    <row r="918" spans="1:3" ht="11.25" customHeight="1" x14ac:dyDescent="0.2">
      <c r="A918" s="26" t="s">
        <v>956</v>
      </c>
      <c r="B918" s="26"/>
      <c r="C918" s="26"/>
    </row>
    <row r="919" spans="1:3" ht="11.25" customHeight="1" x14ac:dyDescent="0.2">
      <c r="A919" s="26" t="s">
        <v>957</v>
      </c>
      <c r="B919" s="26"/>
      <c r="C919" s="26"/>
    </row>
    <row r="920" spans="1:3" ht="11.25" customHeight="1" x14ac:dyDescent="0.2">
      <c r="A920" s="26" t="s">
        <v>958</v>
      </c>
      <c r="B920" s="26"/>
      <c r="C920" s="26"/>
    </row>
    <row r="921" spans="1:3" ht="11.25" customHeight="1" x14ac:dyDescent="0.2">
      <c r="A921" s="26" t="s">
        <v>959</v>
      </c>
      <c r="B921" s="26"/>
      <c r="C921" s="26"/>
    </row>
    <row r="922" spans="1:3" ht="11.25" customHeight="1" x14ac:dyDescent="0.2">
      <c r="A922" s="26" t="s">
        <v>960</v>
      </c>
      <c r="B922" s="26"/>
      <c r="C922" s="26"/>
    </row>
    <row r="923" spans="1:3" ht="11.25" customHeight="1" x14ac:dyDescent="0.2">
      <c r="A923" s="26" t="s">
        <v>961</v>
      </c>
      <c r="B923" s="26"/>
      <c r="C923" s="26"/>
    </row>
    <row r="924" spans="1:3" ht="11.25" customHeight="1" x14ac:dyDescent="0.2">
      <c r="A924" s="26" t="s">
        <v>962</v>
      </c>
      <c r="B924" s="26"/>
      <c r="C924" s="26"/>
    </row>
    <row r="925" spans="1:3" ht="11.25" customHeight="1" x14ac:dyDescent="0.2">
      <c r="A925" s="26" t="s">
        <v>963</v>
      </c>
      <c r="B925" s="26"/>
      <c r="C925" s="26"/>
    </row>
    <row r="926" spans="1:3" ht="11.25" customHeight="1" x14ac:dyDescent="0.2">
      <c r="A926" s="26" t="s">
        <v>964</v>
      </c>
      <c r="B926" s="26"/>
      <c r="C926" s="26"/>
    </row>
    <row r="927" spans="1:3" ht="11.25" customHeight="1" x14ac:dyDescent="0.2">
      <c r="A927" s="26" t="s">
        <v>965</v>
      </c>
      <c r="B927" s="26"/>
      <c r="C927" s="26"/>
    </row>
    <row r="928" spans="1:3" ht="11.25" customHeight="1" x14ac:dyDescent="0.2">
      <c r="A928" s="26" t="s">
        <v>966</v>
      </c>
      <c r="B928" s="26"/>
      <c r="C928" s="26"/>
    </row>
    <row r="929" spans="1:3" ht="11.25" customHeight="1" x14ac:dyDescent="0.2">
      <c r="A929" s="26" t="s">
        <v>967</v>
      </c>
      <c r="B929" s="26"/>
      <c r="C929" s="26"/>
    </row>
    <row r="930" spans="1:3" ht="11.25" customHeight="1" x14ac:dyDescent="0.2">
      <c r="A930" s="26" t="s">
        <v>968</v>
      </c>
      <c r="B930" s="26"/>
      <c r="C930" s="26"/>
    </row>
    <row r="931" spans="1:3" ht="11.25" customHeight="1" x14ac:dyDescent="0.2">
      <c r="A931" s="26" t="s">
        <v>969</v>
      </c>
      <c r="B931" s="26"/>
      <c r="C931" s="26"/>
    </row>
    <row r="932" spans="1:3" ht="11.25" customHeight="1" x14ac:dyDescent="0.2">
      <c r="A932" s="26" t="s">
        <v>970</v>
      </c>
      <c r="B932" s="26"/>
      <c r="C932" s="26"/>
    </row>
    <row r="933" spans="1:3" ht="11.25" customHeight="1" x14ac:dyDescent="0.2">
      <c r="A933" s="26" t="s">
        <v>971</v>
      </c>
      <c r="B933" s="26"/>
      <c r="C933" s="26"/>
    </row>
    <row r="934" spans="1:3" ht="11.25" customHeight="1" x14ac:dyDescent="0.2">
      <c r="A934" s="26" t="s">
        <v>972</v>
      </c>
      <c r="B934" s="26"/>
      <c r="C934" s="26"/>
    </row>
    <row r="935" spans="1:3" ht="11.25" customHeight="1" x14ac:dyDescent="0.2">
      <c r="A935" s="26" t="s">
        <v>973</v>
      </c>
      <c r="B935" s="26"/>
      <c r="C935" s="26"/>
    </row>
    <row r="936" spans="1:3" ht="11.25" customHeight="1" x14ac:dyDescent="0.2">
      <c r="A936" s="26" t="s">
        <v>974</v>
      </c>
      <c r="B936" s="26"/>
      <c r="C936" s="26"/>
    </row>
    <row r="937" spans="1:3" ht="11.25" customHeight="1" x14ac:dyDescent="0.2">
      <c r="A937" s="26" t="s">
        <v>975</v>
      </c>
      <c r="B937" s="26"/>
      <c r="C937" s="26"/>
    </row>
    <row r="938" spans="1:3" ht="11.25" customHeight="1" x14ac:dyDescent="0.2">
      <c r="A938" s="26" t="s">
        <v>976</v>
      </c>
      <c r="B938" s="26"/>
      <c r="C938" s="26"/>
    </row>
    <row r="939" spans="1:3" ht="11.25" customHeight="1" x14ac:dyDescent="0.2">
      <c r="A939" s="26" t="s">
        <v>977</v>
      </c>
      <c r="B939" s="26"/>
      <c r="C939" s="26"/>
    </row>
    <row r="940" spans="1:3" ht="11.25" customHeight="1" x14ac:dyDescent="0.2">
      <c r="A940" s="26" t="s">
        <v>978</v>
      </c>
      <c r="B940" s="26"/>
      <c r="C940" s="26"/>
    </row>
    <row r="941" spans="1:3" ht="11.25" customHeight="1" x14ac:dyDescent="0.2">
      <c r="A941" s="26" t="s">
        <v>979</v>
      </c>
      <c r="B941" s="26"/>
      <c r="C941" s="26"/>
    </row>
    <row r="942" spans="1:3" ht="11.25" customHeight="1" x14ac:dyDescent="0.2">
      <c r="A942" s="26" t="s">
        <v>980</v>
      </c>
      <c r="B942" s="26"/>
      <c r="C942" s="26"/>
    </row>
    <row r="943" spans="1:3" ht="11.25" customHeight="1" x14ac:dyDescent="0.2">
      <c r="A943" s="26" t="s">
        <v>981</v>
      </c>
      <c r="B943" s="26"/>
      <c r="C943" s="26"/>
    </row>
    <row r="944" spans="1:3" ht="11.25" customHeight="1" x14ac:dyDescent="0.2">
      <c r="A944" s="26" t="s">
        <v>982</v>
      </c>
      <c r="B944" s="26"/>
      <c r="C944" s="26"/>
    </row>
    <row r="945" spans="1:3" ht="11.25" customHeight="1" x14ac:dyDescent="0.2">
      <c r="A945" s="26" t="s">
        <v>983</v>
      </c>
      <c r="B945" s="26"/>
      <c r="C945" s="26"/>
    </row>
    <row r="946" spans="1:3" ht="11.25" customHeight="1" x14ac:dyDescent="0.2">
      <c r="A946" s="26" t="s">
        <v>984</v>
      </c>
      <c r="B946" s="26"/>
      <c r="C946" s="26"/>
    </row>
    <row r="947" spans="1:3" ht="11.25" customHeight="1" x14ac:dyDescent="0.2">
      <c r="A947" s="26" t="s">
        <v>985</v>
      </c>
      <c r="B947" s="26"/>
      <c r="C947" s="26"/>
    </row>
    <row r="948" spans="1:3" ht="11.25" customHeight="1" x14ac:dyDescent="0.2">
      <c r="A948" s="26" t="s">
        <v>986</v>
      </c>
      <c r="B948" s="26"/>
      <c r="C948" s="26"/>
    </row>
    <row r="949" spans="1:3" ht="11.25" customHeight="1" x14ac:dyDescent="0.2">
      <c r="A949" s="26" t="s">
        <v>987</v>
      </c>
      <c r="B949" s="26"/>
      <c r="C949" s="26"/>
    </row>
    <row r="950" spans="1:3" ht="11.25" customHeight="1" x14ac:dyDescent="0.2">
      <c r="A950" s="26" t="s">
        <v>988</v>
      </c>
      <c r="B950" s="26"/>
      <c r="C950" s="26"/>
    </row>
    <row r="951" spans="1:3" ht="11.25" customHeight="1" x14ac:dyDescent="0.2">
      <c r="A951" s="26" t="s">
        <v>989</v>
      </c>
      <c r="B951" s="26"/>
      <c r="C951" s="26"/>
    </row>
    <row r="952" spans="1:3" ht="11.25" customHeight="1" x14ac:dyDescent="0.2">
      <c r="A952" s="26" t="s">
        <v>990</v>
      </c>
      <c r="B952" s="26"/>
      <c r="C952" s="26"/>
    </row>
    <row r="953" spans="1:3" ht="11.25" customHeight="1" x14ac:dyDescent="0.2">
      <c r="A953" s="26" t="s">
        <v>991</v>
      </c>
      <c r="B953" s="26"/>
      <c r="C953" s="26"/>
    </row>
    <row r="954" spans="1:3" ht="11.25" customHeight="1" x14ac:dyDescent="0.2">
      <c r="A954" s="26" t="s">
        <v>992</v>
      </c>
      <c r="B954" s="26"/>
      <c r="C954" s="26"/>
    </row>
    <row r="955" spans="1:3" ht="11.25" customHeight="1" x14ac:dyDescent="0.2">
      <c r="A955" s="26" t="s">
        <v>993</v>
      </c>
      <c r="B955" s="26"/>
      <c r="C955" s="26"/>
    </row>
    <row r="956" spans="1:3" ht="11.25" customHeight="1" x14ac:dyDescent="0.2">
      <c r="A956" s="26" t="s">
        <v>994</v>
      </c>
      <c r="B956" s="26"/>
      <c r="C956" s="26"/>
    </row>
    <row r="957" spans="1:3" ht="11.25" customHeight="1" x14ac:dyDescent="0.2">
      <c r="A957" s="26" t="s">
        <v>995</v>
      </c>
      <c r="B957" s="26"/>
      <c r="C957" s="26"/>
    </row>
    <row r="958" spans="1:3" ht="11.25" customHeight="1" x14ac:dyDescent="0.2">
      <c r="A958" s="26" t="s">
        <v>996</v>
      </c>
      <c r="B958" s="26"/>
      <c r="C958" s="26"/>
    </row>
    <row r="959" spans="1:3" ht="11.25" customHeight="1" x14ac:dyDescent="0.2">
      <c r="A959" s="26" t="s">
        <v>997</v>
      </c>
      <c r="B959" s="26"/>
      <c r="C959" s="26"/>
    </row>
    <row r="960" spans="1:3" ht="11.25" customHeight="1" x14ac:dyDescent="0.2">
      <c r="A960" s="26" t="s">
        <v>998</v>
      </c>
      <c r="B960" s="26"/>
      <c r="C960" s="26"/>
    </row>
    <row r="961" spans="1:3" ht="11.25" customHeight="1" x14ac:dyDescent="0.2">
      <c r="A961" s="26" t="s">
        <v>999</v>
      </c>
      <c r="B961" s="26"/>
      <c r="C961" s="26"/>
    </row>
    <row r="962" spans="1:3" ht="11.25" customHeight="1" x14ac:dyDescent="0.2">
      <c r="A962" s="26" t="s">
        <v>1000</v>
      </c>
      <c r="B962" s="26"/>
      <c r="C962" s="26"/>
    </row>
    <row r="963" spans="1:3" ht="11.25" customHeight="1" x14ac:dyDescent="0.2">
      <c r="A963" s="26" t="s">
        <v>1001</v>
      </c>
      <c r="B963" s="26"/>
      <c r="C963" s="26"/>
    </row>
    <row r="964" spans="1:3" ht="11.25" customHeight="1" x14ac:dyDescent="0.2">
      <c r="A964" s="26" t="s">
        <v>1002</v>
      </c>
      <c r="B964" s="26"/>
      <c r="C964" s="26"/>
    </row>
    <row r="965" spans="1:3" ht="11.25" customHeight="1" x14ac:dyDescent="0.2">
      <c r="A965" s="26" t="s">
        <v>1003</v>
      </c>
      <c r="B965" s="26"/>
      <c r="C965" s="26"/>
    </row>
    <row r="966" spans="1:3" ht="11.25" customHeight="1" x14ac:dyDescent="0.2">
      <c r="A966" s="26" t="s">
        <v>1004</v>
      </c>
      <c r="B966" s="26"/>
      <c r="C966" s="26"/>
    </row>
    <row r="967" spans="1:3" ht="11.25" customHeight="1" x14ac:dyDescent="0.2">
      <c r="A967" s="26" t="s">
        <v>1005</v>
      </c>
      <c r="B967" s="26"/>
      <c r="C967" s="26"/>
    </row>
    <row r="968" spans="1:3" ht="11.25" customHeight="1" x14ac:dyDescent="0.2">
      <c r="A968" s="26" t="s">
        <v>1006</v>
      </c>
      <c r="B968" s="26"/>
      <c r="C968" s="26"/>
    </row>
    <row r="969" spans="1:3" ht="11.25" customHeight="1" x14ac:dyDescent="0.2">
      <c r="A969" s="26" t="s">
        <v>1007</v>
      </c>
      <c r="B969" s="26"/>
      <c r="C969" s="26"/>
    </row>
    <row r="970" spans="1:3" ht="11.25" customHeight="1" x14ac:dyDescent="0.2">
      <c r="A970" s="26" t="s">
        <v>1008</v>
      </c>
      <c r="B970" s="26"/>
      <c r="C970" s="26"/>
    </row>
    <row r="971" spans="1:3" ht="11.25" customHeight="1" x14ac:dyDescent="0.2">
      <c r="A971" s="26" t="s">
        <v>1009</v>
      </c>
      <c r="B971" s="26"/>
      <c r="C971" s="26"/>
    </row>
    <row r="972" spans="1:3" ht="11.25" customHeight="1" x14ac:dyDescent="0.2">
      <c r="A972" s="26" t="s">
        <v>1010</v>
      </c>
      <c r="B972" s="26"/>
      <c r="C972" s="26"/>
    </row>
    <row r="973" spans="1:3" ht="11.25" customHeight="1" x14ac:dyDescent="0.2">
      <c r="A973" s="26" t="s">
        <v>1011</v>
      </c>
      <c r="B973" s="26"/>
      <c r="C973" s="26"/>
    </row>
    <row r="974" spans="1:3" ht="11.25" customHeight="1" x14ac:dyDescent="0.2">
      <c r="A974" s="26" t="s">
        <v>1012</v>
      </c>
      <c r="B974" s="26"/>
      <c r="C974" s="26"/>
    </row>
    <row r="975" spans="1:3" ht="11.25" customHeight="1" x14ac:dyDescent="0.2">
      <c r="A975" s="26" t="s">
        <v>1013</v>
      </c>
      <c r="B975" s="26"/>
      <c r="C975" s="26"/>
    </row>
    <row r="976" spans="1:3" ht="11.25" customHeight="1" x14ac:dyDescent="0.2">
      <c r="A976" s="26" t="s">
        <v>1014</v>
      </c>
      <c r="B976" s="26"/>
      <c r="C976" s="26"/>
    </row>
    <row r="977" spans="1:3" ht="11.25" customHeight="1" x14ac:dyDescent="0.2">
      <c r="A977" s="26" t="s">
        <v>1015</v>
      </c>
      <c r="B977" s="26"/>
      <c r="C977" s="26"/>
    </row>
    <row r="978" spans="1:3" ht="11.25" customHeight="1" x14ac:dyDescent="0.2">
      <c r="A978" s="26" t="s">
        <v>1016</v>
      </c>
      <c r="B978" s="26"/>
      <c r="C978" s="26"/>
    </row>
    <row r="979" spans="1:3" ht="11.25" customHeight="1" x14ac:dyDescent="0.2">
      <c r="A979" s="26" t="s">
        <v>1017</v>
      </c>
      <c r="B979" s="26"/>
      <c r="C979" s="26"/>
    </row>
    <row r="980" spans="1:3" ht="11.25" customHeight="1" x14ac:dyDescent="0.2">
      <c r="A980" s="26" t="s">
        <v>1018</v>
      </c>
      <c r="B980" s="26"/>
      <c r="C980" s="26"/>
    </row>
    <row r="981" spans="1:3" ht="11.25" customHeight="1" x14ac:dyDescent="0.2">
      <c r="A981" s="26" t="s">
        <v>1019</v>
      </c>
      <c r="B981" s="26"/>
      <c r="C981" s="26"/>
    </row>
    <row r="982" spans="1:3" ht="11.25" customHeight="1" x14ac:dyDescent="0.2">
      <c r="A982" s="26" t="s">
        <v>1020</v>
      </c>
      <c r="B982" s="26"/>
      <c r="C982" s="26"/>
    </row>
    <row r="983" spans="1:3" ht="11.25" customHeight="1" x14ac:dyDescent="0.2">
      <c r="A983" s="26" t="s">
        <v>1021</v>
      </c>
      <c r="B983" s="26"/>
      <c r="C983" s="26"/>
    </row>
    <row r="984" spans="1:3" ht="11.25" customHeight="1" x14ac:dyDescent="0.2">
      <c r="A984" s="26" t="s">
        <v>1022</v>
      </c>
      <c r="B984" s="26"/>
      <c r="C984" s="26"/>
    </row>
    <row r="985" spans="1:3" ht="11.25" customHeight="1" x14ac:dyDescent="0.2">
      <c r="A985" s="26" t="s">
        <v>1023</v>
      </c>
      <c r="B985" s="26"/>
      <c r="C985" s="26"/>
    </row>
    <row r="986" spans="1:3" ht="11.25" customHeight="1" x14ac:dyDescent="0.2">
      <c r="A986" s="26" t="s">
        <v>1024</v>
      </c>
      <c r="B986" s="26"/>
      <c r="C986" s="26"/>
    </row>
    <row r="987" spans="1:3" ht="11.25" customHeight="1" x14ac:dyDescent="0.2">
      <c r="A987" s="26" t="s">
        <v>1025</v>
      </c>
      <c r="B987" s="26"/>
      <c r="C987" s="26"/>
    </row>
    <row r="988" spans="1:3" ht="11.25" customHeight="1" x14ac:dyDescent="0.2">
      <c r="A988" s="26" t="s">
        <v>1026</v>
      </c>
      <c r="B988" s="26"/>
      <c r="C988" s="26"/>
    </row>
    <row r="989" spans="1:3" ht="11.25" customHeight="1" x14ac:dyDescent="0.2">
      <c r="A989" s="26" t="s">
        <v>1027</v>
      </c>
      <c r="B989" s="26"/>
      <c r="C989" s="26"/>
    </row>
    <row r="990" spans="1:3" ht="11.25" customHeight="1" x14ac:dyDescent="0.2">
      <c r="A990" s="26" t="s">
        <v>1028</v>
      </c>
      <c r="B990" s="26"/>
      <c r="C990" s="26"/>
    </row>
    <row r="991" spans="1:3" ht="11.25" customHeight="1" x14ac:dyDescent="0.2">
      <c r="A991" s="26" t="s">
        <v>1029</v>
      </c>
      <c r="B991" s="26"/>
      <c r="C991" s="26"/>
    </row>
    <row r="992" spans="1:3" ht="11.25" customHeight="1" x14ac:dyDescent="0.2">
      <c r="A992" s="26" t="s">
        <v>1030</v>
      </c>
      <c r="B992" s="26"/>
      <c r="C992" s="26"/>
    </row>
    <row r="993" spans="1:3" ht="11.25" customHeight="1" x14ac:dyDescent="0.2">
      <c r="A993" s="26" t="s">
        <v>1031</v>
      </c>
      <c r="B993" s="26"/>
      <c r="C993" s="26"/>
    </row>
    <row r="994" spans="1:3" ht="11.25" customHeight="1" x14ac:dyDescent="0.2">
      <c r="A994" s="26" t="s">
        <v>1032</v>
      </c>
      <c r="B994" s="26"/>
      <c r="C994" s="26"/>
    </row>
    <row r="995" spans="1:3" ht="11.25" customHeight="1" x14ac:dyDescent="0.2">
      <c r="A995" s="26" t="s">
        <v>1033</v>
      </c>
      <c r="B995" s="26"/>
      <c r="C995" s="26"/>
    </row>
    <row r="996" spans="1:3" ht="11.25" customHeight="1" x14ac:dyDescent="0.2">
      <c r="A996" s="26" t="s">
        <v>1034</v>
      </c>
      <c r="B996" s="26"/>
      <c r="C996" s="26"/>
    </row>
    <row r="997" spans="1:3" ht="11.25" customHeight="1" x14ac:dyDescent="0.2">
      <c r="A997" s="26" t="s">
        <v>1035</v>
      </c>
      <c r="B997" s="26"/>
      <c r="C997" s="26"/>
    </row>
    <row r="998" spans="1:3" ht="11.25" customHeight="1" x14ac:dyDescent="0.2">
      <c r="A998" s="26" t="s">
        <v>1036</v>
      </c>
      <c r="B998" s="26"/>
      <c r="C998" s="26"/>
    </row>
    <row r="999" spans="1:3" ht="11.25" customHeight="1" x14ac:dyDescent="0.2">
      <c r="A999" s="26" t="s">
        <v>1037</v>
      </c>
      <c r="B999" s="26"/>
      <c r="C999" s="26"/>
    </row>
    <row r="1000" spans="1:3" ht="11.25" customHeight="1" x14ac:dyDescent="0.2">
      <c r="A1000" s="26" t="s">
        <v>1038</v>
      </c>
      <c r="B1000" s="26"/>
      <c r="C1000" s="26"/>
    </row>
    <row r="1001" spans="1:3" ht="11.25" customHeight="1" x14ac:dyDescent="0.2">
      <c r="A1001" s="26" t="s">
        <v>1039</v>
      </c>
      <c r="B1001" s="26"/>
      <c r="C1001" s="26"/>
    </row>
    <row r="1002" spans="1:3" ht="11.25" customHeight="1" x14ac:dyDescent="0.2">
      <c r="A1002" s="26" t="s">
        <v>1040</v>
      </c>
      <c r="B1002" s="26"/>
      <c r="C1002" s="26"/>
    </row>
    <row r="1003" spans="1:3" ht="11.25" customHeight="1" x14ac:dyDescent="0.2">
      <c r="A1003" s="26" t="s">
        <v>1041</v>
      </c>
      <c r="B1003" s="26"/>
      <c r="C1003" s="26"/>
    </row>
    <row r="1004" spans="1:3" ht="11.25" customHeight="1" x14ac:dyDescent="0.2">
      <c r="A1004" s="26" t="s">
        <v>1042</v>
      </c>
      <c r="B1004" s="26"/>
      <c r="C1004" s="26"/>
    </row>
    <row r="1005" spans="1:3" ht="11.25" customHeight="1" x14ac:dyDescent="0.2">
      <c r="A1005" s="26" t="s">
        <v>1043</v>
      </c>
      <c r="B1005" s="26"/>
      <c r="C1005" s="26"/>
    </row>
    <row r="1006" spans="1:3" ht="11.25" customHeight="1" x14ac:dyDescent="0.2">
      <c r="A1006" s="26" t="s">
        <v>1044</v>
      </c>
      <c r="B1006" s="26"/>
      <c r="C1006" s="26"/>
    </row>
    <row r="1007" spans="1:3" ht="11.25" customHeight="1" x14ac:dyDescent="0.2">
      <c r="A1007" s="26" t="s">
        <v>1045</v>
      </c>
      <c r="B1007" s="26"/>
      <c r="C1007" s="26"/>
    </row>
    <row r="1008" spans="1:3" ht="11.25" customHeight="1" x14ac:dyDescent="0.2">
      <c r="A1008" s="26" t="s">
        <v>1046</v>
      </c>
      <c r="B1008" s="26"/>
      <c r="C1008" s="26"/>
    </row>
    <row r="1009" spans="1:3" ht="11.25" customHeight="1" x14ac:dyDescent="0.2">
      <c r="A1009" s="26" t="s">
        <v>1047</v>
      </c>
      <c r="B1009" s="26"/>
      <c r="C1009" s="26"/>
    </row>
    <row r="1010" spans="1:3" ht="11.25" customHeight="1" x14ac:dyDescent="0.2">
      <c r="A1010" s="26" t="s">
        <v>1048</v>
      </c>
      <c r="B1010" s="26"/>
      <c r="C1010" s="26"/>
    </row>
    <row r="1011" spans="1:3" ht="11.25" customHeight="1" x14ac:dyDescent="0.2">
      <c r="A1011" s="26" t="s">
        <v>1049</v>
      </c>
      <c r="B1011" s="26"/>
      <c r="C1011" s="26"/>
    </row>
    <row r="1012" spans="1:3" ht="11.25" customHeight="1" x14ac:dyDescent="0.2">
      <c r="A1012" s="26" t="s">
        <v>1050</v>
      </c>
      <c r="B1012" s="26"/>
      <c r="C1012" s="26"/>
    </row>
    <row r="1013" spans="1:3" ht="11.25" customHeight="1" x14ac:dyDescent="0.2">
      <c r="A1013" s="26" t="s">
        <v>1051</v>
      </c>
      <c r="B1013" s="26"/>
      <c r="C1013" s="26"/>
    </row>
    <row r="1014" spans="1:3" ht="11.25" customHeight="1" x14ac:dyDescent="0.2">
      <c r="A1014" s="26" t="s">
        <v>1052</v>
      </c>
      <c r="B1014" s="26"/>
      <c r="C1014" s="26"/>
    </row>
    <row r="1015" spans="1:3" ht="11.25" customHeight="1" x14ac:dyDescent="0.2">
      <c r="A1015" s="26" t="s">
        <v>1053</v>
      </c>
      <c r="B1015" s="26"/>
      <c r="C1015" s="26"/>
    </row>
    <row r="1016" spans="1:3" ht="11.25" customHeight="1" x14ac:dyDescent="0.2">
      <c r="A1016" s="26" t="s">
        <v>1054</v>
      </c>
      <c r="B1016" s="26"/>
      <c r="C1016" s="26"/>
    </row>
    <row r="1017" spans="1:3" ht="11.25" customHeight="1" x14ac:dyDescent="0.2">
      <c r="A1017" s="26" t="s">
        <v>1055</v>
      </c>
      <c r="B1017" s="26"/>
      <c r="C1017" s="26"/>
    </row>
    <row r="1018" spans="1:3" ht="11.25" customHeight="1" x14ac:dyDescent="0.2">
      <c r="A1018" s="26" t="s">
        <v>1056</v>
      </c>
      <c r="B1018" s="26"/>
      <c r="C1018" s="26"/>
    </row>
    <row r="1019" spans="1:3" ht="11.25" customHeight="1" x14ac:dyDescent="0.2">
      <c r="A1019" s="26" t="s">
        <v>1057</v>
      </c>
      <c r="B1019" s="26"/>
      <c r="C1019" s="26"/>
    </row>
    <row r="1020" spans="1:3" ht="11.25" customHeight="1" x14ac:dyDescent="0.2">
      <c r="A1020" s="26" t="s">
        <v>1058</v>
      </c>
      <c r="B1020" s="26"/>
      <c r="C1020" s="26"/>
    </row>
    <row r="1021" spans="1:3" ht="11.25" customHeight="1" x14ac:dyDescent="0.2">
      <c r="A1021" s="26" t="s">
        <v>1059</v>
      </c>
      <c r="B1021" s="26"/>
      <c r="C1021" s="26"/>
    </row>
    <row r="1022" spans="1:3" ht="11.25" customHeight="1" x14ac:dyDescent="0.2">
      <c r="A1022" s="26" t="s">
        <v>1060</v>
      </c>
      <c r="B1022" s="26"/>
      <c r="C1022" s="26"/>
    </row>
    <row r="1023" spans="1:3" ht="11.25" customHeight="1" x14ac:dyDescent="0.2">
      <c r="A1023" s="26" t="s">
        <v>1061</v>
      </c>
      <c r="B1023" s="26"/>
      <c r="C1023" s="26"/>
    </row>
    <row r="1024" spans="1:3" ht="11.25" customHeight="1" x14ac:dyDescent="0.2">
      <c r="A1024" s="26" t="s">
        <v>1062</v>
      </c>
      <c r="B1024" s="26"/>
      <c r="C1024" s="26"/>
    </row>
    <row r="1025" spans="1:3" ht="11.25" customHeight="1" x14ac:dyDescent="0.2">
      <c r="A1025" s="26" t="s">
        <v>1063</v>
      </c>
      <c r="B1025" s="26"/>
      <c r="C1025" s="26"/>
    </row>
    <row r="1026" spans="1:3" ht="11.25" customHeight="1" x14ac:dyDescent="0.2">
      <c r="A1026" s="26" t="s">
        <v>1064</v>
      </c>
      <c r="B1026" s="26"/>
      <c r="C1026" s="26"/>
    </row>
    <row r="1027" spans="1:3" ht="11.25" customHeight="1" x14ac:dyDescent="0.2">
      <c r="A1027" s="26" t="s">
        <v>1065</v>
      </c>
      <c r="B1027" s="26"/>
      <c r="C1027" s="26"/>
    </row>
    <row r="1028" spans="1:3" ht="11.25" customHeight="1" x14ac:dyDescent="0.2">
      <c r="A1028" s="26" t="s">
        <v>1066</v>
      </c>
      <c r="B1028" s="26"/>
      <c r="C1028" s="26"/>
    </row>
    <row r="1029" spans="1:3" ht="11.25" customHeight="1" x14ac:dyDescent="0.2">
      <c r="A1029" s="26" t="s">
        <v>1067</v>
      </c>
      <c r="B1029" s="26"/>
      <c r="C1029" s="26"/>
    </row>
    <row r="1030" spans="1:3" ht="11.25" customHeight="1" x14ac:dyDescent="0.2">
      <c r="A1030" s="26" t="s">
        <v>1068</v>
      </c>
      <c r="B1030" s="26"/>
      <c r="C1030" s="26"/>
    </row>
    <row r="1031" spans="1:3" ht="11.25" customHeight="1" x14ac:dyDescent="0.2">
      <c r="A1031" s="26" t="s">
        <v>1069</v>
      </c>
      <c r="B1031" s="26"/>
      <c r="C1031" s="26"/>
    </row>
    <row r="1032" spans="1:3" ht="11.25" customHeight="1" x14ac:dyDescent="0.2">
      <c r="A1032" s="26" t="s">
        <v>1070</v>
      </c>
      <c r="B1032" s="26"/>
      <c r="C1032" s="26"/>
    </row>
    <row r="1033" spans="1:3" ht="11.25" customHeight="1" x14ac:dyDescent="0.2">
      <c r="A1033" s="26" t="s">
        <v>1071</v>
      </c>
      <c r="B1033" s="26"/>
      <c r="C1033" s="26"/>
    </row>
    <row r="1034" spans="1:3" ht="11.25" customHeight="1" x14ac:dyDescent="0.2">
      <c r="A1034" s="26" t="s">
        <v>1072</v>
      </c>
      <c r="B1034" s="26"/>
      <c r="C1034" s="26"/>
    </row>
    <row r="1035" spans="1:3" ht="11.25" customHeight="1" x14ac:dyDescent="0.2">
      <c r="A1035" s="26" t="s">
        <v>1073</v>
      </c>
      <c r="B1035" s="26"/>
      <c r="C1035" s="26"/>
    </row>
    <row r="1036" spans="1:3" ht="11.25" customHeight="1" x14ac:dyDescent="0.2">
      <c r="A1036" s="26" t="s">
        <v>1074</v>
      </c>
      <c r="B1036" s="26"/>
      <c r="C1036" s="26"/>
    </row>
    <row r="1037" spans="1:3" ht="11.25" customHeight="1" x14ac:dyDescent="0.2">
      <c r="A1037" s="26" t="s">
        <v>1075</v>
      </c>
      <c r="B1037" s="26"/>
      <c r="C1037" s="26"/>
    </row>
    <row r="1038" spans="1:3" ht="11.25" customHeight="1" x14ac:dyDescent="0.2">
      <c r="A1038" s="26" t="s">
        <v>1076</v>
      </c>
      <c r="B1038" s="26"/>
      <c r="C1038" s="26"/>
    </row>
    <row r="1039" spans="1:3" ht="11.25" customHeight="1" x14ac:dyDescent="0.2">
      <c r="A1039" s="26" t="s">
        <v>1077</v>
      </c>
      <c r="B1039" s="26"/>
      <c r="C1039" s="26"/>
    </row>
    <row r="1040" spans="1:3" ht="11.25" customHeight="1" x14ac:dyDescent="0.2">
      <c r="A1040" s="26" t="s">
        <v>1078</v>
      </c>
      <c r="B1040" s="26"/>
      <c r="C1040" s="26"/>
    </row>
    <row r="1041" spans="1:3" ht="11.25" customHeight="1" x14ac:dyDescent="0.2">
      <c r="A1041" s="26" t="s">
        <v>1079</v>
      </c>
      <c r="B1041" s="26"/>
      <c r="C1041" s="26"/>
    </row>
    <row r="1042" spans="1:3" ht="11.25" customHeight="1" x14ac:dyDescent="0.2">
      <c r="A1042" s="26" t="s">
        <v>1080</v>
      </c>
      <c r="B1042" s="26"/>
      <c r="C1042" s="26"/>
    </row>
    <row r="1043" spans="1:3" ht="11.25" customHeight="1" x14ac:dyDescent="0.2">
      <c r="A1043" s="26" t="s">
        <v>1081</v>
      </c>
      <c r="B1043" s="26"/>
      <c r="C1043" s="26"/>
    </row>
    <row r="1044" spans="1:3" ht="11.25" customHeight="1" x14ac:dyDescent="0.2">
      <c r="A1044" s="26" t="s">
        <v>1082</v>
      </c>
      <c r="B1044" s="26"/>
      <c r="C1044" s="26"/>
    </row>
    <row r="1045" spans="1:3" ht="11.25" customHeight="1" x14ac:dyDescent="0.2">
      <c r="A1045" s="26" t="s">
        <v>1083</v>
      </c>
      <c r="B1045" s="26"/>
      <c r="C1045" s="26"/>
    </row>
    <row r="1046" spans="1:3" ht="11.25" customHeight="1" x14ac:dyDescent="0.2">
      <c r="A1046" s="26" t="s">
        <v>1084</v>
      </c>
      <c r="B1046" s="26"/>
      <c r="C1046" s="26"/>
    </row>
    <row r="1047" spans="1:3" ht="11.25" customHeight="1" x14ac:dyDescent="0.2">
      <c r="A1047" s="26" t="s">
        <v>1085</v>
      </c>
      <c r="B1047" s="26"/>
      <c r="C1047" s="26"/>
    </row>
    <row r="1048" spans="1:3" ht="11.25" customHeight="1" x14ac:dyDescent="0.2">
      <c r="A1048" s="26" t="s">
        <v>1086</v>
      </c>
      <c r="B1048" s="26"/>
      <c r="C1048" s="26"/>
    </row>
    <row r="1049" spans="1:3" ht="11.25" customHeight="1" x14ac:dyDescent="0.2">
      <c r="A1049" s="26" t="s">
        <v>1087</v>
      </c>
      <c r="B1049" s="26"/>
      <c r="C1049" s="26"/>
    </row>
    <row r="1050" spans="1:3" ht="11.25" customHeight="1" x14ac:dyDescent="0.2">
      <c r="A1050" s="26" t="s">
        <v>1088</v>
      </c>
      <c r="B1050" s="26"/>
      <c r="C1050" s="26"/>
    </row>
    <row r="1051" spans="1:3" ht="11.25" customHeight="1" x14ac:dyDescent="0.2">
      <c r="A1051" s="26" t="s">
        <v>1089</v>
      </c>
      <c r="B1051" s="26"/>
      <c r="C1051" s="26"/>
    </row>
    <row r="1052" spans="1:3" ht="11.25" customHeight="1" x14ac:dyDescent="0.2">
      <c r="A1052" s="26" t="s">
        <v>1090</v>
      </c>
      <c r="B1052" s="26"/>
      <c r="C1052" s="26"/>
    </row>
    <row r="1053" spans="1:3" ht="11.25" customHeight="1" x14ac:dyDescent="0.2">
      <c r="A1053" s="26" t="s">
        <v>1091</v>
      </c>
      <c r="B1053" s="26"/>
      <c r="C1053" s="26"/>
    </row>
    <row r="1054" spans="1:3" ht="11.25" customHeight="1" x14ac:dyDescent="0.2">
      <c r="A1054" s="26" t="s">
        <v>1092</v>
      </c>
      <c r="B1054" s="26"/>
      <c r="C1054" s="26"/>
    </row>
    <row r="1055" spans="1:3" ht="11.25" customHeight="1" x14ac:dyDescent="0.2">
      <c r="A1055" s="26" t="s">
        <v>1093</v>
      </c>
      <c r="B1055" s="26"/>
      <c r="C1055" s="26"/>
    </row>
    <row r="1056" spans="1:3" ht="11.25" customHeight="1" x14ac:dyDescent="0.2">
      <c r="A1056" s="26" t="s">
        <v>1094</v>
      </c>
      <c r="B1056" s="26"/>
      <c r="C1056" s="26"/>
    </row>
    <row r="1057" spans="1:3" ht="11.25" customHeight="1" x14ac:dyDescent="0.2">
      <c r="A1057" s="26" t="s">
        <v>1095</v>
      </c>
      <c r="B1057" s="26"/>
      <c r="C1057" s="26"/>
    </row>
    <row r="1058" spans="1:3" ht="11.25" customHeight="1" x14ac:dyDescent="0.2">
      <c r="A1058" s="26" t="s">
        <v>1096</v>
      </c>
      <c r="B1058" s="26"/>
      <c r="C1058" s="26"/>
    </row>
    <row r="1059" spans="1:3" ht="11.25" customHeight="1" x14ac:dyDescent="0.2">
      <c r="A1059" s="26" t="s">
        <v>1097</v>
      </c>
      <c r="B1059" s="26"/>
      <c r="C1059" s="26"/>
    </row>
    <row r="1060" spans="1:3" ht="11.25" customHeight="1" x14ac:dyDescent="0.2">
      <c r="A1060" s="26" t="s">
        <v>1098</v>
      </c>
      <c r="B1060" s="26"/>
      <c r="C1060" s="26"/>
    </row>
    <row r="1061" spans="1:3" ht="11.25" customHeight="1" x14ac:dyDescent="0.2">
      <c r="A1061" s="26" t="s">
        <v>1099</v>
      </c>
      <c r="B1061" s="26"/>
      <c r="C1061" s="26"/>
    </row>
    <row r="1062" spans="1:3" ht="11.25" customHeight="1" x14ac:dyDescent="0.2">
      <c r="A1062" s="26" t="s">
        <v>1100</v>
      </c>
      <c r="B1062" s="26"/>
      <c r="C1062" s="26"/>
    </row>
    <row r="1063" spans="1:3" ht="11.25" customHeight="1" x14ac:dyDescent="0.2">
      <c r="A1063" s="26" t="s">
        <v>1101</v>
      </c>
      <c r="B1063" s="26"/>
      <c r="C1063" s="26"/>
    </row>
    <row r="1064" spans="1:3" ht="11.25" customHeight="1" x14ac:dyDescent="0.2">
      <c r="A1064" s="26" t="s">
        <v>1102</v>
      </c>
      <c r="B1064" s="26"/>
      <c r="C1064" s="26"/>
    </row>
    <row r="1065" spans="1:3" ht="11.25" customHeight="1" x14ac:dyDescent="0.2">
      <c r="A1065" s="26" t="s">
        <v>1103</v>
      </c>
      <c r="B1065" s="26"/>
      <c r="C1065" s="26"/>
    </row>
    <row r="1066" spans="1:3" ht="11.25" customHeight="1" x14ac:dyDescent="0.2">
      <c r="A1066" s="26" t="s">
        <v>1104</v>
      </c>
      <c r="B1066" s="26"/>
      <c r="C1066" s="26"/>
    </row>
    <row r="1067" spans="1:3" ht="11.25" customHeight="1" x14ac:dyDescent="0.2">
      <c r="A1067" s="26" t="s">
        <v>1105</v>
      </c>
      <c r="B1067" s="26"/>
      <c r="C1067" s="26"/>
    </row>
    <row r="1068" spans="1:3" ht="11.25" customHeight="1" x14ac:dyDescent="0.2">
      <c r="A1068" s="26" t="s">
        <v>1106</v>
      </c>
      <c r="B1068" s="26"/>
      <c r="C1068" s="26"/>
    </row>
    <row r="1069" spans="1:3" ht="11.25" customHeight="1" x14ac:dyDescent="0.2">
      <c r="A1069" s="26" t="s">
        <v>1107</v>
      </c>
      <c r="B1069" s="26"/>
      <c r="C1069" s="26"/>
    </row>
    <row r="1070" spans="1:3" ht="11.25" customHeight="1" x14ac:dyDescent="0.2">
      <c r="A1070" s="26" t="s">
        <v>1108</v>
      </c>
      <c r="B1070" s="26"/>
      <c r="C1070" s="26"/>
    </row>
    <row r="1071" spans="1:3" ht="11.25" customHeight="1" x14ac:dyDescent="0.2">
      <c r="A1071" s="26" t="s">
        <v>1109</v>
      </c>
      <c r="B1071" s="26"/>
      <c r="C1071" s="26"/>
    </row>
    <row r="1072" spans="1:3" ht="11.25" customHeight="1" x14ac:dyDescent="0.2">
      <c r="A1072" s="26" t="s">
        <v>1110</v>
      </c>
      <c r="B1072" s="26"/>
      <c r="C1072" s="26"/>
    </row>
    <row r="1073" spans="1:3" ht="11.25" customHeight="1" x14ac:dyDescent="0.2">
      <c r="A1073" s="26" t="s">
        <v>1111</v>
      </c>
      <c r="B1073" s="26"/>
      <c r="C1073" s="26"/>
    </row>
    <row r="1074" spans="1:3" ht="11.25" customHeight="1" x14ac:dyDescent="0.2">
      <c r="A1074" s="26" t="s">
        <v>1112</v>
      </c>
      <c r="B1074" s="26"/>
      <c r="C1074" s="26"/>
    </row>
    <row r="1075" spans="1:3" ht="11.25" customHeight="1" x14ac:dyDescent="0.2">
      <c r="A1075" s="26" t="s">
        <v>1113</v>
      </c>
      <c r="B1075" s="26"/>
      <c r="C1075" s="26"/>
    </row>
    <row r="1076" spans="1:3" ht="11.25" customHeight="1" x14ac:dyDescent="0.2">
      <c r="A1076" s="26" t="s">
        <v>1114</v>
      </c>
      <c r="B1076" s="26"/>
      <c r="C1076" s="26"/>
    </row>
    <row r="1077" spans="1:3" ht="11.25" customHeight="1" x14ac:dyDescent="0.2">
      <c r="A1077" s="26" t="s">
        <v>1115</v>
      </c>
      <c r="B1077" s="26"/>
      <c r="C1077" s="26"/>
    </row>
    <row r="1078" spans="1:3" ht="11.25" customHeight="1" x14ac:dyDescent="0.2">
      <c r="A1078" s="26" t="s">
        <v>1116</v>
      </c>
      <c r="B1078" s="26"/>
      <c r="C1078" s="26"/>
    </row>
    <row r="1079" spans="1:3" ht="11.25" customHeight="1" x14ac:dyDescent="0.2">
      <c r="A1079" s="26" t="s">
        <v>1117</v>
      </c>
      <c r="B1079" s="26"/>
      <c r="C1079" s="26"/>
    </row>
    <row r="1080" spans="1:3" ht="11.25" customHeight="1" x14ac:dyDescent="0.2">
      <c r="A1080" s="26" t="s">
        <v>1118</v>
      </c>
      <c r="B1080" s="26"/>
      <c r="C1080" s="26"/>
    </row>
    <row r="1081" spans="1:3" ht="11.25" customHeight="1" x14ac:dyDescent="0.2">
      <c r="A1081" s="26" t="s">
        <v>1119</v>
      </c>
      <c r="B1081" s="26"/>
      <c r="C1081" s="26"/>
    </row>
    <row r="1082" spans="1:3" ht="11.25" customHeight="1" x14ac:dyDescent="0.2">
      <c r="A1082" s="26" t="s">
        <v>1120</v>
      </c>
      <c r="B1082" s="26"/>
      <c r="C1082" s="26"/>
    </row>
    <row r="1083" spans="1:3" ht="11.25" customHeight="1" x14ac:dyDescent="0.2">
      <c r="A1083" s="26" t="s">
        <v>1121</v>
      </c>
      <c r="B1083" s="26"/>
      <c r="C1083" s="26"/>
    </row>
    <row r="1084" spans="1:3" ht="11.25" customHeight="1" x14ac:dyDescent="0.2">
      <c r="A1084" s="26" t="s">
        <v>1122</v>
      </c>
      <c r="B1084" s="26"/>
      <c r="C1084" s="26"/>
    </row>
    <row r="1085" spans="1:3" ht="11.25" customHeight="1" x14ac:dyDescent="0.2">
      <c r="A1085" s="26" t="s">
        <v>1123</v>
      </c>
      <c r="B1085" s="26"/>
      <c r="C1085" s="26"/>
    </row>
    <row r="1086" spans="1:3" ht="11.25" customHeight="1" x14ac:dyDescent="0.2">
      <c r="A1086" s="26" t="s">
        <v>1124</v>
      </c>
      <c r="B1086" s="26"/>
      <c r="C1086" s="26"/>
    </row>
    <row r="1087" spans="1:3" ht="11.25" customHeight="1" x14ac:dyDescent="0.2">
      <c r="A1087" s="26" t="s">
        <v>1125</v>
      </c>
      <c r="B1087" s="26"/>
      <c r="C1087" s="26"/>
    </row>
    <row r="1088" spans="1:3" ht="11.25" customHeight="1" x14ac:dyDescent="0.2">
      <c r="A1088" s="26" t="s">
        <v>1126</v>
      </c>
      <c r="B1088" s="26"/>
      <c r="C1088" s="26"/>
    </row>
    <row r="1089" spans="1:3" ht="11.25" customHeight="1" x14ac:dyDescent="0.2">
      <c r="A1089" s="26" t="s">
        <v>1127</v>
      </c>
      <c r="B1089" s="26"/>
      <c r="C1089" s="26"/>
    </row>
    <row r="1090" spans="1:3" ht="11.25" customHeight="1" x14ac:dyDescent="0.2">
      <c r="A1090" s="26" t="s">
        <v>1128</v>
      </c>
      <c r="B1090" s="26"/>
      <c r="C1090" s="26"/>
    </row>
    <row r="1091" spans="1:3" ht="11.25" customHeight="1" x14ac:dyDescent="0.2">
      <c r="A1091" s="26" t="s">
        <v>1129</v>
      </c>
      <c r="B1091" s="26"/>
      <c r="C1091" s="26"/>
    </row>
    <row r="1092" spans="1:3" ht="11.25" customHeight="1" x14ac:dyDescent="0.2">
      <c r="A1092" s="26" t="s">
        <v>1130</v>
      </c>
      <c r="B1092" s="26"/>
      <c r="C1092" s="26"/>
    </row>
    <row r="1093" spans="1:3" ht="11.25" customHeight="1" x14ac:dyDescent="0.2">
      <c r="A1093" s="26" t="s">
        <v>1131</v>
      </c>
      <c r="B1093" s="26"/>
      <c r="C1093" s="26"/>
    </row>
    <row r="1094" spans="1:3" ht="11.25" customHeight="1" x14ac:dyDescent="0.2">
      <c r="A1094" s="26" t="s">
        <v>1132</v>
      </c>
      <c r="B1094" s="26"/>
      <c r="C1094" s="26"/>
    </row>
    <row r="1095" spans="1:3" ht="11.25" customHeight="1" x14ac:dyDescent="0.2">
      <c r="A1095" s="26" t="s">
        <v>1133</v>
      </c>
      <c r="B1095" s="26"/>
      <c r="C1095" s="26"/>
    </row>
    <row r="1096" spans="1:3" ht="11.25" customHeight="1" x14ac:dyDescent="0.2">
      <c r="A1096" s="26" t="s">
        <v>1134</v>
      </c>
      <c r="B1096" s="26"/>
      <c r="C1096" s="26"/>
    </row>
    <row r="1097" spans="1:3" ht="11.25" customHeight="1" x14ac:dyDescent="0.2">
      <c r="A1097" s="26" t="s">
        <v>1135</v>
      </c>
      <c r="B1097" s="26"/>
      <c r="C1097" s="26"/>
    </row>
    <row r="1098" spans="1:3" ht="11.25" customHeight="1" x14ac:dyDescent="0.2">
      <c r="A1098" s="26" t="s">
        <v>1136</v>
      </c>
      <c r="B1098" s="26"/>
      <c r="C1098" s="26"/>
    </row>
    <row r="1099" spans="1:3" ht="11.25" customHeight="1" x14ac:dyDescent="0.2">
      <c r="A1099" s="26" t="s">
        <v>1137</v>
      </c>
      <c r="B1099" s="26"/>
      <c r="C1099" s="26"/>
    </row>
    <row r="1100" spans="1:3" ht="11.25" customHeight="1" x14ac:dyDescent="0.2">
      <c r="A1100" s="26" t="s">
        <v>1138</v>
      </c>
      <c r="B1100" s="26"/>
      <c r="C1100" s="26"/>
    </row>
    <row r="1101" spans="1:3" ht="11.25" customHeight="1" x14ac:dyDescent="0.2">
      <c r="A1101" s="26" t="s">
        <v>1139</v>
      </c>
      <c r="B1101" s="26"/>
      <c r="C1101" s="26"/>
    </row>
    <row r="1102" spans="1:3" ht="11.25" customHeight="1" x14ac:dyDescent="0.2">
      <c r="A1102" s="26" t="s">
        <v>1140</v>
      </c>
      <c r="B1102" s="26"/>
      <c r="C1102" s="26"/>
    </row>
    <row r="1103" spans="1:3" ht="11.25" customHeight="1" x14ac:dyDescent="0.2">
      <c r="A1103" s="26" t="s">
        <v>1141</v>
      </c>
      <c r="B1103" s="26"/>
      <c r="C1103" s="26"/>
    </row>
    <row r="1104" spans="1:3" ht="11.25" customHeight="1" x14ac:dyDescent="0.2">
      <c r="A1104" s="26" t="s">
        <v>1142</v>
      </c>
      <c r="B1104" s="26"/>
      <c r="C1104" s="26"/>
    </row>
    <row r="1105" spans="1:3" ht="11.25" customHeight="1" x14ac:dyDescent="0.2">
      <c r="A1105" s="26" t="s">
        <v>1143</v>
      </c>
      <c r="B1105" s="26"/>
      <c r="C1105" s="26"/>
    </row>
    <row r="1106" spans="1:3" ht="11.25" customHeight="1" x14ac:dyDescent="0.2">
      <c r="A1106" s="26" t="s">
        <v>1144</v>
      </c>
      <c r="B1106" s="26"/>
      <c r="C1106" s="26"/>
    </row>
    <row r="1107" spans="1:3" ht="11.25" customHeight="1" x14ac:dyDescent="0.2">
      <c r="A1107" s="26" t="s">
        <v>1145</v>
      </c>
      <c r="B1107" s="26"/>
      <c r="C1107" s="26"/>
    </row>
    <row r="1108" spans="1:3" ht="11.25" customHeight="1" x14ac:dyDescent="0.2">
      <c r="A1108" s="26" t="s">
        <v>1146</v>
      </c>
      <c r="B1108" s="26"/>
      <c r="C1108" s="26"/>
    </row>
    <row r="1109" spans="1:3" ht="11.25" customHeight="1" x14ac:dyDescent="0.2">
      <c r="A1109" s="26" t="s">
        <v>1147</v>
      </c>
      <c r="B1109" s="26"/>
      <c r="C1109" s="26"/>
    </row>
    <row r="1110" spans="1:3" ht="11.25" customHeight="1" x14ac:dyDescent="0.2">
      <c r="A1110" s="26" t="s">
        <v>1148</v>
      </c>
      <c r="B1110" s="26"/>
      <c r="C1110" s="26"/>
    </row>
    <row r="1111" spans="1:3" ht="11.25" customHeight="1" x14ac:dyDescent="0.2">
      <c r="A1111" s="26" t="s">
        <v>1149</v>
      </c>
      <c r="B1111" s="26"/>
      <c r="C1111" s="26"/>
    </row>
    <row r="1112" spans="1:3" ht="11.25" customHeight="1" x14ac:dyDescent="0.2">
      <c r="A1112" s="26" t="s">
        <v>1150</v>
      </c>
      <c r="B1112" s="26"/>
      <c r="C1112" s="26"/>
    </row>
    <row r="1113" spans="1:3" ht="11.25" customHeight="1" x14ac:dyDescent="0.2">
      <c r="A1113" s="26" t="s">
        <v>1151</v>
      </c>
      <c r="B1113" s="26"/>
      <c r="C1113" s="26"/>
    </row>
    <row r="1114" spans="1:3" ht="11.25" customHeight="1" x14ac:dyDescent="0.2">
      <c r="A1114" s="26" t="s">
        <v>1152</v>
      </c>
      <c r="B1114" s="26"/>
      <c r="C1114" s="26"/>
    </row>
    <row r="1115" spans="1:3" ht="11.25" customHeight="1" x14ac:dyDescent="0.2">
      <c r="A1115" s="26" t="s">
        <v>1153</v>
      </c>
      <c r="B1115" s="26"/>
      <c r="C1115" s="26"/>
    </row>
    <row r="1116" spans="1:3" ht="11.25" customHeight="1" x14ac:dyDescent="0.2">
      <c r="A1116" s="26" t="s">
        <v>1154</v>
      </c>
      <c r="B1116" s="26"/>
      <c r="C1116" s="26"/>
    </row>
    <row r="1117" spans="1:3" ht="11.25" customHeight="1" x14ac:dyDescent="0.2">
      <c r="A1117" s="26" t="s">
        <v>1155</v>
      </c>
      <c r="B1117" s="26"/>
      <c r="C1117" s="26"/>
    </row>
    <row r="1118" spans="1:3" ht="11.25" customHeight="1" x14ac:dyDescent="0.2">
      <c r="A1118" s="26" t="s">
        <v>1156</v>
      </c>
      <c r="B1118" s="26"/>
      <c r="C1118" s="26"/>
    </row>
    <row r="1119" spans="1:3" ht="11.25" customHeight="1" x14ac:dyDescent="0.2">
      <c r="A1119" s="26" t="s">
        <v>1157</v>
      </c>
      <c r="B1119" s="26"/>
      <c r="C1119" s="26"/>
    </row>
    <row r="1120" spans="1:3" ht="11.25" customHeight="1" x14ac:dyDescent="0.2">
      <c r="A1120" s="26" t="s">
        <v>1158</v>
      </c>
      <c r="B1120" s="26"/>
      <c r="C1120" s="26"/>
    </row>
    <row r="1121" spans="1:3" ht="11.25" customHeight="1" x14ac:dyDescent="0.2">
      <c r="A1121" s="26" t="s">
        <v>1159</v>
      </c>
      <c r="B1121" s="26"/>
      <c r="C1121" s="26"/>
    </row>
    <row r="1122" spans="1:3" ht="11.25" customHeight="1" x14ac:dyDescent="0.2">
      <c r="A1122" s="26" t="s">
        <v>1160</v>
      </c>
      <c r="B1122" s="26"/>
      <c r="C1122" s="26"/>
    </row>
    <row r="1123" spans="1:3" ht="11.25" customHeight="1" x14ac:dyDescent="0.2">
      <c r="A1123" s="26" t="s">
        <v>1161</v>
      </c>
      <c r="B1123" s="26"/>
      <c r="C1123" s="26"/>
    </row>
    <row r="1124" spans="1:3" ht="11.25" customHeight="1" x14ac:dyDescent="0.2">
      <c r="A1124" s="26" t="s">
        <v>1162</v>
      </c>
      <c r="B1124" s="26"/>
      <c r="C1124" s="26"/>
    </row>
    <row r="1125" spans="1:3" ht="11.25" customHeight="1" x14ac:dyDescent="0.2">
      <c r="A1125" s="26" t="s">
        <v>1163</v>
      </c>
      <c r="B1125" s="26"/>
      <c r="C1125" s="26"/>
    </row>
    <row r="1126" spans="1:3" ht="11.25" customHeight="1" x14ac:dyDescent="0.2">
      <c r="A1126" s="26" t="s">
        <v>1164</v>
      </c>
      <c r="B1126" s="26"/>
      <c r="C1126" s="26"/>
    </row>
    <row r="1127" spans="1:3" ht="11.25" customHeight="1" x14ac:dyDescent="0.2">
      <c r="A1127" s="26" t="s">
        <v>1165</v>
      </c>
      <c r="B1127" s="26"/>
      <c r="C1127" s="26"/>
    </row>
    <row r="1128" spans="1:3" ht="11.25" customHeight="1" x14ac:dyDescent="0.2">
      <c r="A1128" s="26" t="s">
        <v>1166</v>
      </c>
      <c r="B1128" s="26"/>
      <c r="C1128" s="26"/>
    </row>
    <row r="1129" spans="1:3" ht="11.25" customHeight="1" x14ac:dyDescent="0.2">
      <c r="A1129" s="26" t="s">
        <v>1167</v>
      </c>
      <c r="B1129" s="26"/>
      <c r="C1129" s="26"/>
    </row>
    <row r="1130" spans="1:3" ht="11.25" customHeight="1" x14ac:dyDescent="0.2">
      <c r="A1130" s="26" t="s">
        <v>1168</v>
      </c>
      <c r="B1130" s="26"/>
      <c r="C1130" s="26"/>
    </row>
    <row r="1131" spans="1:3" ht="11.25" customHeight="1" x14ac:dyDescent="0.2">
      <c r="A1131" s="26" t="s">
        <v>1169</v>
      </c>
      <c r="B1131" s="26"/>
      <c r="C1131" s="26"/>
    </row>
    <row r="1132" spans="1:3" ht="11.25" customHeight="1" x14ac:dyDescent="0.2">
      <c r="A1132" s="26" t="s">
        <v>1170</v>
      </c>
      <c r="B1132" s="26"/>
      <c r="C1132" s="26"/>
    </row>
    <row r="1133" spans="1:3" ht="11.25" customHeight="1" x14ac:dyDescent="0.2">
      <c r="A1133" s="26" t="s">
        <v>1171</v>
      </c>
      <c r="B1133" s="26"/>
      <c r="C1133" s="26"/>
    </row>
    <row r="1134" spans="1:3" ht="11.25" customHeight="1" x14ac:dyDescent="0.2">
      <c r="A1134" s="26" t="s">
        <v>1172</v>
      </c>
      <c r="B1134" s="26"/>
      <c r="C1134" s="26"/>
    </row>
    <row r="1135" spans="1:3" ht="11.25" customHeight="1" x14ac:dyDescent="0.2">
      <c r="A1135" s="26" t="s">
        <v>1173</v>
      </c>
      <c r="B1135" s="26"/>
      <c r="C1135" s="26"/>
    </row>
    <row r="1136" spans="1:3" ht="11.25" customHeight="1" x14ac:dyDescent="0.2">
      <c r="A1136" s="26" t="s">
        <v>1174</v>
      </c>
      <c r="B1136" s="26"/>
      <c r="C1136" s="26"/>
    </row>
    <row r="1137" spans="1:3" ht="11.25" customHeight="1" x14ac:dyDescent="0.2">
      <c r="A1137" s="26" t="s">
        <v>1175</v>
      </c>
      <c r="B1137" s="26"/>
      <c r="C1137" s="26"/>
    </row>
    <row r="1138" spans="1:3" ht="11.25" customHeight="1" x14ac:dyDescent="0.2">
      <c r="A1138" s="26" t="s">
        <v>1176</v>
      </c>
      <c r="B1138" s="26"/>
      <c r="C1138" s="26"/>
    </row>
    <row r="1139" spans="1:3" ht="11.25" customHeight="1" x14ac:dyDescent="0.2">
      <c r="A1139" s="26" t="s">
        <v>1177</v>
      </c>
      <c r="B1139" s="26"/>
      <c r="C1139" s="26"/>
    </row>
    <row r="1140" spans="1:3" ht="11.25" customHeight="1" x14ac:dyDescent="0.2">
      <c r="A1140" s="26" t="s">
        <v>1178</v>
      </c>
      <c r="B1140" s="26"/>
      <c r="C1140" s="26"/>
    </row>
    <row r="1141" spans="1:3" ht="11.25" customHeight="1" x14ac:dyDescent="0.2">
      <c r="A1141" s="26" t="s">
        <v>1179</v>
      </c>
      <c r="B1141" s="26"/>
      <c r="C1141" s="26"/>
    </row>
    <row r="1142" spans="1:3" ht="11.25" customHeight="1" x14ac:dyDescent="0.2">
      <c r="A1142" s="26" t="s">
        <v>1180</v>
      </c>
      <c r="B1142" s="26"/>
      <c r="C1142" s="26"/>
    </row>
    <row r="1143" spans="1:3" ht="11.25" customHeight="1" x14ac:dyDescent="0.2">
      <c r="A1143" s="26" t="s">
        <v>1181</v>
      </c>
      <c r="B1143" s="26"/>
      <c r="C1143" s="26"/>
    </row>
    <row r="1144" spans="1:3" ht="11.25" customHeight="1" x14ac:dyDescent="0.2">
      <c r="A1144" s="26" t="s">
        <v>1182</v>
      </c>
      <c r="B1144" s="26"/>
      <c r="C1144" s="26"/>
    </row>
    <row r="1145" spans="1:3" ht="11.25" customHeight="1" x14ac:dyDescent="0.2">
      <c r="A1145" s="26" t="s">
        <v>1183</v>
      </c>
      <c r="B1145" s="26"/>
      <c r="C1145" s="26"/>
    </row>
    <row r="1146" spans="1:3" ht="11.25" customHeight="1" x14ac:dyDescent="0.2">
      <c r="A1146" s="26" t="s">
        <v>1184</v>
      </c>
      <c r="B1146" s="26"/>
      <c r="C1146" s="26"/>
    </row>
    <row r="1147" spans="1:3" ht="11.25" customHeight="1" x14ac:dyDescent="0.2">
      <c r="A1147" s="26" t="s">
        <v>1185</v>
      </c>
      <c r="B1147" s="26"/>
      <c r="C1147" s="26"/>
    </row>
    <row r="1148" spans="1:3" ht="11.25" customHeight="1" x14ac:dyDescent="0.2">
      <c r="A1148" s="26" t="s">
        <v>1186</v>
      </c>
      <c r="B1148" s="26"/>
      <c r="C1148" s="26"/>
    </row>
    <row r="1149" spans="1:3" ht="11.25" customHeight="1" x14ac:dyDescent="0.2">
      <c r="A1149" s="26" t="s">
        <v>1187</v>
      </c>
      <c r="B1149" s="26"/>
      <c r="C1149" s="26"/>
    </row>
    <row r="1150" spans="1:3" ht="11.25" customHeight="1" x14ac:dyDescent="0.2">
      <c r="A1150" s="26" t="s">
        <v>1188</v>
      </c>
      <c r="B1150" s="26"/>
      <c r="C1150" s="26"/>
    </row>
    <row r="1151" spans="1:3" ht="11.25" customHeight="1" x14ac:dyDescent="0.2">
      <c r="A1151" s="26" t="s">
        <v>1189</v>
      </c>
      <c r="B1151" s="26"/>
      <c r="C1151" s="26"/>
    </row>
    <row r="1152" spans="1:3" ht="11.25" customHeight="1" x14ac:dyDescent="0.2">
      <c r="A1152" s="26" t="s">
        <v>1190</v>
      </c>
      <c r="B1152" s="26"/>
      <c r="C1152" s="26"/>
    </row>
    <row r="1153" spans="1:3" ht="11.25" customHeight="1" x14ac:dyDescent="0.2">
      <c r="A1153" s="26" t="s">
        <v>1191</v>
      </c>
      <c r="B1153" s="26"/>
      <c r="C1153" s="26"/>
    </row>
    <row r="1154" spans="1:3" ht="11.25" customHeight="1" x14ac:dyDescent="0.2">
      <c r="A1154" s="26" t="s">
        <v>1192</v>
      </c>
      <c r="B1154" s="26"/>
      <c r="C1154" s="26"/>
    </row>
    <row r="1155" spans="1:3" ht="11.25" customHeight="1" x14ac:dyDescent="0.2">
      <c r="A1155" s="26" t="s">
        <v>1193</v>
      </c>
      <c r="B1155" s="26"/>
      <c r="C1155" s="26"/>
    </row>
    <row r="1156" spans="1:3" ht="11.25" customHeight="1" x14ac:dyDescent="0.2">
      <c r="A1156" s="26" t="s">
        <v>1194</v>
      </c>
      <c r="B1156" s="26"/>
      <c r="C1156" s="26"/>
    </row>
    <row r="1157" spans="1:3" ht="11.25" customHeight="1" x14ac:dyDescent="0.2">
      <c r="A1157" s="26" t="s">
        <v>1195</v>
      </c>
      <c r="B1157" s="26"/>
      <c r="C1157" s="26"/>
    </row>
    <row r="1158" spans="1:3" ht="11.25" customHeight="1" x14ac:dyDescent="0.2">
      <c r="A1158" s="26" t="s">
        <v>1196</v>
      </c>
      <c r="B1158" s="26"/>
      <c r="C1158" s="26"/>
    </row>
    <row r="1159" spans="1:3" ht="11.25" customHeight="1" x14ac:dyDescent="0.2">
      <c r="A1159" s="26" t="s">
        <v>1197</v>
      </c>
      <c r="B1159" s="26"/>
      <c r="C1159" s="26"/>
    </row>
    <row r="1160" spans="1:3" ht="11.25" customHeight="1" x14ac:dyDescent="0.2">
      <c r="A1160" s="26" t="s">
        <v>1198</v>
      </c>
      <c r="B1160" s="26"/>
      <c r="C1160" s="26"/>
    </row>
    <row r="1161" spans="1:3" ht="11.25" customHeight="1" x14ac:dyDescent="0.2">
      <c r="A1161" s="26" t="s">
        <v>1199</v>
      </c>
      <c r="B1161" s="26"/>
      <c r="C1161" s="26"/>
    </row>
    <row r="1162" spans="1:3" ht="11.25" customHeight="1" x14ac:dyDescent="0.2">
      <c r="A1162" s="26" t="s">
        <v>1200</v>
      </c>
      <c r="B1162" s="26"/>
      <c r="C1162" s="26"/>
    </row>
    <row r="1163" spans="1:3" ht="11.25" customHeight="1" x14ac:dyDescent="0.2">
      <c r="A1163" s="26" t="s">
        <v>1201</v>
      </c>
      <c r="B1163" s="26"/>
      <c r="C1163" s="26"/>
    </row>
    <row r="1164" spans="1:3" ht="11.25" customHeight="1" x14ac:dyDescent="0.2">
      <c r="A1164" s="26" t="s">
        <v>1202</v>
      </c>
      <c r="B1164" s="26"/>
      <c r="C1164" s="26"/>
    </row>
    <row r="1165" spans="1:3" ht="11.25" customHeight="1" x14ac:dyDescent="0.2">
      <c r="A1165" s="26" t="s">
        <v>1203</v>
      </c>
      <c r="B1165" s="26"/>
      <c r="C1165" s="26"/>
    </row>
    <row r="1166" spans="1:3" ht="11.25" customHeight="1" x14ac:dyDescent="0.2">
      <c r="A1166" s="26" t="s">
        <v>1204</v>
      </c>
      <c r="B1166" s="26"/>
      <c r="C1166" s="26"/>
    </row>
    <row r="1167" spans="1:3" ht="11.25" customHeight="1" x14ac:dyDescent="0.2">
      <c r="A1167" s="26" t="s">
        <v>1205</v>
      </c>
      <c r="B1167" s="26"/>
      <c r="C1167" s="26"/>
    </row>
    <row r="1168" spans="1:3" ht="11.25" customHeight="1" x14ac:dyDescent="0.2">
      <c r="A1168" s="26" t="s">
        <v>1206</v>
      </c>
      <c r="B1168" s="26"/>
      <c r="C1168" s="26"/>
    </row>
    <row r="1169" spans="1:3" ht="11.25" customHeight="1" x14ac:dyDescent="0.2">
      <c r="A1169" s="26" t="s">
        <v>1207</v>
      </c>
      <c r="B1169" s="26"/>
      <c r="C1169" s="26"/>
    </row>
    <row r="1170" spans="1:3" ht="11.25" customHeight="1" x14ac:dyDescent="0.2">
      <c r="A1170" s="26" t="s">
        <v>1208</v>
      </c>
      <c r="B1170" s="26"/>
      <c r="C1170" s="26"/>
    </row>
    <row r="1171" spans="1:3" ht="11.25" customHeight="1" x14ac:dyDescent="0.2">
      <c r="A1171" s="26" t="s">
        <v>1209</v>
      </c>
      <c r="B1171" s="26"/>
      <c r="C1171" s="26"/>
    </row>
    <row r="1172" spans="1:3" ht="11.25" customHeight="1" x14ac:dyDescent="0.2">
      <c r="A1172" s="26" t="s">
        <v>1210</v>
      </c>
      <c r="B1172" s="26"/>
      <c r="C1172" s="26"/>
    </row>
    <row r="1173" spans="1:3" ht="11.25" customHeight="1" x14ac:dyDescent="0.2">
      <c r="A1173" s="26" t="s">
        <v>1211</v>
      </c>
      <c r="B1173" s="26"/>
      <c r="C1173" s="26"/>
    </row>
    <row r="1174" spans="1:3" ht="11.25" customHeight="1" x14ac:dyDescent="0.2">
      <c r="A1174" s="26" t="s">
        <v>1212</v>
      </c>
      <c r="B1174" s="26"/>
      <c r="C1174" s="26"/>
    </row>
    <row r="1175" spans="1:3" ht="11.25" customHeight="1" x14ac:dyDescent="0.2">
      <c r="A1175" s="26" t="s">
        <v>1213</v>
      </c>
      <c r="B1175" s="26"/>
      <c r="C1175" s="26"/>
    </row>
    <row r="1176" spans="1:3" ht="11.25" customHeight="1" x14ac:dyDescent="0.2">
      <c r="A1176" s="26" t="s">
        <v>1214</v>
      </c>
      <c r="B1176" s="26"/>
      <c r="C1176" s="26"/>
    </row>
    <row r="1177" spans="1:3" ht="11.25" customHeight="1" x14ac:dyDescent="0.2">
      <c r="A1177" s="26" t="s">
        <v>1215</v>
      </c>
      <c r="B1177" s="26"/>
      <c r="C1177" s="26"/>
    </row>
    <row r="1178" spans="1:3" ht="11.25" customHeight="1" x14ac:dyDescent="0.2">
      <c r="A1178" s="26" t="s">
        <v>1216</v>
      </c>
      <c r="B1178" s="26"/>
      <c r="C1178" s="26"/>
    </row>
    <row r="1179" spans="1:3" ht="11.25" customHeight="1" x14ac:dyDescent="0.2">
      <c r="A1179" s="26" t="s">
        <v>1217</v>
      </c>
      <c r="B1179" s="26"/>
      <c r="C1179" s="26"/>
    </row>
    <row r="1180" spans="1:3" ht="11.25" customHeight="1" x14ac:dyDescent="0.2">
      <c r="A1180" s="26" t="s">
        <v>1218</v>
      </c>
      <c r="B1180" s="26"/>
      <c r="C1180" s="26"/>
    </row>
    <row r="1181" spans="1:3" ht="11.25" customHeight="1" x14ac:dyDescent="0.2">
      <c r="A1181" s="26" t="s">
        <v>1219</v>
      </c>
      <c r="B1181" s="26"/>
      <c r="C1181" s="26"/>
    </row>
    <row r="1182" spans="1:3" ht="11.25" customHeight="1" x14ac:dyDescent="0.2">
      <c r="A1182" s="26" t="s">
        <v>1220</v>
      </c>
      <c r="B1182" s="26"/>
      <c r="C1182" s="26"/>
    </row>
    <row r="1183" spans="1:3" ht="11.25" customHeight="1" x14ac:dyDescent="0.2">
      <c r="A1183" s="26" t="s">
        <v>1221</v>
      </c>
      <c r="B1183" s="26"/>
      <c r="C1183" s="26"/>
    </row>
    <row r="1184" spans="1:3" ht="11.25" customHeight="1" x14ac:dyDescent="0.2">
      <c r="A1184" s="26" t="s">
        <v>1222</v>
      </c>
      <c r="B1184" s="26"/>
      <c r="C1184" s="26"/>
    </row>
    <row r="1185" spans="1:3" ht="11.25" customHeight="1" x14ac:dyDescent="0.2">
      <c r="A1185" s="26" t="s">
        <v>1223</v>
      </c>
      <c r="B1185" s="26"/>
      <c r="C1185" s="26"/>
    </row>
    <row r="1186" spans="1:3" ht="11.25" customHeight="1" x14ac:dyDescent="0.2">
      <c r="A1186" s="26" t="s">
        <v>1224</v>
      </c>
      <c r="B1186" s="26"/>
      <c r="C1186" s="26"/>
    </row>
    <row r="1187" spans="1:3" ht="11.25" customHeight="1" x14ac:dyDescent="0.2">
      <c r="A1187" s="26" t="s">
        <v>1225</v>
      </c>
      <c r="B1187" s="26"/>
      <c r="C1187" s="26"/>
    </row>
    <row r="1188" spans="1:3" ht="11.25" customHeight="1" x14ac:dyDescent="0.2">
      <c r="A1188" s="26" t="s">
        <v>1226</v>
      </c>
      <c r="B1188" s="26"/>
      <c r="C1188" s="26"/>
    </row>
    <row r="1189" spans="1:3" ht="11.25" customHeight="1" x14ac:dyDescent="0.2">
      <c r="A1189" s="26" t="s">
        <v>1227</v>
      </c>
      <c r="B1189" s="26"/>
      <c r="C1189" s="26"/>
    </row>
    <row r="1190" spans="1:3" ht="11.25" customHeight="1" x14ac:dyDescent="0.2">
      <c r="A1190" s="26" t="s">
        <v>1228</v>
      </c>
      <c r="B1190" s="26"/>
      <c r="C1190" s="26"/>
    </row>
    <row r="1191" spans="1:3" ht="11.25" customHeight="1" x14ac:dyDescent="0.2">
      <c r="A1191" s="26" t="s">
        <v>1229</v>
      </c>
      <c r="B1191" s="26"/>
      <c r="C1191" s="26"/>
    </row>
    <row r="1192" spans="1:3" ht="11.25" customHeight="1" x14ac:dyDescent="0.2">
      <c r="A1192" s="26" t="s">
        <v>1230</v>
      </c>
      <c r="B1192" s="26"/>
      <c r="C1192" s="26"/>
    </row>
    <row r="1193" spans="1:3" ht="11.25" customHeight="1" x14ac:dyDescent="0.2">
      <c r="A1193" s="26" t="s">
        <v>1231</v>
      </c>
      <c r="B1193" s="26"/>
      <c r="C1193" s="26"/>
    </row>
    <row r="1194" spans="1:3" ht="11.25" customHeight="1" x14ac:dyDescent="0.2">
      <c r="A1194" s="26" t="s">
        <v>1232</v>
      </c>
      <c r="B1194" s="26"/>
      <c r="C1194" s="26"/>
    </row>
    <row r="1195" spans="1:3" ht="11.25" customHeight="1" x14ac:dyDescent="0.2">
      <c r="A1195" s="26" t="s">
        <v>1233</v>
      </c>
      <c r="B1195" s="26"/>
      <c r="C1195" s="26"/>
    </row>
    <row r="1196" spans="1:3" ht="11.25" customHeight="1" x14ac:dyDescent="0.2">
      <c r="A1196" s="26" t="s">
        <v>1234</v>
      </c>
      <c r="B1196" s="26"/>
      <c r="C1196" s="26"/>
    </row>
    <row r="1197" spans="1:3" ht="11.25" customHeight="1" x14ac:dyDescent="0.2">
      <c r="A1197" s="26" t="s">
        <v>1235</v>
      </c>
      <c r="B1197" s="26"/>
      <c r="C1197" s="26"/>
    </row>
    <row r="1198" spans="1:3" ht="11.25" customHeight="1" x14ac:dyDescent="0.2">
      <c r="A1198" s="26" t="s">
        <v>1236</v>
      </c>
      <c r="B1198" s="26"/>
      <c r="C1198" s="26"/>
    </row>
    <row r="1199" spans="1:3" ht="11.25" customHeight="1" x14ac:dyDescent="0.2">
      <c r="A1199" s="26" t="s">
        <v>1237</v>
      </c>
      <c r="B1199" s="26"/>
      <c r="C1199" s="26"/>
    </row>
    <row r="1200" spans="1:3" ht="11.25" customHeight="1" x14ac:dyDescent="0.2">
      <c r="A1200" s="26" t="s">
        <v>1238</v>
      </c>
      <c r="B1200" s="26"/>
      <c r="C1200" s="26"/>
    </row>
    <row r="1201" spans="1:3" ht="11.25" customHeight="1" x14ac:dyDescent="0.2">
      <c r="A1201" s="26" t="s">
        <v>1239</v>
      </c>
      <c r="B1201" s="26"/>
      <c r="C1201" s="26"/>
    </row>
    <row r="1202" spans="1:3" ht="11.25" customHeight="1" x14ac:dyDescent="0.2">
      <c r="A1202" s="26" t="s">
        <v>1240</v>
      </c>
      <c r="B1202" s="26"/>
      <c r="C1202" s="26"/>
    </row>
    <row r="1203" spans="1:3" ht="11.25" customHeight="1" x14ac:dyDescent="0.2">
      <c r="A1203" s="26" t="s">
        <v>1241</v>
      </c>
      <c r="B1203" s="26"/>
      <c r="C1203" s="26"/>
    </row>
    <row r="1204" spans="1:3" ht="11.25" customHeight="1" x14ac:dyDescent="0.2">
      <c r="A1204" s="26" t="s">
        <v>1242</v>
      </c>
      <c r="B1204" s="26"/>
      <c r="C1204" s="26"/>
    </row>
    <row r="1205" spans="1:3" ht="11.25" customHeight="1" x14ac:dyDescent="0.2">
      <c r="A1205" s="26" t="s">
        <v>1243</v>
      </c>
      <c r="B1205" s="26"/>
      <c r="C1205" s="26"/>
    </row>
    <row r="1206" spans="1:3" ht="11.25" customHeight="1" x14ac:dyDescent="0.2">
      <c r="A1206" s="26" t="s">
        <v>1244</v>
      </c>
      <c r="B1206" s="26"/>
      <c r="C1206" s="26"/>
    </row>
    <row r="1207" spans="1:3" ht="11.25" customHeight="1" x14ac:dyDescent="0.2">
      <c r="A1207" s="26" t="s">
        <v>1245</v>
      </c>
      <c r="B1207" s="26"/>
      <c r="C1207" s="26"/>
    </row>
    <row r="1208" spans="1:3" ht="11.25" customHeight="1" x14ac:dyDescent="0.2">
      <c r="A1208" s="26" t="s">
        <v>1246</v>
      </c>
      <c r="B1208" s="26"/>
      <c r="C1208" s="26"/>
    </row>
    <row r="1209" spans="1:3" ht="11.25" customHeight="1" x14ac:dyDescent="0.2">
      <c r="A1209" s="26" t="s">
        <v>1247</v>
      </c>
      <c r="B1209" s="26"/>
      <c r="C1209" s="26"/>
    </row>
    <row r="1210" spans="1:3" ht="11.25" customHeight="1" x14ac:dyDescent="0.2">
      <c r="A1210" s="26" t="s">
        <v>1248</v>
      </c>
      <c r="B1210" s="26"/>
      <c r="C1210" s="26"/>
    </row>
    <row r="1211" spans="1:3" ht="11.25" customHeight="1" x14ac:dyDescent="0.2">
      <c r="A1211" s="26" t="s">
        <v>1249</v>
      </c>
      <c r="B1211" s="26"/>
      <c r="C1211" s="26"/>
    </row>
    <row r="1212" spans="1:3" ht="11.25" customHeight="1" x14ac:dyDescent="0.2">
      <c r="A1212" s="26" t="s">
        <v>1250</v>
      </c>
      <c r="B1212" s="26"/>
      <c r="C1212" s="26"/>
    </row>
    <row r="1213" spans="1:3" ht="11.25" customHeight="1" x14ac:dyDescent="0.2">
      <c r="A1213" s="26" t="s">
        <v>1251</v>
      </c>
      <c r="B1213" s="26"/>
      <c r="C1213" s="26"/>
    </row>
    <row r="1214" spans="1:3" ht="11.25" customHeight="1" x14ac:dyDescent="0.2">
      <c r="A1214" s="26" t="s">
        <v>1252</v>
      </c>
      <c r="B1214" s="26"/>
      <c r="C1214" s="26"/>
    </row>
    <row r="1215" spans="1:3" ht="11.25" customHeight="1" x14ac:dyDescent="0.2">
      <c r="A1215" s="26" t="s">
        <v>1253</v>
      </c>
      <c r="B1215" s="26"/>
      <c r="C1215" s="26"/>
    </row>
    <row r="1216" spans="1:3" ht="11.25" customHeight="1" x14ac:dyDescent="0.2">
      <c r="A1216" s="26" t="s">
        <v>1254</v>
      </c>
      <c r="B1216" s="26"/>
      <c r="C1216" s="26"/>
    </row>
    <row r="1217" spans="1:3" ht="11.25" customHeight="1" x14ac:dyDescent="0.2">
      <c r="A1217" s="26" t="s">
        <v>1255</v>
      </c>
      <c r="B1217" s="26"/>
      <c r="C1217" s="26"/>
    </row>
    <row r="1218" spans="1:3" ht="11.25" customHeight="1" x14ac:dyDescent="0.2">
      <c r="A1218" s="26" t="s">
        <v>1256</v>
      </c>
      <c r="B1218" s="26"/>
      <c r="C1218" s="26"/>
    </row>
    <row r="1219" spans="1:3" ht="11.25" customHeight="1" x14ac:dyDescent="0.2">
      <c r="A1219" s="26" t="s">
        <v>1257</v>
      </c>
      <c r="B1219" s="26"/>
      <c r="C1219" s="26"/>
    </row>
    <row r="1220" spans="1:3" ht="11.25" customHeight="1" x14ac:dyDescent="0.2">
      <c r="A1220" s="26" t="s">
        <v>1258</v>
      </c>
      <c r="B1220" s="26"/>
      <c r="C1220" s="26"/>
    </row>
    <row r="1221" spans="1:3" ht="11.25" customHeight="1" x14ac:dyDescent="0.2">
      <c r="A1221" s="26" t="s">
        <v>1259</v>
      </c>
      <c r="B1221" s="26"/>
      <c r="C1221" s="26"/>
    </row>
    <row r="1222" spans="1:3" ht="11.25" customHeight="1" x14ac:dyDescent="0.2">
      <c r="A1222" s="26" t="s">
        <v>1260</v>
      </c>
      <c r="B1222" s="26"/>
      <c r="C1222" s="26"/>
    </row>
    <row r="1223" spans="1:3" ht="11.25" customHeight="1" x14ac:dyDescent="0.2">
      <c r="A1223" s="26" t="s">
        <v>1261</v>
      </c>
      <c r="B1223" s="26"/>
      <c r="C1223" s="26"/>
    </row>
    <row r="1224" spans="1:3" ht="11.25" customHeight="1" x14ac:dyDescent="0.2">
      <c r="A1224" s="26" t="s">
        <v>1262</v>
      </c>
      <c r="B1224" s="26"/>
      <c r="C1224" s="26"/>
    </row>
    <row r="1225" spans="1:3" ht="11.25" customHeight="1" x14ac:dyDescent="0.2">
      <c r="A1225" s="26" t="s">
        <v>1263</v>
      </c>
      <c r="B1225" s="26"/>
      <c r="C1225" s="26"/>
    </row>
    <row r="1226" spans="1:3" ht="11.25" customHeight="1" x14ac:dyDescent="0.2">
      <c r="A1226" s="26" t="s">
        <v>1264</v>
      </c>
      <c r="B1226" s="26"/>
      <c r="C1226" s="26"/>
    </row>
    <row r="1227" spans="1:3" ht="11.25" customHeight="1" x14ac:dyDescent="0.2">
      <c r="A1227" s="26" t="s">
        <v>1265</v>
      </c>
      <c r="B1227" s="26"/>
      <c r="C1227" s="26"/>
    </row>
    <row r="1228" spans="1:3" ht="11.25" customHeight="1" x14ac:dyDescent="0.2">
      <c r="A1228" s="26" t="s">
        <v>1266</v>
      </c>
      <c r="B1228" s="26"/>
      <c r="C1228" s="26"/>
    </row>
    <row r="1229" spans="1:3" ht="11.25" customHeight="1" x14ac:dyDescent="0.2">
      <c r="A1229" s="26" t="s">
        <v>1267</v>
      </c>
      <c r="B1229" s="26"/>
      <c r="C1229" s="26"/>
    </row>
    <row r="1230" spans="1:3" ht="11.25" customHeight="1" x14ac:dyDescent="0.2">
      <c r="A1230" s="26" t="s">
        <v>1268</v>
      </c>
      <c r="B1230" s="26"/>
      <c r="C1230" s="26"/>
    </row>
    <row r="1231" spans="1:3" ht="11.25" customHeight="1" x14ac:dyDescent="0.2">
      <c r="A1231" s="26" t="s">
        <v>1269</v>
      </c>
      <c r="B1231" s="26"/>
      <c r="C1231" s="26"/>
    </row>
    <row r="1232" spans="1:3" ht="11.25" customHeight="1" x14ac:dyDescent="0.2">
      <c r="A1232" s="26" t="s">
        <v>1270</v>
      </c>
      <c r="B1232" s="26"/>
      <c r="C1232" s="26"/>
    </row>
    <row r="1233" spans="1:3" ht="11.25" customHeight="1" x14ac:dyDescent="0.2">
      <c r="A1233" s="26" t="s">
        <v>1271</v>
      </c>
      <c r="B1233" s="26"/>
      <c r="C1233" s="26"/>
    </row>
    <row r="1234" spans="1:3" ht="11.25" customHeight="1" x14ac:dyDescent="0.2">
      <c r="A1234" s="26" t="s">
        <v>1272</v>
      </c>
      <c r="B1234" s="26"/>
      <c r="C1234" s="26"/>
    </row>
    <row r="1235" spans="1:3" ht="11.25" customHeight="1" x14ac:dyDescent="0.2">
      <c r="A1235" s="26" t="s">
        <v>1273</v>
      </c>
      <c r="B1235" s="26"/>
      <c r="C1235" s="26"/>
    </row>
    <row r="1236" spans="1:3" ht="11.25" customHeight="1" x14ac:dyDescent="0.2">
      <c r="A1236" s="26" t="s">
        <v>1274</v>
      </c>
      <c r="B1236" s="26"/>
      <c r="C1236" s="26"/>
    </row>
    <row r="1237" spans="1:3" ht="11.25" customHeight="1" x14ac:dyDescent="0.2">
      <c r="A1237" s="26" t="s">
        <v>1275</v>
      </c>
      <c r="B1237" s="26"/>
      <c r="C1237" s="26"/>
    </row>
    <row r="1238" spans="1:3" ht="11.25" customHeight="1" x14ac:dyDescent="0.2">
      <c r="A1238" s="26" t="s">
        <v>1276</v>
      </c>
      <c r="B1238" s="26"/>
      <c r="C1238" s="26"/>
    </row>
    <row r="1239" spans="1:3" ht="11.25" customHeight="1" x14ac:dyDescent="0.2">
      <c r="A1239" s="26" t="s">
        <v>1277</v>
      </c>
      <c r="B1239" s="26"/>
      <c r="C1239" s="26"/>
    </row>
    <row r="1240" spans="1:3" ht="11.25" customHeight="1" x14ac:dyDescent="0.2">
      <c r="A1240" s="26" t="s">
        <v>1278</v>
      </c>
      <c r="B1240" s="26"/>
      <c r="C1240" s="26"/>
    </row>
    <row r="1241" spans="1:3" ht="11.25" customHeight="1" x14ac:dyDescent="0.2">
      <c r="A1241" s="26" t="s">
        <v>1279</v>
      </c>
      <c r="B1241" s="26"/>
      <c r="C1241" s="26"/>
    </row>
    <row r="1242" spans="1:3" ht="11.25" customHeight="1" x14ac:dyDescent="0.2">
      <c r="A1242" s="26" t="s">
        <v>1280</v>
      </c>
      <c r="B1242" s="26"/>
      <c r="C1242" s="26"/>
    </row>
    <row r="1243" spans="1:3" ht="11.25" customHeight="1" x14ac:dyDescent="0.2">
      <c r="A1243" s="26" t="s">
        <v>1281</v>
      </c>
      <c r="B1243" s="26"/>
      <c r="C1243" s="26"/>
    </row>
    <row r="1244" spans="1:3" ht="11.25" customHeight="1" x14ac:dyDescent="0.2">
      <c r="A1244" s="26" t="s">
        <v>1282</v>
      </c>
      <c r="B1244" s="26"/>
      <c r="C1244" s="26"/>
    </row>
    <row r="1245" spans="1:3" ht="11.25" customHeight="1" x14ac:dyDescent="0.2">
      <c r="A1245" s="26" t="s">
        <v>1283</v>
      </c>
      <c r="B1245" s="26"/>
      <c r="C1245" s="26"/>
    </row>
    <row r="1246" spans="1:3" ht="11.25" customHeight="1" x14ac:dyDescent="0.2">
      <c r="A1246" s="26" t="s">
        <v>1284</v>
      </c>
      <c r="B1246" s="26"/>
      <c r="C1246" s="26"/>
    </row>
    <row r="1247" spans="1:3" ht="11.25" customHeight="1" x14ac:dyDescent="0.2">
      <c r="A1247" s="26" t="s">
        <v>1285</v>
      </c>
      <c r="B1247" s="26"/>
      <c r="C1247" s="26"/>
    </row>
    <row r="1248" spans="1:3" ht="11.25" customHeight="1" x14ac:dyDescent="0.2">
      <c r="A1248" s="26" t="s">
        <v>1286</v>
      </c>
      <c r="B1248" s="26"/>
      <c r="C1248" s="26"/>
    </row>
    <row r="1249" spans="1:3" ht="11.25" customHeight="1" x14ac:dyDescent="0.2">
      <c r="A1249" s="26" t="s">
        <v>1287</v>
      </c>
      <c r="B1249" s="26"/>
      <c r="C1249" s="26"/>
    </row>
    <row r="1250" spans="1:3" ht="11.25" customHeight="1" x14ac:dyDescent="0.2">
      <c r="A1250" s="26" t="s">
        <v>1288</v>
      </c>
      <c r="B1250" s="26"/>
      <c r="C1250" s="26"/>
    </row>
    <row r="1251" spans="1:3" ht="11.25" customHeight="1" x14ac:dyDescent="0.2">
      <c r="A1251" s="26" t="s">
        <v>1289</v>
      </c>
      <c r="B1251" s="26"/>
      <c r="C1251" s="26"/>
    </row>
    <row r="1252" spans="1:3" ht="11.25" customHeight="1" x14ac:dyDescent="0.2">
      <c r="A1252" s="26" t="s">
        <v>1290</v>
      </c>
      <c r="B1252" s="26"/>
      <c r="C1252" s="26"/>
    </row>
    <row r="1253" spans="1:3" ht="11.25" customHeight="1" x14ac:dyDescent="0.2">
      <c r="A1253" s="26" t="s">
        <v>1291</v>
      </c>
      <c r="B1253" s="26"/>
      <c r="C1253" s="26"/>
    </row>
    <row r="1254" spans="1:3" ht="11.25" customHeight="1" x14ac:dyDescent="0.2">
      <c r="A1254" s="26" t="s">
        <v>1292</v>
      </c>
      <c r="B1254" s="26"/>
      <c r="C1254" s="26"/>
    </row>
    <row r="1255" spans="1:3" ht="11.25" customHeight="1" x14ac:dyDescent="0.2">
      <c r="A1255" s="26" t="s">
        <v>1293</v>
      </c>
      <c r="B1255" s="26"/>
      <c r="C1255" s="26"/>
    </row>
    <row r="1256" spans="1:3" ht="11.25" customHeight="1" x14ac:dyDescent="0.2">
      <c r="A1256" s="26" t="s">
        <v>1294</v>
      </c>
      <c r="B1256" s="26"/>
      <c r="C1256" s="26"/>
    </row>
    <row r="1257" spans="1:3" ht="11.25" customHeight="1" x14ac:dyDescent="0.2">
      <c r="A1257" s="26" t="s">
        <v>1295</v>
      </c>
      <c r="B1257" s="26"/>
      <c r="C1257" s="26"/>
    </row>
    <row r="1258" spans="1:3" ht="11.25" customHeight="1" x14ac:dyDescent="0.2">
      <c r="A1258" s="26" t="s">
        <v>1296</v>
      </c>
      <c r="B1258" s="26"/>
      <c r="C1258" s="26"/>
    </row>
    <row r="1259" spans="1:3" ht="11.25" customHeight="1" x14ac:dyDescent="0.2">
      <c r="A1259" s="26" t="s">
        <v>1297</v>
      </c>
      <c r="B1259" s="26"/>
      <c r="C1259" s="26"/>
    </row>
    <row r="1260" spans="1:3" ht="11.25" customHeight="1" x14ac:dyDescent="0.2">
      <c r="A1260" s="26" t="s">
        <v>1298</v>
      </c>
      <c r="B1260" s="26"/>
      <c r="C1260" s="26"/>
    </row>
    <row r="1261" spans="1:3" ht="11.25" customHeight="1" x14ac:dyDescent="0.2">
      <c r="A1261" s="26" t="s">
        <v>1299</v>
      </c>
      <c r="B1261" s="26"/>
      <c r="C1261" s="26"/>
    </row>
    <row r="1262" spans="1:3" ht="11.25" customHeight="1" x14ac:dyDescent="0.2">
      <c r="A1262" s="26" t="s">
        <v>1300</v>
      </c>
      <c r="B1262" s="26"/>
      <c r="C1262" s="26"/>
    </row>
    <row r="1263" spans="1:3" ht="11.25" customHeight="1" x14ac:dyDescent="0.2">
      <c r="A1263" s="26" t="s">
        <v>1301</v>
      </c>
      <c r="B1263" s="26"/>
      <c r="C1263" s="26"/>
    </row>
    <row r="1264" spans="1:3" ht="11.25" customHeight="1" x14ac:dyDescent="0.2">
      <c r="A1264" s="26" t="s">
        <v>1302</v>
      </c>
      <c r="B1264" s="26"/>
      <c r="C1264" s="26"/>
    </row>
    <row r="1265" spans="1:3" ht="11.25" customHeight="1" x14ac:dyDescent="0.2">
      <c r="A1265" s="26" t="s">
        <v>1303</v>
      </c>
      <c r="B1265" s="26"/>
      <c r="C1265" s="26"/>
    </row>
    <row r="1266" spans="1:3" ht="11.25" customHeight="1" x14ac:dyDescent="0.2">
      <c r="A1266" s="26" t="s">
        <v>1304</v>
      </c>
      <c r="B1266" s="26"/>
      <c r="C1266" s="26"/>
    </row>
    <row r="1267" spans="1:3" ht="11.25" customHeight="1" x14ac:dyDescent="0.2">
      <c r="A1267" s="26" t="s">
        <v>1305</v>
      </c>
      <c r="B1267" s="26"/>
      <c r="C1267" s="26"/>
    </row>
    <row r="1268" spans="1:3" ht="11.25" customHeight="1" x14ac:dyDescent="0.2">
      <c r="A1268" s="26" t="s">
        <v>1306</v>
      </c>
      <c r="B1268" s="26"/>
      <c r="C1268" s="26"/>
    </row>
    <row r="1269" spans="1:3" ht="11.25" customHeight="1" x14ac:dyDescent="0.2">
      <c r="A1269" s="26" t="s">
        <v>1307</v>
      </c>
      <c r="B1269" s="26"/>
      <c r="C1269" s="26"/>
    </row>
    <row r="1270" spans="1:3" ht="11.25" customHeight="1" x14ac:dyDescent="0.2">
      <c r="A1270" s="26" t="s">
        <v>1308</v>
      </c>
      <c r="B1270" s="26"/>
      <c r="C1270" s="26"/>
    </row>
    <row r="1271" spans="1:3" ht="11.25" customHeight="1" x14ac:dyDescent="0.2">
      <c r="A1271" s="26" t="s">
        <v>1309</v>
      </c>
      <c r="B1271" s="26"/>
      <c r="C1271" s="26"/>
    </row>
    <row r="1272" spans="1:3" ht="11.25" customHeight="1" x14ac:dyDescent="0.2">
      <c r="A1272" s="26" t="s">
        <v>1310</v>
      </c>
      <c r="B1272" s="26"/>
      <c r="C1272" s="26"/>
    </row>
    <row r="1273" spans="1:3" ht="11.25" customHeight="1" x14ac:dyDescent="0.2">
      <c r="A1273" s="26" t="s">
        <v>1311</v>
      </c>
      <c r="B1273" s="26"/>
      <c r="C1273" s="26"/>
    </row>
    <row r="1274" spans="1:3" ht="11.25" customHeight="1" x14ac:dyDescent="0.2">
      <c r="A1274" s="26" t="s">
        <v>1312</v>
      </c>
      <c r="B1274" s="26"/>
      <c r="C1274" s="26"/>
    </row>
    <row r="1275" spans="1:3" ht="11.25" customHeight="1" x14ac:dyDescent="0.2">
      <c r="A1275" s="26" t="s">
        <v>1313</v>
      </c>
      <c r="B1275" s="26"/>
      <c r="C1275" s="26"/>
    </row>
    <row r="1276" spans="1:3" ht="11.25" customHeight="1" x14ac:dyDescent="0.2">
      <c r="A1276" s="26" t="s">
        <v>1314</v>
      </c>
      <c r="B1276" s="26"/>
      <c r="C1276" s="26"/>
    </row>
    <row r="1277" spans="1:3" ht="11.25" customHeight="1" x14ac:dyDescent="0.2">
      <c r="A1277" s="26" t="s">
        <v>1315</v>
      </c>
      <c r="B1277" s="26"/>
      <c r="C1277" s="26"/>
    </row>
    <row r="1278" spans="1:3" ht="11.25" customHeight="1" x14ac:dyDescent="0.2">
      <c r="A1278" s="26" t="s">
        <v>1316</v>
      </c>
      <c r="B1278" s="26"/>
      <c r="C1278" s="26"/>
    </row>
    <row r="1279" spans="1:3" ht="11.25" customHeight="1" x14ac:dyDescent="0.2">
      <c r="A1279" s="26" t="s">
        <v>1317</v>
      </c>
      <c r="B1279" s="26"/>
      <c r="C1279" s="26"/>
    </row>
    <row r="1280" spans="1:3" ht="11.25" customHeight="1" x14ac:dyDescent="0.2">
      <c r="A1280" s="26" t="s">
        <v>1318</v>
      </c>
      <c r="B1280" s="26"/>
      <c r="C1280" s="26"/>
    </row>
    <row r="1281" spans="1:3" ht="11.25" customHeight="1" x14ac:dyDescent="0.2">
      <c r="A1281" s="26" t="s">
        <v>1319</v>
      </c>
      <c r="B1281" s="26"/>
      <c r="C1281" s="26"/>
    </row>
    <row r="1282" spans="1:3" ht="11.25" customHeight="1" x14ac:dyDescent="0.2">
      <c r="A1282" s="26" t="s">
        <v>1320</v>
      </c>
      <c r="B1282" s="26"/>
      <c r="C1282" s="26"/>
    </row>
    <row r="1283" spans="1:3" ht="11.25" customHeight="1" x14ac:dyDescent="0.2">
      <c r="A1283" s="26" t="s">
        <v>1321</v>
      </c>
      <c r="B1283" s="26"/>
      <c r="C1283" s="26"/>
    </row>
    <row r="1284" spans="1:3" ht="11.25" customHeight="1" x14ac:dyDescent="0.2">
      <c r="A1284" s="26" t="s">
        <v>1322</v>
      </c>
      <c r="B1284" s="26"/>
      <c r="C1284" s="26"/>
    </row>
    <row r="1285" spans="1:3" ht="11.25" customHeight="1" x14ac:dyDescent="0.2">
      <c r="A1285" s="26" t="s">
        <v>1323</v>
      </c>
      <c r="B1285" s="26"/>
      <c r="C1285" s="26"/>
    </row>
    <row r="1286" spans="1:3" ht="11.25" customHeight="1" x14ac:dyDescent="0.2">
      <c r="A1286" s="26" t="s">
        <v>1324</v>
      </c>
      <c r="B1286" s="26"/>
      <c r="C1286" s="26"/>
    </row>
    <row r="1287" spans="1:3" ht="11.25" customHeight="1" x14ac:dyDescent="0.2">
      <c r="A1287" s="26" t="s">
        <v>1325</v>
      </c>
      <c r="B1287" s="26"/>
      <c r="C1287" s="26"/>
    </row>
    <row r="1288" spans="1:3" ht="11.25" customHeight="1" x14ac:dyDescent="0.2">
      <c r="A1288" s="26" t="s">
        <v>1326</v>
      </c>
      <c r="B1288" s="26"/>
      <c r="C1288" s="26"/>
    </row>
    <row r="1289" spans="1:3" ht="11.25" customHeight="1" x14ac:dyDescent="0.2">
      <c r="A1289" s="26" t="s">
        <v>1327</v>
      </c>
      <c r="B1289" s="26"/>
      <c r="C1289" s="26"/>
    </row>
    <row r="1290" spans="1:3" ht="11.25" customHeight="1" x14ac:dyDescent="0.2">
      <c r="A1290" s="26" t="s">
        <v>1328</v>
      </c>
      <c r="B1290" s="26"/>
      <c r="C1290" s="26"/>
    </row>
    <row r="1291" spans="1:3" ht="11.25" customHeight="1" x14ac:dyDescent="0.2">
      <c r="A1291" s="26" t="s">
        <v>1329</v>
      </c>
      <c r="B1291" s="26"/>
      <c r="C1291" s="26"/>
    </row>
    <row r="1292" spans="1:3" ht="11.25" customHeight="1" x14ac:dyDescent="0.2">
      <c r="A1292" s="26" t="s">
        <v>1330</v>
      </c>
      <c r="B1292" s="26"/>
      <c r="C1292" s="26"/>
    </row>
    <row r="1293" spans="1:3" ht="11.25" customHeight="1" x14ac:dyDescent="0.2">
      <c r="A1293" s="26" t="s">
        <v>1331</v>
      </c>
      <c r="B1293" s="26"/>
      <c r="C1293" s="26"/>
    </row>
    <row r="1294" spans="1:3" ht="11.25" customHeight="1" x14ac:dyDescent="0.2">
      <c r="A1294" s="26" t="s">
        <v>1332</v>
      </c>
      <c r="B1294" s="26"/>
      <c r="C1294" s="26"/>
    </row>
    <row r="1295" spans="1:3" ht="11.25" customHeight="1" x14ac:dyDescent="0.2">
      <c r="A1295" s="26" t="s">
        <v>1333</v>
      </c>
      <c r="B1295" s="26"/>
      <c r="C1295" s="26"/>
    </row>
    <row r="1296" spans="1:3" ht="11.25" customHeight="1" x14ac:dyDescent="0.2">
      <c r="A1296" s="26" t="s">
        <v>1334</v>
      </c>
      <c r="B1296" s="26"/>
      <c r="C1296" s="26"/>
    </row>
    <row r="1297" spans="1:3" ht="11.25" customHeight="1" x14ac:dyDescent="0.2">
      <c r="A1297" s="26" t="s">
        <v>1335</v>
      </c>
      <c r="B1297" s="26"/>
      <c r="C1297" s="26"/>
    </row>
    <row r="1298" spans="1:3" ht="11.25" customHeight="1" x14ac:dyDescent="0.2">
      <c r="A1298" s="26" t="s">
        <v>1336</v>
      </c>
      <c r="B1298" s="26"/>
      <c r="C1298" s="26"/>
    </row>
    <row r="1299" spans="1:3" ht="11.25" customHeight="1" x14ac:dyDescent="0.2">
      <c r="A1299" s="26" t="s">
        <v>1337</v>
      </c>
      <c r="B1299" s="26"/>
      <c r="C1299" s="26"/>
    </row>
    <row r="1300" spans="1:3" ht="11.25" customHeight="1" x14ac:dyDescent="0.2">
      <c r="A1300" s="26" t="s">
        <v>1338</v>
      </c>
      <c r="B1300" s="26"/>
      <c r="C1300" s="26"/>
    </row>
    <row r="1301" spans="1:3" ht="11.25" customHeight="1" x14ac:dyDescent="0.2">
      <c r="A1301" s="26" t="s">
        <v>1339</v>
      </c>
      <c r="B1301" s="26"/>
      <c r="C1301" s="26"/>
    </row>
    <row r="1302" spans="1:3" ht="11.25" customHeight="1" x14ac:dyDescent="0.2">
      <c r="A1302" s="26" t="s">
        <v>1340</v>
      </c>
      <c r="B1302" s="26"/>
      <c r="C1302" s="26"/>
    </row>
    <row r="1303" spans="1:3" ht="11.25" customHeight="1" x14ac:dyDescent="0.2">
      <c r="A1303" s="26" t="s">
        <v>1341</v>
      </c>
      <c r="B1303" s="26"/>
      <c r="C1303" s="26"/>
    </row>
    <row r="1304" spans="1:3" ht="11.25" customHeight="1" x14ac:dyDescent="0.2">
      <c r="A1304" s="26" t="s">
        <v>1342</v>
      </c>
      <c r="B1304" s="26"/>
      <c r="C1304" s="26"/>
    </row>
    <row r="1305" spans="1:3" ht="11.25" customHeight="1" x14ac:dyDescent="0.2">
      <c r="A1305" s="26" t="s">
        <v>1343</v>
      </c>
      <c r="B1305" s="26"/>
      <c r="C1305" s="26"/>
    </row>
    <row r="1306" spans="1:3" ht="11.25" customHeight="1" x14ac:dyDescent="0.2">
      <c r="A1306" s="26" t="s">
        <v>1344</v>
      </c>
      <c r="B1306" s="26"/>
      <c r="C1306" s="26"/>
    </row>
    <row r="1307" spans="1:3" ht="11.25" customHeight="1" x14ac:dyDescent="0.2">
      <c r="A1307" s="26" t="s">
        <v>1345</v>
      </c>
      <c r="B1307" s="26"/>
      <c r="C1307" s="26"/>
    </row>
    <row r="1308" spans="1:3" ht="11.25" customHeight="1" x14ac:dyDescent="0.2">
      <c r="A1308" s="26" t="s">
        <v>1346</v>
      </c>
      <c r="B1308" s="26"/>
      <c r="C1308" s="26"/>
    </row>
    <row r="1309" spans="1:3" ht="11.25" customHeight="1" x14ac:dyDescent="0.2">
      <c r="A1309" s="26" t="s">
        <v>1347</v>
      </c>
      <c r="B1309" s="26"/>
      <c r="C1309" s="26"/>
    </row>
    <row r="1310" spans="1:3" ht="11.25" customHeight="1" x14ac:dyDescent="0.2">
      <c r="A1310" s="26" t="s">
        <v>1348</v>
      </c>
      <c r="B1310" s="26"/>
      <c r="C1310" s="26"/>
    </row>
    <row r="1311" spans="1:3" ht="11.25" customHeight="1" x14ac:dyDescent="0.2">
      <c r="A1311" s="26" t="s">
        <v>1349</v>
      </c>
      <c r="B1311" s="26"/>
      <c r="C1311" s="26"/>
    </row>
    <row r="1312" spans="1:3" ht="11.25" customHeight="1" x14ac:dyDescent="0.2">
      <c r="A1312" s="26" t="s">
        <v>1350</v>
      </c>
      <c r="B1312" s="26"/>
      <c r="C1312" s="26"/>
    </row>
    <row r="1313" spans="1:3" ht="11.25" customHeight="1" x14ac:dyDescent="0.2">
      <c r="A1313" s="26" t="s">
        <v>1351</v>
      </c>
      <c r="B1313" s="26"/>
      <c r="C1313" s="26"/>
    </row>
    <row r="1314" spans="1:3" ht="11.25" customHeight="1" x14ac:dyDescent="0.2">
      <c r="A1314" s="26" t="s">
        <v>1352</v>
      </c>
      <c r="B1314" s="26"/>
      <c r="C1314" s="26"/>
    </row>
    <row r="1315" spans="1:3" ht="11.25" customHeight="1" x14ac:dyDescent="0.2">
      <c r="A1315" s="26" t="s">
        <v>1353</v>
      </c>
      <c r="B1315" s="26"/>
      <c r="C1315" s="26"/>
    </row>
    <row r="1316" spans="1:3" ht="11.25" customHeight="1" x14ac:dyDescent="0.2">
      <c r="A1316" s="26" t="s">
        <v>1354</v>
      </c>
      <c r="B1316" s="26"/>
      <c r="C1316" s="26"/>
    </row>
    <row r="1317" spans="1:3" ht="11.25" customHeight="1" x14ac:dyDescent="0.2">
      <c r="A1317" s="26" t="s">
        <v>1355</v>
      </c>
      <c r="B1317" s="26"/>
      <c r="C1317" s="26"/>
    </row>
    <row r="1318" spans="1:3" ht="11.25" customHeight="1" x14ac:dyDescent="0.2">
      <c r="A1318" s="26" t="s">
        <v>1356</v>
      </c>
      <c r="B1318" s="26"/>
      <c r="C1318" s="26"/>
    </row>
    <row r="1319" spans="1:3" ht="11.25" customHeight="1" x14ac:dyDescent="0.2">
      <c r="A1319" s="26" t="s">
        <v>1357</v>
      </c>
      <c r="B1319" s="26"/>
      <c r="C1319" s="26"/>
    </row>
    <row r="1320" spans="1:3" ht="11.25" customHeight="1" x14ac:dyDescent="0.2">
      <c r="A1320" s="26" t="s">
        <v>1358</v>
      </c>
      <c r="B1320" s="26"/>
      <c r="C1320" s="26"/>
    </row>
    <row r="1321" spans="1:3" ht="11.25" customHeight="1" x14ac:dyDescent="0.2">
      <c r="A1321" s="26" t="s">
        <v>1359</v>
      </c>
      <c r="B1321" s="26"/>
      <c r="C1321" s="26"/>
    </row>
    <row r="1322" spans="1:3" ht="11.25" customHeight="1" x14ac:dyDescent="0.2">
      <c r="A1322" s="26" t="s">
        <v>1360</v>
      </c>
      <c r="B1322" s="26"/>
      <c r="C1322" s="26"/>
    </row>
    <row r="1323" spans="1:3" ht="11.25" customHeight="1" x14ac:dyDescent="0.2">
      <c r="A1323" s="26" t="s">
        <v>1361</v>
      </c>
      <c r="B1323" s="26"/>
      <c r="C1323" s="26"/>
    </row>
    <row r="1324" spans="1:3" ht="11.25" customHeight="1" x14ac:dyDescent="0.2">
      <c r="A1324" s="26" t="s">
        <v>1362</v>
      </c>
      <c r="B1324" s="26"/>
      <c r="C1324" s="26"/>
    </row>
    <row r="1325" spans="1:3" ht="11.25" customHeight="1" x14ac:dyDescent="0.2">
      <c r="A1325" s="26" t="s">
        <v>1363</v>
      </c>
      <c r="B1325" s="26"/>
      <c r="C1325" s="26"/>
    </row>
    <row r="1326" spans="1:3" ht="11.25" customHeight="1" x14ac:dyDescent="0.2">
      <c r="A1326" s="26" t="s">
        <v>1364</v>
      </c>
      <c r="B1326" s="26"/>
      <c r="C1326" s="26"/>
    </row>
    <row r="1327" spans="1:3" ht="11.25" customHeight="1" x14ac:dyDescent="0.2">
      <c r="A1327" s="26" t="s">
        <v>1365</v>
      </c>
      <c r="B1327" s="26"/>
      <c r="C1327" s="26"/>
    </row>
    <row r="1328" spans="1:3" ht="11.25" customHeight="1" x14ac:dyDescent="0.2">
      <c r="A1328" s="26" t="s">
        <v>1366</v>
      </c>
      <c r="B1328" s="26"/>
      <c r="C1328" s="26"/>
    </row>
    <row r="1329" spans="1:3" ht="11.25" customHeight="1" x14ac:dyDescent="0.2">
      <c r="A1329" s="26" t="s">
        <v>1367</v>
      </c>
      <c r="B1329" s="26"/>
      <c r="C1329" s="26"/>
    </row>
    <row r="1330" spans="1:3" ht="11.25" customHeight="1" x14ac:dyDescent="0.2">
      <c r="A1330" s="26" t="s">
        <v>1368</v>
      </c>
      <c r="B1330" s="26"/>
      <c r="C1330" s="26"/>
    </row>
    <row r="1331" spans="1:3" ht="11.25" customHeight="1" x14ac:dyDescent="0.2">
      <c r="A1331" s="26" t="s">
        <v>1369</v>
      </c>
      <c r="B1331" s="26"/>
      <c r="C1331" s="26"/>
    </row>
    <row r="1332" spans="1:3" ht="11.25" customHeight="1" x14ac:dyDescent="0.2">
      <c r="A1332" s="26" t="s">
        <v>1370</v>
      </c>
      <c r="B1332" s="26"/>
      <c r="C1332" s="26"/>
    </row>
    <row r="1333" spans="1:3" ht="11.25" customHeight="1" x14ac:dyDescent="0.2">
      <c r="A1333" s="26" t="s">
        <v>1371</v>
      </c>
      <c r="B1333" s="26"/>
      <c r="C1333" s="26"/>
    </row>
    <row r="1334" spans="1:3" ht="11.25" customHeight="1" x14ac:dyDescent="0.2">
      <c r="A1334" s="26" t="s">
        <v>1372</v>
      </c>
      <c r="B1334" s="26"/>
      <c r="C1334" s="26"/>
    </row>
    <row r="1335" spans="1:3" ht="11.25" customHeight="1" x14ac:dyDescent="0.2">
      <c r="A1335" s="26" t="s">
        <v>1373</v>
      </c>
      <c r="B1335" s="26"/>
      <c r="C1335" s="26"/>
    </row>
    <row r="1336" spans="1:3" ht="11.25" customHeight="1" x14ac:dyDescent="0.2">
      <c r="A1336" s="26" t="s">
        <v>1374</v>
      </c>
      <c r="B1336" s="26"/>
      <c r="C1336" s="26"/>
    </row>
    <row r="1337" spans="1:3" ht="11.25" customHeight="1" x14ac:dyDescent="0.2">
      <c r="A1337" s="26" t="s">
        <v>1375</v>
      </c>
      <c r="B1337" s="26"/>
      <c r="C1337" s="26"/>
    </row>
    <row r="1338" spans="1:3" ht="11.25" customHeight="1" x14ac:dyDescent="0.2">
      <c r="A1338" s="26" t="s">
        <v>1376</v>
      </c>
      <c r="B1338" s="26"/>
      <c r="C1338" s="26"/>
    </row>
    <row r="1339" spans="1:3" ht="11.25" customHeight="1" x14ac:dyDescent="0.2">
      <c r="A1339" s="26" t="s">
        <v>1377</v>
      </c>
      <c r="B1339" s="26"/>
      <c r="C1339" s="26"/>
    </row>
    <row r="1340" spans="1:3" ht="11.25" customHeight="1" x14ac:dyDescent="0.2">
      <c r="A1340" s="26" t="s">
        <v>1378</v>
      </c>
      <c r="B1340" s="26"/>
      <c r="C1340" s="26"/>
    </row>
    <row r="1341" spans="1:3" ht="11.25" customHeight="1" x14ac:dyDescent="0.2">
      <c r="A1341" s="26" t="s">
        <v>1379</v>
      </c>
      <c r="B1341" s="26"/>
      <c r="C1341" s="26"/>
    </row>
    <row r="1342" spans="1:3" ht="11.25" customHeight="1" x14ac:dyDescent="0.2">
      <c r="A1342" s="26" t="s">
        <v>1380</v>
      </c>
      <c r="B1342" s="26"/>
      <c r="C1342" s="26"/>
    </row>
    <row r="1343" spans="1:3" ht="11.25" customHeight="1" x14ac:dyDescent="0.2">
      <c r="A1343" s="26" t="s">
        <v>1381</v>
      </c>
      <c r="B1343" s="26"/>
      <c r="C1343" s="26"/>
    </row>
    <row r="1344" spans="1:3" ht="11.25" customHeight="1" x14ac:dyDescent="0.2">
      <c r="A1344" s="26" t="s">
        <v>1382</v>
      </c>
      <c r="B1344" s="26"/>
      <c r="C1344" s="26"/>
    </row>
    <row r="1345" spans="1:3" ht="11.25" customHeight="1" x14ac:dyDescent="0.2">
      <c r="A1345" s="26" t="s">
        <v>1383</v>
      </c>
      <c r="B1345" s="26"/>
      <c r="C1345" s="26"/>
    </row>
    <row r="1346" spans="1:3" ht="11.25" customHeight="1" x14ac:dyDescent="0.2">
      <c r="A1346" s="26" t="s">
        <v>1384</v>
      </c>
      <c r="B1346" s="26"/>
      <c r="C1346" s="26"/>
    </row>
    <row r="1347" spans="1:3" ht="11.25" customHeight="1" x14ac:dyDescent="0.2">
      <c r="A1347" s="26" t="s">
        <v>1385</v>
      </c>
      <c r="B1347" s="26"/>
      <c r="C1347" s="26"/>
    </row>
    <row r="1348" spans="1:3" ht="11.25" customHeight="1" x14ac:dyDescent="0.2">
      <c r="A1348" s="26" t="s">
        <v>1386</v>
      </c>
      <c r="B1348" s="26"/>
      <c r="C1348" s="26"/>
    </row>
    <row r="1349" spans="1:3" ht="11.25" customHeight="1" x14ac:dyDescent="0.2">
      <c r="A1349" s="26" t="s">
        <v>1387</v>
      </c>
      <c r="B1349" s="26"/>
      <c r="C1349" s="26"/>
    </row>
    <row r="1350" spans="1:3" ht="11.25" customHeight="1" x14ac:dyDescent="0.2">
      <c r="A1350" s="26" t="s">
        <v>1388</v>
      </c>
      <c r="B1350" s="26"/>
      <c r="C1350" s="26"/>
    </row>
    <row r="1351" spans="1:3" ht="11.25" customHeight="1" x14ac:dyDescent="0.2">
      <c r="A1351" s="26" t="s">
        <v>1389</v>
      </c>
      <c r="B1351" s="26"/>
      <c r="C1351" s="26"/>
    </row>
    <row r="1352" spans="1:3" ht="11.25" customHeight="1" x14ac:dyDescent="0.2">
      <c r="A1352" s="26" t="s">
        <v>1390</v>
      </c>
      <c r="B1352" s="26"/>
      <c r="C1352" s="26"/>
    </row>
    <row r="1353" spans="1:3" ht="11.25" customHeight="1" x14ac:dyDescent="0.2">
      <c r="A1353" s="26" t="s">
        <v>1391</v>
      </c>
      <c r="B1353" s="26"/>
      <c r="C1353" s="26"/>
    </row>
    <row r="1354" spans="1:3" ht="11.25" customHeight="1" x14ac:dyDescent="0.2">
      <c r="A1354" s="26" t="s">
        <v>1392</v>
      </c>
      <c r="B1354" s="26"/>
      <c r="C1354" s="26"/>
    </row>
    <row r="1355" spans="1:3" ht="11.25" customHeight="1" x14ac:dyDescent="0.2">
      <c r="A1355" s="26" t="s">
        <v>1393</v>
      </c>
      <c r="B1355" s="26"/>
      <c r="C1355" s="26"/>
    </row>
    <row r="1356" spans="1:3" ht="11.25" customHeight="1" x14ac:dyDescent="0.2">
      <c r="A1356" s="26" t="s">
        <v>1394</v>
      </c>
      <c r="B1356" s="26"/>
      <c r="C1356" s="26"/>
    </row>
    <row r="1357" spans="1:3" ht="11.25" customHeight="1" x14ac:dyDescent="0.2">
      <c r="A1357" s="26" t="s">
        <v>1395</v>
      </c>
      <c r="B1357" s="26"/>
      <c r="C1357" s="26"/>
    </row>
    <row r="1358" spans="1:3" ht="11.25" customHeight="1" x14ac:dyDescent="0.2">
      <c r="A1358" s="26" t="s">
        <v>1396</v>
      </c>
      <c r="B1358" s="26"/>
      <c r="C1358" s="26"/>
    </row>
    <row r="1359" spans="1:3" ht="11.25" customHeight="1" x14ac:dyDescent="0.2">
      <c r="A1359" s="26" t="s">
        <v>1397</v>
      </c>
      <c r="B1359" s="26"/>
      <c r="C1359" s="26"/>
    </row>
    <row r="1360" spans="1:3" ht="11.25" customHeight="1" x14ac:dyDescent="0.2">
      <c r="A1360" s="26" t="s">
        <v>1398</v>
      </c>
      <c r="B1360" s="26"/>
      <c r="C1360" s="26"/>
    </row>
    <row r="1361" spans="1:3" ht="11.25" customHeight="1" x14ac:dyDescent="0.2">
      <c r="A1361" s="26" t="s">
        <v>1399</v>
      </c>
      <c r="B1361" s="26"/>
      <c r="C1361" s="26"/>
    </row>
    <row r="1362" spans="1:3" ht="11.25" customHeight="1" x14ac:dyDescent="0.2">
      <c r="A1362" s="26" t="s">
        <v>1400</v>
      </c>
      <c r="B1362" s="26"/>
      <c r="C1362" s="26"/>
    </row>
    <row r="1363" spans="1:3" ht="11.25" customHeight="1" x14ac:dyDescent="0.2">
      <c r="A1363" s="26" t="s">
        <v>1401</v>
      </c>
      <c r="B1363" s="26"/>
      <c r="C1363" s="26"/>
    </row>
    <row r="1364" spans="1:3" ht="11.25" customHeight="1" x14ac:dyDescent="0.2">
      <c r="A1364" s="26" t="s">
        <v>1402</v>
      </c>
      <c r="B1364" s="26"/>
      <c r="C1364" s="26"/>
    </row>
    <row r="1365" spans="1:3" ht="11.25" customHeight="1" x14ac:dyDescent="0.2">
      <c r="A1365" s="26" t="s">
        <v>1403</v>
      </c>
      <c r="B1365" s="26"/>
      <c r="C1365" s="26"/>
    </row>
    <row r="1366" spans="1:3" ht="11.25" customHeight="1" x14ac:dyDescent="0.2">
      <c r="A1366" s="26" t="s">
        <v>1404</v>
      </c>
      <c r="B1366" s="26"/>
      <c r="C1366" s="26"/>
    </row>
    <row r="1367" spans="1:3" ht="11.25" customHeight="1" x14ac:dyDescent="0.2">
      <c r="A1367" s="26" t="s">
        <v>1405</v>
      </c>
      <c r="B1367" s="26"/>
      <c r="C1367" s="26"/>
    </row>
    <row r="1368" spans="1:3" ht="11.25" customHeight="1" x14ac:dyDescent="0.2">
      <c r="A1368" s="26" t="s">
        <v>1406</v>
      </c>
      <c r="B1368" s="26"/>
      <c r="C1368" s="26"/>
    </row>
    <row r="1369" spans="1:3" ht="11.25" customHeight="1" x14ac:dyDescent="0.2">
      <c r="A1369" s="26" t="s">
        <v>1407</v>
      </c>
      <c r="B1369" s="26"/>
      <c r="C1369" s="26"/>
    </row>
    <row r="1370" spans="1:3" ht="11.25" customHeight="1" x14ac:dyDescent="0.2">
      <c r="A1370" s="26" t="s">
        <v>1408</v>
      </c>
      <c r="B1370" s="26"/>
      <c r="C1370" s="26"/>
    </row>
    <row r="1371" spans="1:3" ht="11.25" customHeight="1" x14ac:dyDescent="0.2">
      <c r="A1371" s="26" t="s">
        <v>1409</v>
      </c>
      <c r="B1371" s="26"/>
      <c r="C1371" s="26"/>
    </row>
    <row r="1372" spans="1:3" ht="11.25" customHeight="1" x14ac:dyDescent="0.2">
      <c r="A1372" s="26" t="s">
        <v>1410</v>
      </c>
      <c r="B1372" s="26"/>
      <c r="C1372" s="26"/>
    </row>
    <row r="1373" spans="1:3" ht="11.25" customHeight="1" x14ac:dyDescent="0.2">
      <c r="A1373" s="26" t="s">
        <v>1411</v>
      </c>
      <c r="B1373" s="26"/>
      <c r="C1373" s="26"/>
    </row>
    <row r="1374" spans="1:3" ht="11.25" customHeight="1" x14ac:dyDescent="0.2">
      <c r="A1374" s="26" t="s">
        <v>1412</v>
      </c>
      <c r="B1374" s="26"/>
      <c r="C1374" s="26"/>
    </row>
    <row r="1375" spans="1:3" ht="11.25" customHeight="1" x14ac:dyDescent="0.2">
      <c r="A1375" s="26" t="s">
        <v>1413</v>
      </c>
      <c r="B1375" s="26"/>
      <c r="C1375" s="26"/>
    </row>
    <row r="1376" spans="1:3" ht="11.25" customHeight="1" x14ac:dyDescent="0.2">
      <c r="A1376" s="26" t="s">
        <v>1414</v>
      </c>
      <c r="B1376" s="26"/>
      <c r="C1376" s="26"/>
    </row>
    <row r="1377" spans="1:3" ht="11.25" customHeight="1" x14ac:dyDescent="0.2">
      <c r="A1377" s="26" t="s">
        <v>1415</v>
      </c>
      <c r="B1377" s="26"/>
      <c r="C1377" s="26"/>
    </row>
    <row r="1378" spans="1:3" ht="11.25" customHeight="1" x14ac:dyDescent="0.2">
      <c r="A1378" s="26" t="s">
        <v>1416</v>
      </c>
      <c r="B1378" s="26"/>
      <c r="C1378" s="26"/>
    </row>
    <row r="1379" spans="1:3" ht="11.25" customHeight="1" x14ac:dyDescent="0.2">
      <c r="A1379" s="26" t="s">
        <v>1417</v>
      </c>
      <c r="B1379" s="26"/>
      <c r="C1379" s="26"/>
    </row>
    <row r="1380" spans="1:3" ht="11.25" customHeight="1" x14ac:dyDescent="0.2">
      <c r="A1380" s="26" t="s">
        <v>1418</v>
      </c>
      <c r="B1380" s="26"/>
      <c r="C1380" s="26"/>
    </row>
    <row r="1381" spans="1:3" ht="11.25" customHeight="1" x14ac:dyDescent="0.2">
      <c r="A1381" s="26" t="s">
        <v>1419</v>
      </c>
      <c r="B1381" s="26"/>
      <c r="C1381" s="26"/>
    </row>
    <row r="1382" spans="1:3" ht="11.25" customHeight="1" x14ac:dyDescent="0.2">
      <c r="A1382" s="26" t="s">
        <v>1420</v>
      </c>
      <c r="B1382" s="26"/>
      <c r="C1382" s="26"/>
    </row>
    <row r="1383" spans="1:3" ht="11.25" customHeight="1" x14ac:dyDescent="0.2">
      <c r="A1383" s="26" t="s">
        <v>1421</v>
      </c>
      <c r="B1383" s="26"/>
      <c r="C1383" s="26"/>
    </row>
    <row r="1384" spans="1:3" ht="11.25" customHeight="1" x14ac:dyDescent="0.2">
      <c r="A1384" s="26" t="s">
        <v>1422</v>
      </c>
      <c r="B1384" s="26"/>
      <c r="C1384" s="26"/>
    </row>
    <row r="1385" spans="1:3" ht="11.25" customHeight="1" x14ac:dyDescent="0.2">
      <c r="A1385" s="26" t="s">
        <v>1423</v>
      </c>
      <c r="B1385" s="26"/>
      <c r="C1385" s="26"/>
    </row>
    <row r="1386" spans="1:3" ht="11.25" customHeight="1" x14ac:dyDescent="0.2">
      <c r="A1386" s="26" t="s">
        <v>1424</v>
      </c>
      <c r="B1386" s="26"/>
      <c r="C1386" s="26"/>
    </row>
    <row r="1387" spans="1:3" ht="11.25" customHeight="1" x14ac:dyDescent="0.2">
      <c r="A1387" s="26" t="s">
        <v>1425</v>
      </c>
      <c r="B1387" s="26"/>
      <c r="C1387" s="26"/>
    </row>
    <row r="1388" spans="1:3" ht="11.25" customHeight="1" x14ac:dyDescent="0.2">
      <c r="A1388" s="26" t="s">
        <v>1426</v>
      </c>
      <c r="B1388" s="26"/>
      <c r="C1388" s="26"/>
    </row>
    <row r="1389" spans="1:3" ht="11.25" customHeight="1" x14ac:dyDescent="0.2">
      <c r="A1389" s="26" t="s">
        <v>1427</v>
      </c>
      <c r="B1389" s="26"/>
      <c r="C1389" s="26"/>
    </row>
    <row r="1390" spans="1:3" ht="11.25" customHeight="1" x14ac:dyDescent="0.2">
      <c r="A1390" s="26" t="s">
        <v>1428</v>
      </c>
      <c r="B1390" s="26"/>
      <c r="C1390" s="26"/>
    </row>
    <row r="1391" spans="1:3" ht="11.25" customHeight="1" x14ac:dyDescent="0.2">
      <c r="A1391" s="26" t="s">
        <v>1429</v>
      </c>
      <c r="B1391" s="26"/>
      <c r="C1391" s="26"/>
    </row>
    <row r="1392" spans="1:3" ht="11.25" customHeight="1" x14ac:dyDescent="0.2">
      <c r="A1392" s="26" t="s">
        <v>1430</v>
      </c>
      <c r="B1392" s="26"/>
      <c r="C1392" s="26"/>
    </row>
    <row r="1393" spans="1:3" ht="11.25" customHeight="1" x14ac:dyDescent="0.2">
      <c r="A1393" s="26" t="s">
        <v>1431</v>
      </c>
      <c r="B1393" s="26"/>
      <c r="C1393" s="26"/>
    </row>
    <row r="1394" spans="1:3" ht="11.25" customHeight="1" x14ac:dyDescent="0.2">
      <c r="A1394" s="26" t="s">
        <v>1432</v>
      </c>
      <c r="B1394" s="26"/>
      <c r="C1394" s="26"/>
    </row>
    <row r="1395" spans="1:3" ht="11.25" customHeight="1" x14ac:dyDescent="0.2">
      <c r="A1395" s="26" t="s">
        <v>1433</v>
      </c>
      <c r="B1395" s="26"/>
      <c r="C1395" s="26"/>
    </row>
    <row r="1396" spans="1:3" ht="11.25" customHeight="1" x14ac:dyDescent="0.2">
      <c r="A1396" s="26" t="s">
        <v>1434</v>
      </c>
      <c r="B1396" s="26"/>
      <c r="C1396" s="26"/>
    </row>
    <row r="1397" spans="1:3" ht="11.25" customHeight="1" x14ac:dyDescent="0.2">
      <c r="A1397" s="26" t="s">
        <v>1435</v>
      </c>
      <c r="B1397" s="26"/>
      <c r="C1397" s="26"/>
    </row>
    <row r="1398" spans="1:3" ht="11.25" customHeight="1" x14ac:dyDescent="0.2">
      <c r="A1398" s="26" t="s">
        <v>1436</v>
      </c>
      <c r="B1398" s="26"/>
      <c r="C1398" s="26"/>
    </row>
    <row r="1399" spans="1:3" ht="11.25" customHeight="1" x14ac:dyDescent="0.2">
      <c r="A1399" s="26" t="s">
        <v>1437</v>
      </c>
      <c r="B1399" s="26"/>
      <c r="C1399" s="26"/>
    </row>
    <row r="1400" spans="1:3" ht="11.25" customHeight="1" x14ac:dyDescent="0.2">
      <c r="A1400" s="26" t="s">
        <v>1438</v>
      </c>
      <c r="B1400" s="26"/>
      <c r="C1400" s="26"/>
    </row>
    <row r="1401" spans="1:3" ht="11.25" customHeight="1" x14ac:dyDescent="0.2">
      <c r="A1401" s="26" t="s">
        <v>1439</v>
      </c>
      <c r="B1401" s="26"/>
      <c r="C1401" s="26"/>
    </row>
    <row r="1402" spans="1:3" ht="11.25" customHeight="1" x14ac:dyDescent="0.2">
      <c r="A1402" s="26" t="s">
        <v>1440</v>
      </c>
      <c r="B1402" s="26"/>
      <c r="C1402" s="26"/>
    </row>
    <row r="1403" spans="1:3" ht="11.25" customHeight="1" x14ac:dyDescent="0.2">
      <c r="A1403" s="26" t="s">
        <v>1441</v>
      </c>
      <c r="B1403" s="26"/>
      <c r="C1403" s="26"/>
    </row>
    <row r="1404" spans="1:3" ht="11.25" customHeight="1" x14ac:dyDescent="0.2">
      <c r="A1404" s="26" t="s">
        <v>1442</v>
      </c>
      <c r="B1404" s="26"/>
      <c r="C1404" s="26"/>
    </row>
    <row r="1405" spans="1:3" ht="11.25" customHeight="1" x14ac:dyDescent="0.2">
      <c r="A1405" s="26" t="s">
        <v>1443</v>
      </c>
      <c r="B1405" s="26"/>
      <c r="C1405" s="26"/>
    </row>
    <row r="1406" spans="1:3" ht="11.25" customHeight="1" x14ac:dyDescent="0.2">
      <c r="A1406" s="26" t="s">
        <v>1444</v>
      </c>
      <c r="B1406" s="26"/>
      <c r="C1406" s="26"/>
    </row>
    <row r="1407" spans="1:3" ht="11.25" customHeight="1" x14ac:dyDescent="0.2">
      <c r="A1407" s="26" t="s">
        <v>1445</v>
      </c>
      <c r="B1407" s="26"/>
      <c r="C1407" s="26"/>
    </row>
    <row r="1408" spans="1:3" ht="11.25" customHeight="1" x14ac:dyDescent="0.2">
      <c r="A1408" s="26" t="s">
        <v>1446</v>
      </c>
      <c r="B1408" s="26"/>
      <c r="C1408" s="26"/>
    </row>
    <row r="1409" spans="1:3" ht="11.25" customHeight="1" x14ac:dyDescent="0.2">
      <c r="A1409" s="26" t="s">
        <v>1447</v>
      </c>
      <c r="B1409" s="26"/>
      <c r="C1409" s="26"/>
    </row>
    <row r="1410" spans="1:3" ht="11.25" customHeight="1" x14ac:dyDescent="0.2">
      <c r="A1410" s="26" t="s">
        <v>1448</v>
      </c>
      <c r="B1410" s="26"/>
      <c r="C1410" s="26"/>
    </row>
    <row r="1411" spans="1:3" ht="11.25" customHeight="1" x14ac:dyDescent="0.2">
      <c r="A1411" s="26" t="s">
        <v>1449</v>
      </c>
      <c r="B1411" s="26"/>
      <c r="C1411" s="26"/>
    </row>
    <row r="1412" spans="1:3" ht="11.25" customHeight="1" x14ac:dyDescent="0.2">
      <c r="A1412" s="26" t="s">
        <v>1450</v>
      </c>
      <c r="B1412" s="26"/>
      <c r="C1412" s="26"/>
    </row>
    <row r="1413" spans="1:3" ht="11.25" customHeight="1" x14ac:dyDescent="0.2">
      <c r="A1413" s="26" t="s">
        <v>1451</v>
      </c>
      <c r="B1413" s="26"/>
      <c r="C1413" s="26"/>
    </row>
    <row r="1414" spans="1:3" ht="11.25" customHeight="1" x14ac:dyDescent="0.2">
      <c r="A1414" s="26" t="s">
        <v>1452</v>
      </c>
      <c r="B1414" s="26"/>
      <c r="C1414" s="26"/>
    </row>
    <row r="1415" spans="1:3" ht="11.25" customHeight="1" x14ac:dyDescent="0.2">
      <c r="A1415" s="26" t="s">
        <v>1453</v>
      </c>
      <c r="B1415" s="26"/>
      <c r="C1415" s="26"/>
    </row>
    <row r="1416" spans="1:3" ht="11.25" customHeight="1" x14ac:dyDescent="0.2">
      <c r="A1416" s="26" t="s">
        <v>1454</v>
      </c>
      <c r="B1416" s="26"/>
      <c r="C1416" s="26"/>
    </row>
    <row r="1417" spans="1:3" ht="11.25" customHeight="1" x14ac:dyDescent="0.2">
      <c r="A1417" s="26" t="s">
        <v>1455</v>
      </c>
      <c r="B1417" s="26"/>
      <c r="C1417" s="26"/>
    </row>
    <row r="1418" spans="1:3" ht="11.25" customHeight="1" x14ac:dyDescent="0.2">
      <c r="A1418" s="26" t="s">
        <v>1456</v>
      </c>
      <c r="B1418" s="26"/>
      <c r="C1418" s="26"/>
    </row>
    <row r="1419" spans="1:3" ht="11.25" customHeight="1" x14ac:dyDescent="0.2">
      <c r="A1419" s="26" t="s">
        <v>1457</v>
      </c>
      <c r="B1419" s="26"/>
      <c r="C1419" s="26"/>
    </row>
    <row r="1420" spans="1:3" ht="11.25" customHeight="1" x14ac:dyDescent="0.2">
      <c r="A1420" s="26" t="s">
        <v>1458</v>
      </c>
      <c r="B1420" s="26"/>
      <c r="C1420" s="26"/>
    </row>
    <row r="1421" spans="1:3" ht="11.25" customHeight="1" x14ac:dyDescent="0.2">
      <c r="A1421" s="26" t="s">
        <v>1459</v>
      </c>
      <c r="B1421" s="26"/>
      <c r="C1421" s="26"/>
    </row>
    <row r="1422" spans="1:3" ht="11.25" customHeight="1" x14ac:dyDescent="0.2">
      <c r="A1422" s="26" t="s">
        <v>1460</v>
      </c>
      <c r="B1422" s="26"/>
      <c r="C1422" s="26"/>
    </row>
    <row r="1423" spans="1:3" ht="11.25" customHeight="1" x14ac:dyDescent="0.2">
      <c r="A1423" s="26" t="s">
        <v>1461</v>
      </c>
      <c r="B1423" s="26"/>
      <c r="C1423" s="26"/>
    </row>
    <row r="1424" spans="1:3" ht="11.25" customHeight="1" x14ac:dyDescent="0.2">
      <c r="A1424" s="26" t="s">
        <v>1462</v>
      </c>
      <c r="B1424" s="26"/>
      <c r="C1424" s="26"/>
    </row>
    <row r="1425" spans="1:3" ht="11.25" customHeight="1" x14ac:dyDescent="0.2">
      <c r="A1425" s="26" t="s">
        <v>1463</v>
      </c>
      <c r="B1425" s="26"/>
      <c r="C1425" s="26"/>
    </row>
    <row r="1426" spans="1:3" ht="11.25" customHeight="1" x14ac:dyDescent="0.2">
      <c r="A1426" s="26" t="s">
        <v>1464</v>
      </c>
      <c r="B1426" s="26"/>
      <c r="C1426" s="26"/>
    </row>
    <row r="1427" spans="1:3" ht="11.25" customHeight="1" x14ac:dyDescent="0.2">
      <c r="A1427" s="26" t="s">
        <v>1465</v>
      </c>
      <c r="B1427" s="26"/>
      <c r="C1427" s="26"/>
    </row>
    <row r="1428" spans="1:3" ht="11.25" customHeight="1" x14ac:dyDescent="0.2">
      <c r="A1428" s="26" t="s">
        <v>1466</v>
      </c>
      <c r="B1428" s="26"/>
      <c r="C1428" s="26"/>
    </row>
    <row r="1429" spans="1:3" ht="11.25" customHeight="1" x14ac:dyDescent="0.2">
      <c r="A1429" s="26" t="s">
        <v>1467</v>
      </c>
      <c r="B1429" s="26"/>
      <c r="C1429" s="26"/>
    </row>
    <row r="1430" spans="1:3" ht="11.25" customHeight="1" x14ac:dyDescent="0.2">
      <c r="A1430" s="26" t="s">
        <v>1468</v>
      </c>
      <c r="B1430" s="26"/>
      <c r="C1430" s="26"/>
    </row>
    <row r="1431" spans="1:3" ht="11.25" customHeight="1" x14ac:dyDescent="0.2">
      <c r="A1431" s="26" t="s">
        <v>1469</v>
      </c>
      <c r="B1431" s="26"/>
      <c r="C1431" s="26"/>
    </row>
    <row r="1432" spans="1:3" ht="11.25" customHeight="1" x14ac:dyDescent="0.2">
      <c r="A1432" s="26" t="s">
        <v>1470</v>
      </c>
      <c r="B1432" s="26"/>
      <c r="C1432" s="26"/>
    </row>
    <row r="1433" spans="1:3" ht="11.25" customHeight="1" x14ac:dyDescent="0.2">
      <c r="A1433" s="26" t="s">
        <v>1471</v>
      </c>
      <c r="B1433" s="26"/>
      <c r="C1433" s="26"/>
    </row>
    <row r="1434" spans="1:3" ht="11.25" customHeight="1" x14ac:dyDescent="0.2">
      <c r="A1434" s="26" t="s">
        <v>1472</v>
      </c>
      <c r="B1434" s="26"/>
      <c r="C1434" s="26"/>
    </row>
    <row r="1435" spans="1:3" ht="11.25" customHeight="1" x14ac:dyDescent="0.2">
      <c r="A1435" s="26" t="s">
        <v>1473</v>
      </c>
      <c r="B1435" s="26"/>
      <c r="C1435" s="26"/>
    </row>
    <row r="1436" spans="1:3" ht="11.25" customHeight="1" x14ac:dyDescent="0.2">
      <c r="A1436" s="26" t="s">
        <v>1474</v>
      </c>
      <c r="B1436" s="26"/>
      <c r="C1436" s="26"/>
    </row>
    <row r="1437" spans="1:3" ht="11.25" customHeight="1" x14ac:dyDescent="0.2">
      <c r="A1437" s="26" t="s">
        <v>1475</v>
      </c>
      <c r="B1437" s="26"/>
      <c r="C1437" s="26"/>
    </row>
    <row r="1438" spans="1:3" ht="11.25" customHeight="1" x14ac:dyDescent="0.2">
      <c r="A1438" s="26" t="s">
        <v>1476</v>
      </c>
      <c r="B1438" s="26"/>
      <c r="C1438" s="26"/>
    </row>
    <row r="1439" spans="1:3" ht="11.25" customHeight="1" x14ac:dyDescent="0.2">
      <c r="A1439" s="26" t="s">
        <v>1477</v>
      </c>
      <c r="B1439" s="26"/>
      <c r="C1439" s="26"/>
    </row>
    <row r="1440" spans="1:3" ht="11.25" customHeight="1" x14ac:dyDescent="0.2">
      <c r="A1440" s="26" t="s">
        <v>1478</v>
      </c>
      <c r="B1440" s="26"/>
      <c r="C1440" s="26"/>
    </row>
    <row r="1441" spans="1:3" ht="11.25" customHeight="1" x14ac:dyDescent="0.2">
      <c r="A1441" s="26" t="s">
        <v>1479</v>
      </c>
      <c r="B1441" s="26"/>
      <c r="C1441" s="26"/>
    </row>
    <row r="1442" spans="1:3" ht="11.25" customHeight="1" x14ac:dyDescent="0.2">
      <c r="A1442" s="26" t="s">
        <v>1480</v>
      </c>
      <c r="B1442" s="26"/>
      <c r="C1442" s="26"/>
    </row>
    <row r="1443" spans="1:3" ht="11.25" customHeight="1" x14ac:dyDescent="0.2">
      <c r="A1443" s="26" t="s">
        <v>1481</v>
      </c>
      <c r="B1443" s="26"/>
      <c r="C1443" s="26"/>
    </row>
    <row r="1444" spans="1:3" ht="11.25" customHeight="1" x14ac:dyDescent="0.2">
      <c r="A1444" s="26" t="s">
        <v>1482</v>
      </c>
      <c r="B1444" s="26"/>
      <c r="C1444" s="26"/>
    </row>
    <row r="1445" spans="1:3" ht="11.25" customHeight="1" x14ac:dyDescent="0.2">
      <c r="A1445" s="26" t="s">
        <v>1483</v>
      </c>
      <c r="B1445" s="26"/>
      <c r="C1445" s="26"/>
    </row>
    <row r="1446" spans="1:3" ht="11.25" customHeight="1" x14ac:dyDescent="0.2">
      <c r="A1446" s="26" t="s">
        <v>1484</v>
      </c>
      <c r="B1446" s="26"/>
      <c r="C1446" s="26"/>
    </row>
    <row r="1447" spans="1:3" ht="11.25" customHeight="1" x14ac:dyDescent="0.2">
      <c r="A1447" s="26" t="s">
        <v>1485</v>
      </c>
      <c r="B1447" s="26"/>
      <c r="C1447" s="26"/>
    </row>
    <row r="1448" spans="1:3" ht="11.25" customHeight="1" x14ac:dyDescent="0.2">
      <c r="A1448" s="26" t="s">
        <v>1486</v>
      </c>
      <c r="B1448" s="26"/>
      <c r="C1448" s="26"/>
    </row>
    <row r="1449" spans="1:3" ht="11.25" customHeight="1" x14ac:dyDescent="0.2">
      <c r="A1449" s="26" t="s">
        <v>1487</v>
      </c>
      <c r="B1449" s="26"/>
      <c r="C1449" s="26"/>
    </row>
    <row r="1450" spans="1:3" ht="11.25" customHeight="1" x14ac:dyDescent="0.2">
      <c r="A1450" s="26" t="s">
        <v>1488</v>
      </c>
      <c r="B1450" s="26"/>
      <c r="C1450" s="26"/>
    </row>
    <row r="1451" spans="1:3" ht="11.25" customHeight="1" x14ac:dyDescent="0.2">
      <c r="A1451" s="26" t="s">
        <v>1489</v>
      </c>
      <c r="B1451" s="26"/>
      <c r="C1451" s="26"/>
    </row>
    <row r="1452" spans="1:3" ht="11.25" customHeight="1" x14ac:dyDescent="0.2">
      <c r="A1452" s="26" t="s">
        <v>1490</v>
      </c>
      <c r="B1452" s="26"/>
      <c r="C1452" s="26"/>
    </row>
    <row r="1453" spans="1:3" ht="11.25" customHeight="1" x14ac:dyDescent="0.2">
      <c r="A1453" s="26" t="s">
        <v>1491</v>
      </c>
      <c r="B1453" s="26"/>
      <c r="C1453" s="26"/>
    </row>
    <row r="1454" spans="1:3" ht="11.25" customHeight="1" x14ac:dyDescent="0.2">
      <c r="A1454" s="26" t="s">
        <v>1492</v>
      </c>
      <c r="B1454" s="26"/>
      <c r="C1454" s="26"/>
    </row>
    <row r="1455" spans="1:3" ht="11.25" customHeight="1" x14ac:dyDescent="0.2">
      <c r="A1455" s="26" t="s">
        <v>1493</v>
      </c>
      <c r="B1455" s="26"/>
      <c r="C1455" s="26"/>
    </row>
    <row r="1456" spans="1:3" ht="11.25" customHeight="1" x14ac:dyDescent="0.2">
      <c r="A1456" s="26" t="s">
        <v>1494</v>
      </c>
      <c r="B1456" s="26"/>
      <c r="C1456" s="26"/>
    </row>
    <row r="1457" spans="1:3" ht="11.25" customHeight="1" x14ac:dyDescent="0.2">
      <c r="A1457" s="26" t="s">
        <v>1495</v>
      </c>
      <c r="B1457" s="26"/>
      <c r="C1457" s="26"/>
    </row>
    <row r="1458" spans="1:3" ht="11.25" customHeight="1" x14ac:dyDescent="0.2">
      <c r="A1458" s="26" t="s">
        <v>1496</v>
      </c>
      <c r="B1458" s="26"/>
      <c r="C1458" s="26"/>
    </row>
    <row r="1459" spans="1:3" ht="11.25" customHeight="1" x14ac:dyDescent="0.2">
      <c r="A1459" s="26" t="s">
        <v>1497</v>
      </c>
      <c r="B1459" s="26"/>
      <c r="C1459" s="26"/>
    </row>
    <row r="1460" spans="1:3" ht="11.25" customHeight="1" x14ac:dyDescent="0.2">
      <c r="A1460" s="26" t="s">
        <v>1498</v>
      </c>
      <c r="B1460" s="26"/>
      <c r="C1460" s="26"/>
    </row>
    <row r="1461" spans="1:3" ht="11.25" customHeight="1" x14ac:dyDescent="0.2">
      <c r="A1461" s="26" t="s">
        <v>1499</v>
      </c>
      <c r="B1461" s="26"/>
      <c r="C1461" s="26"/>
    </row>
    <row r="1462" spans="1:3" ht="11.25" customHeight="1" x14ac:dyDescent="0.2">
      <c r="A1462" s="26" t="s">
        <v>1500</v>
      </c>
      <c r="B1462" s="26"/>
      <c r="C1462" s="26"/>
    </row>
    <row r="1463" spans="1:3" ht="11.25" customHeight="1" x14ac:dyDescent="0.2">
      <c r="A1463" s="26" t="s">
        <v>1501</v>
      </c>
      <c r="B1463" s="26"/>
      <c r="C1463" s="26"/>
    </row>
    <row r="1464" spans="1:3" ht="11.25" customHeight="1" x14ac:dyDescent="0.2">
      <c r="A1464" s="26" t="s">
        <v>1502</v>
      </c>
      <c r="B1464" s="26"/>
      <c r="C1464" s="26"/>
    </row>
    <row r="1465" spans="1:3" ht="11.25" customHeight="1" x14ac:dyDescent="0.2">
      <c r="A1465" s="26" t="s">
        <v>1503</v>
      </c>
      <c r="B1465" s="26"/>
      <c r="C1465" s="26"/>
    </row>
    <row r="1466" spans="1:3" ht="11.25" customHeight="1" x14ac:dyDescent="0.2">
      <c r="A1466" s="26" t="s">
        <v>1504</v>
      </c>
      <c r="B1466" s="26"/>
      <c r="C1466" s="26"/>
    </row>
    <row r="1467" spans="1:3" ht="11.25" customHeight="1" x14ac:dyDescent="0.2">
      <c r="A1467" s="26" t="s">
        <v>1505</v>
      </c>
      <c r="B1467" s="26"/>
      <c r="C1467" s="26"/>
    </row>
    <row r="1468" spans="1:3" ht="11.25" customHeight="1" x14ac:dyDescent="0.2">
      <c r="A1468" s="26" t="s">
        <v>1506</v>
      </c>
      <c r="B1468" s="26"/>
      <c r="C1468" s="26"/>
    </row>
    <row r="1469" spans="1:3" ht="11.25" customHeight="1" x14ac:dyDescent="0.2">
      <c r="A1469" s="26" t="s">
        <v>1507</v>
      </c>
      <c r="B1469" s="26"/>
      <c r="C1469" s="26"/>
    </row>
    <row r="1470" spans="1:3" ht="11.25" customHeight="1" x14ac:dyDescent="0.2">
      <c r="A1470" s="26" t="s">
        <v>1508</v>
      </c>
      <c r="B1470" s="26"/>
      <c r="C1470" s="26"/>
    </row>
    <row r="1471" spans="1:3" ht="11.25" customHeight="1" x14ac:dyDescent="0.2">
      <c r="A1471" s="26" t="s">
        <v>1509</v>
      </c>
      <c r="B1471" s="26"/>
      <c r="C1471" s="26"/>
    </row>
    <row r="1472" spans="1:3" ht="11.25" customHeight="1" x14ac:dyDescent="0.2">
      <c r="A1472" s="26" t="s">
        <v>1510</v>
      </c>
      <c r="B1472" s="26"/>
      <c r="C1472" s="26"/>
    </row>
    <row r="1473" spans="1:3" ht="11.25" customHeight="1" x14ac:dyDescent="0.2">
      <c r="A1473" s="26" t="s">
        <v>1511</v>
      </c>
      <c r="B1473" s="26"/>
      <c r="C1473" s="26"/>
    </row>
    <row r="1474" spans="1:3" ht="11.25" customHeight="1" x14ac:dyDescent="0.2">
      <c r="A1474" s="26" t="s">
        <v>1512</v>
      </c>
      <c r="B1474" s="26"/>
      <c r="C1474" s="26"/>
    </row>
    <row r="1475" spans="1:3" ht="11.25" customHeight="1" x14ac:dyDescent="0.2">
      <c r="A1475" s="26" t="s">
        <v>1513</v>
      </c>
      <c r="B1475" s="26"/>
      <c r="C1475" s="26"/>
    </row>
    <row r="1476" spans="1:3" ht="11.25" customHeight="1" x14ac:dyDescent="0.2">
      <c r="A1476" s="26" t="s">
        <v>1514</v>
      </c>
      <c r="B1476" s="26"/>
      <c r="C1476" s="26"/>
    </row>
    <row r="1477" spans="1:3" ht="11.25" customHeight="1" x14ac:dyDescent="0.2">
      <c r="A1477" s="26" t="s">
        <v>1515</v>
      </c>
      <c r="B1477" s="26"/>
      <c r="C1477" s="26"/>
    </row>
    <row r="1478" spans="1:3" ht="11.25" customHeight="1" x14ac:dyDescent="0.2">
      <c r="A1478" s="26" t="s">
        <v>1516</v>
      </c>
      <c r="B1478" s="26"/>
      <c r="C1478" s="26"/>
    </row>
    <row r="1479" spans="1:3" ht="11.25" customHeight="1" x14ac:dyDescent="0.2">
      <c r="A1479" s="26" t="s">
        <v>1517</v>
      </c>
      <c r="B1479" s="26"/>
      <c r="C1479" s="26"/>
    </row>
    <row r="1480" spans="1:3" ht="11.25" customHeight="1" x14ac:dyDescent="0.2">
      <c r="A1480" s="26" t="s">
        <v>1518</v>
      </c>
      <c r="B1480" s="26"/>
      <c r="C1480" s="26"/>
    </row>
    <row r="1481" spans="1:3" ht="11.25" customHeight="1" x14ac:dyDescent="0.2">
      <c r="A1481" s="26" t="s">
        <v>1519</v>
      </c>
      <c r="B1481" s="26"/>
      <c r="C1481" s="26"/>
    </row>
    <row r="1482" spans="1:3" ht="11.25" customHeight="1" x14ac:dyDescent="0.2">
      <c r="A1482" s="26" t="s">
        <v>1520</v>
      </c>
      <c r="B1482" s="26"/>
      <c r="C1482" s="26"/>
    </row>
    <row r="1483" spans="1:3" ht="11.25" customHeight="1" x14ac:dyDescent="0.2">
      <c r="A1483" s="26" t="s">
        <v>1521</v>
      </c>
      <c r="B1483" s="26"/>
      <c r="C1483" s="26"/>
    </row>
    <row r="1484" spans="1:3" ht="11.25" customHeight="1" x14ac:dyDescent="0.2">
      <c r="A1484" s="26" t="s">
        <v>1522</v>
      </c>
      <c r="B1484" s="26"/>
      <c r="C1484" s="26"/>
    </row>
    <row r="1485" spans="1:3" ht="11.25" customHeight="1" x14ac:dyDescent="0.2">
      <c r="A1485" s="26" t="s">
        <v>1523</v>
      </c>
      <c r="B1485" s="26"/>
      <c r="C1485" s="26"/>
    </row>
    <row r="1486" spans="1:3" ht="11.25" customHeight="1" x14ac:dyDescent="0.2">
      <c r="A1486" s="26" t="s">
        <v>1524</v>
      </c>
      <c r="B1486" s="26"/>
      <c r="C1486" s="26"/>
    </row>
    <row r="1487" spans="1:3" ht="11.25" customHeight="1" x14ac:dyDescent="0.2">
      <c r="A1487" s="26" t="s">
        <v>1525</v>
      </c>
      <c r="B1487" s="26"/>
      <c r="C1487" s="26"/>
    </row>
    <row r="1488" spans="1:3" ht="11.25" customHeight="1" x14ac:dyDescent="0.2">
      <c r="A1488" s="26" t="s">
        <v>1526</v>
      </c>
      <c r="B1488" s="26"/>
      <c r="C1488" s="26"/>
    </row>
    <row r="1489" spans="1:3" ht="11.25" customHeight="1" x14ac:dyDescent="0.2">
      <c r="A1489" s="26" t="s">
        <v>1527</v>
      </c>
      <c r="B1489" s="26"/>
      <c r="C1489" s="26"/>
    </row>
    <row r="1490" spans="1:3" ht="11.25" customHeight="1" x14ac:dyDescent="0.2">
      <c r="A1490" s="26" t="s">
        <v>1528</v>
      </c>
      <c r="B1490" s="26"/>
      <c r="C1490" s="26"/>
    </row>
    <row r="1491" spans="1:3" ht="11.25" customHeight="1" x14ac:dyDescent="0.2">
      <c r="A1491" s="26" t="s">
        <v>1529</v>
      </c>
      <c r="B1491" s="26"/>
      <c r="C1491" s="26"/>
    </row>
    <row r="1492" spans="1:3" ht="11.25" customHeight="1" x14ac:dyDescent="0.2">
      <c r="A1492" s="26" t="s">
        <v>1530</v>
      </c>
      <c r="B1492" s="26"/>
      <c r="C1492" s="26"/>
    </row>
    <row r="1493" spans="1:3" ht="11.25" customHeight="1" x14ac:dyDescent="0.2">
      <c r="A1493" s="26" t="s">
        <v>1531</v>
      </c>
      <c r="B1493" s="26"/>
      <c r="C1493" s="26"/>
    </row>
    <row r="1494" spans="1:3" ht="11.25" customHeight="1" x14ac:dyDescent="0.2">
      <c r="A1494" s="26" t="s">
        <v>1532</v>
      </c>
      <c r="B1494" s="26"/>
      <c r="C1494" s="26"/>
    </row>
    <row r="1495" spans="1:3" ht="11.25" customHeight="1" x14ac:dyDescent="0.2">
      <c r="A1495" s="26" t="s">
        <v>1533</v>
      </c>
      <c r="B1495" s="26"/>
      <c r="C1495" s="26"/>
    </row>
    <row r="1496" spans="1:3" ht="11.25" customHeight="1" x14ac:dyDescent="0.2">
      <c r="A1496" s="26" t="s">
        <v>1534</v>
      </c>
      <c r="B1496" s="26"/>
      <c r="C1496" s="26"/>
    </row>
    <row r="1497" spans="1:3" ht="11.25" customHeight="1" x14ac:dyDescent="0.2">
      <c r="A1497" s="26" t="s">
        <v>1535</v>
      </c>
      <c r="B1497" s="26"/>
      <c r="C1497" s="26"/>
    </row>
    <row r="1498" spans="1:3" ht="11.25" customHeight="1" x14ac:dyDescent="0.2">
      <c r="A1498" s="26" t="s">
        <v>1536</v>
      </c>
      <c r="B1498" s="26"/>
      <c r="C1498" s="26"/>
    </row>
    <row r="1499" spans="1:3" ht="11.25" customHeight="1" x14ac:dyDescent="0.2">
      <c r="A1499" s="26" t="s">
        <v>1537</v>
      </c>
      <c r="B1499" s="26"/>
      <c r="C1499" s="26"/>
    </row>
    <row r="1500" spans="1:3" ht="11.25" customHeight="1" x14ac:dyDescent="0.2">
      <c r="A1500" s="26" t="s">
        <v>1538</v>
      </c>
      <c r="B1500" s="26"/>
      <c r="C1500" s="26"/>
    </row>
    <row r="1501" spans="1:3" ht="11.25" customHeight="1" x14ac:dyDescent="0.2">
      <c r="A1501" s="26" t="s">
        <v>1539</v>
      </c>
      <c r="B1501" s="26"/>
      <c r="C1501" s="26"/>
    </row>
    <row r="1502" spans="1:3" ht="11.25" customHeight="1" x14ac:dyDescent="0.2">
      <c r="A1502" s="26" t="s">
        <v>1540</v>
      </c>
      <c r="B1502" s="26"/>
      <c r="C1502" s="26"/>
    </row>
    <row r="1503" spans="1:3" ht="11.25" customHeight="1" x14ac:dyDescent="0.2">
      <c r="A1503" s="26" t="s">
        <v>1541</v>
      </c>
      <c r="B1503" s="26"/>
      <c r="C1503" s="26"/>
    </row>
    <row r="1504" spans="1:3" ht="11.25" customHeight="1" x14ac:dyDescent="0.2">
      <c r="A1504" s="26" t="s">
        <v>1542</v>
      </c>
      <c r="B1504" s="26"/>
      <c r="C1504" s="26"/>
    </row>
    <row r="1505" spans="1:3" ht="11.25" customHeight="1" x14ac:dyDescent="0.2">
      <c r="A1505" s="26" t="s">
        <v>1543</v>
      </c>
      <c r="B1505" s="26"/>
      <c r="C1505" s="26"/>
    </row>
    <row r="1506" spans="1:3" ht="11.25" customHeight="1" x14ac:dyDescent="0.2">
      <c r="A1506" s="26" t="s">
        <v>1544</v>
      </c>
      <c r="B1506" s="26"/>
      <c r="C1506" s="26"/>
    </row>
    <row r="1507" spans="1:3" ht="11.25" customHeight="1" x14ac:dyDescent="0.2">
      <c r="A1507" s="26" t="s">
        <v>1545</v>
      </c>
      <c r="B1507" s="26"/>
      <c r="C1507" s="26"/>
    </row>
    <row r="1508" spans="1:3" ht="11.25" customHeight="1" x14ac:dyDescent="0.2">
      <c r="A1508" s="26" t="s">
        <v>1546</v>
      </c>
      <c r="B1508" s="26"/>
      <c r="C1508" s="26"/>
    </row>
    <row r="1509" spans="1:3" ht="11.25" customHeight="1" x14ac:dyDescent="0.2">
      <c r="A1509" s="26" t="s">
        <v>1547</v>
      </c>
      <c r="B1509" s="26"/>
      <c r="C1509" s="26"/>
    </row>
    <row r="1510" spans="1:3" ht="11.25" customHeight="1" x14ac:dyDescent="0.2">
      <c r="A1510" s="26" t="s">
        <v>1548</v>
      </c>
      <c r="B1510" s="26"/>
      <c r="C1510" s="26"/>
    </row>
    <row r="1511" spans="1:3" ht="11.25" customHeight="1" x14ac:dyDescent="0.2">
      <c r="A1511" s="26" t="s">
        <v>1549</v>
      </c>
      <c r="B1511" s="26"/>
      <c r="C1511" s="26"/>
    </row>
    <row r="1512" spans="1:3" ht="11.25" customHeight="1" x14ac:dyDescent="0.2">
      <c r="A1512" s="26" t="s">
        <v>1550</v>
      </c>
      <c r="B1512" s="26"/>
      <c r="C1512" s="26"/>
    </row>
    <row r="1513" spans="1:3" ht="11.25" customHeight="1" x14ac:dyDescent="0.2">
      <c r="A1513" s="26" t="s">
        <v>1551</v>
      </c>
      <c r="B1513" s="26"/>
      <c r="C1513" s="26"/>
    </row>
    <row r="1514" spans="1:3" ht="11.25" customHeight="1" x14ac:dyDescent="0.2">
      <c r="A1514" s="26" t="s">
        <v>1552</v>
      </c>
      <c r="B1514" s="26"/>
      <c r="C1514" s="26"/>
    </row>
    <row r="1515" spans="1:3" ht="11.25" customHeight="1" x14ac:dyDescent="0.2">
      <c r="A1515" s="26" t="s">
        <v>1553</v>
      </c>
      <c r="B1515" s="26"/>
      <c r="C1515" s="26"/>
    </row>
    <row r="1516" spans="1:3" ht="11.25" customHeight="1" x14ac:dyDescent="0.2">
      <c r="A1516" s="26" t="s">
        <v>1554</v>
      </c>
      <c r="B1516" s="26"/>
      <c r="C1516" s="26"/>
    </row>
    <row r="1517" spans="1:3" ht="11.25" customHeight="1" x14ac:dyDescent="0.2">
      <c r="A1517" s="26" t="s">
        <v>1555</v>
      </c>
      <c r="B1517" s="26"/>
      <c r="C1517" s="26"/>
    </row>
    <row r="1518" spans="1:3" ht="11.25" customHeight="1" x14ac:dyDescent="0.2">
      <c r="A1518" s="26" t="s">
        <v>1556</v>
      </c>
      <c r="B1518" s="26"/>
      <c r="C1518" s="26"/>
    </row>
    <row r="1519" spans="1:3" ht="11.25" customHeight="1" x14ac:dyDescent="0.2">
      <c r="A1519" s="26" t="s">
        <v>1557</v>
      </c>
      <c r="B1519" s="26"/>
      <c r="C1519" s="26"/>
    </row>
    <row r="1520" spans="1:3" ht="11.25" customHeight="1" x14ac:dyDescent="0.2">
      <c r="A1520" s="26" t="s">
        <v>1558</v>
      </c>
      <c r="B1520" s="26"/>
      <c r="C1520" s="26"/>
    </row>
    <row r="1521" spans="1:3" ht="11.25" customHeight="1" x14ac:dyDescent="0.2">
      <c r="A1521" s="26" t="s">
        <v>1559</v>
      </c>
      <c r="B1521" s="26"/>
      <c r="C1521" s="26"/>
    </row>
    <row r="1522" spans="1:3" ht="11.25" customHeight="1" x14ac:dyDescent="0.2">
      <c r="A1522" s="26" t="s">
        <v>1560</v>
      </c>
      <c r="B1522" s="26"/>
      <c r="C1522" s="26"/>
    </row>
    <row r="1523" spans="1:3" ht="11.25" customHeight="1" x14ac:dyDescent="0.2">
      <c r="A1523" s="26" t="s">
        <v>1561</v>
      </c>
      <c r="B1523" s="26"/>
      <c r="C1523" s="26"/>
    </row>
    <row r="1524" spans="1:3" ht="11.25" customHeight="1" x14ac:dyDescent="0.2">
      <c r="A1524" s="26" t="s">
        <v>1562</v>
      </c>
      <c r="B1524" s="26"/>
      <c r="C1524" s="26"/>
    </row>
    <row r="1525" spans="1:3" ht="11.25" customHeight="1" x14ac:dyDescent="0.2">
      <c r="A1525" s="26" t="s">
        <v>1563</v>
      </c>
      <c r="B1525" s="26"/>
      <c r="C1525" s="26"/>
    </row>
    <row r="1526" spans="1:3" ht="11.25" customHeight="1" x14ac:dyDescent="0.2">
      <c r="A1526" s="26" t="s">
        <v>1564</v>
      </c>
      <c r="B1526" s="26"/>
      <c r="C1526" s="26"/>
    </row>
    <row r="1527" spans="1:3" ht="11.25" customHeight="1" x14ac:dyDescent="0.2">
      <c r="A1527" s="26" t="s">
        <v>1565</v>
      </c>
      <c r="B1527" s="26"/>
      <c r="C1527" s="26"/>
    </row>
    <row r="1528" spans="1:3" ht="11.25" customHeight="1" x14ac:dyDescent="0.2">
      <c r="A1528" s="26" t="s">
        <v>1566</v>
      </c>
      <c r="B1528" s="26"/>
      <c r="C1528" s="26"/>
    </row>
    <row r="1529" spans="1:3" ht="11.25" customHeight="1" x14ac:dyDescent="0.2">
      <c r="A1529" s="26" t="s">
        <v>1567</v>
      </c>
      <c r="B1529" s="26"/>
      <c r="C1529" s="26"/>
    </row>
    <row r="1530" spans="1:3" ht="11.25" customHeight="1" x14ac:dyDescent="0.2">
      <c r="A1530" s="26" t="s">
        <v>1568</v>
      </c>
      <c r="B1530" s="26"/>
      <c r="C1530" s="26"/>
    </row>
    <row r="1531" spans="1:3" ht="11.25" customHeight="1" x14ac:dyDescent="0.2">
      <c r="A1531" s="26" t="s">
        <v>1569</v>
      </c>
      <c r="B1531" s="26"/>
      <c r="C1531" s="26"/>
    </row>
    <row r="1532" spans="1:3" ht="11.25" customHeight="1" x14ac:dyDescent="0.2">
      <c r="A1532" s="26" t="s">
        <v>1570</v>
      </c>
      <c r="B1532" s="26"/>
      <c r="C1532" s="26"/>
    </row>
    <row r="1533" spans="1:3" ht="11.25" customHeight="1" x14ac:dyDescent="0.2">
      <c r="A1533" s="26" t="s">
        <v>1571</v>
      </c>
      <c r="B1533" s="26"/>
      <c r="C1533" s="26"/>
    </row>
    <row r="1534" spans="1:3" ht="11.25" customHeight="1" x14ac:dyDescent="0.2">
      <c r="A1534" s="26" t="s">
        <v>1572</v>
      </c>
      <c r="B1534" s="26"/>
      <c r="C1534" s="26"/>
    </row>
    <row r="1535" spans="1:3" ht="11.25" customHeight="1" x14ac:dyDescent="0.2">
      <c r="A1535" s="26" t="s">
        <v>1573</v>
      </c>
      <c r="B1535" s="26"/>
      <c r="C1535" s="26"/>
    </row>
    <row r="1536" spans="1:3" ht="11.25" customHeight="1" x14ac:dyDescent="0.2">
      <c r="A1536" s="26" t="s">
        <v>1574</v>
      </c>
      <c r="B1536" s="26"/>
      <c r="C1536" s="26"/>
    </row>
    <row r="1537" spans="1:3" ht="11.25" customHeight="1" x14ac:dyDescent="0.2">
      <c r="A1537" s="26" t="s">
        <v>1575</v>
      </c>
      <c r="B1537" s="26"/>
      <c r="C1537" s="26"/>
    </row>
    <row r="1538" spans="1:3" ht="11.25" customHeight="1" x14ac:dyDescent="0.2">
      <c r="A1538" s="26" t="s">
        <v>1576</v>
      </c>
      <c r="B1538" s="26"/>
      <c r="C1538" s="26"/>
    </row>
    <row r="1539" spans="1:3" ht="11.25" customHeight="1" x14ac:dyDescent="0.2">
      <c r="A1539" s="26" t="s">
        <v>1577</v>
      </c>
      <c r="B1539" s="26"/>
      <c r="C1539" s="26"/>
    </row>
    <row r="1540" spans="1:3" ht="11.25" customHeight="1" x14ac:dyDescent="0.2">
      <c r="A1540" s="26" t="s">
        <v>1578</v>
      </c>
      <c r="B1540" s="26"/>
      <c r="C1540" s="26"/>
    </row>
    <row r="1541" spans="1:3" ht="11.25" customHeight="1" x14ac:dyDescent="0.2">
      <c r="A1541" s="26" t="s">
        <v>1579</v>
      </c>
      <c r="B1541" s="26"/>
      <c r="C1541" s="26"/>
    </row>
    <row r="1542" spans="1:3" ht="11.25" customHeight="1" x14ac:dyDescent="0.2">
      <c r="A1542" s="26" t="s">
        <v>1580</v>
      </c>
      <c r="B1542" s="26"/>
      <c r="C1542" s="26"/>
    </row>
    <row r="1543" spans="1:3" ht="11.25" customHeight="1" x14ac:dyDescent="0.2">
      <c r="A1543" s="26" t="s">
        <v>1581</v>
      </c>
      <c r="B1543" s="26"/>
      <c r="C1543" s="26"/>
    </row>
    <row r="1544" spans="1:3" ht="11.25" customHeight="1" x14ac:dyDescent="0.2">
      <c r="A1544" s="26" t="s">
        <v>1582</v>
      </c>
      <c r="B1544" s="26"/>
      <c r="C1544" s="26"/>
    </row>
    <row r="1545" spans="1:3" ht="11.25" customHeight="1" x14ac:dyDescent="0.2">
      <c r="A1545" s="26" t="s">
        <v>1583</v>
      </c>
      <c r="B1545" s="26"/>
      <c r="C1545" s="26"/>
    </row>
    <row r="1546" spans="1:3" ht="11.25" customHeight="1" x14ac:dyDescent="0.2">
      <c r="A1546" s="26" t="s">
        <v>1584</v>
      </c>
      <c r="B1546" s="26"/>
      <c r="C1546" s="26"/>
    </row>
    <row r="1547" spans="1:3" ht="11.25" customHeight="1" x14ac:dyDescent="0.2">
      <c r="A1547" s="26" t="s">
        <v>1585</v>
      </c>
      <c r="B1547" s="26"/>
      <c r="C1547" s="26"/>
    </row>
    <row r="1548" spans="1:3" ht="11.25" customHeight="1" x14ac:dyDescent="0.2">
      <c r="A1548" s="26" t="s">
        <v>1586</v>
      </c>
      <c r="B1548" s="26"/>
      <c r="C1548" s="26"/>
    </row>
    <row r="1549" spans="1:3" ht="11.25" customHeight="1" x14ac:dyDescent="0.2">
      <c r="A1549" s="26" t="s">
        <v>1587</v>
      </c>
      <c r="B1549" s="26"/>
      <c r="C1549" s="26"/>
    </row>
    <row r="1550" spans="1:3" ht="11.25" customHeight="1" x14ac:dyDescent="0.2">
      <c r="A1550" s="26" t="s">
        <v>1588</v>
      </c>
      <c r="B1550" s="26"/>
      <c r="C1550" s="26"/>
    </row>
    <row r="1551" spans="1:3" ht="11.25" customHeight="1" x14ac:dyDescent="0.2">
      <c r="A1551" s="26" t="s">
        <v>1589</v>
      </c>
      <c r="B1551" s="26"/>
      <c r="C1551" s="26"/>
    </row>
    <row r="1552" spans="1:3" ht="11.25" customHeight="1" x14ac:dyDescent="0.2">
      <c r="A1552" s="26" t="s">
        <v>1590</v>
      </c>
      <c r="B1552" s="26"/>
      <c r="C1552" s="26"/>
    </row>
    <row r="1553" spans="1:3" ht="11.25" customHeight="1" x14ac:dyDescent="0.2">
      <c r="A1553" s="26" t="s">
        <v>1591</v>
      </c>
      <c r="B1553" s="26"/>
      <c r="C1553" s="26"/>
    </row>
    <row r="1554" spans="1:3" ht="11.25" customHeight="1" x14ac:dyDescent="0.2">
      <c r="A1554" s="26" t="s">
        <v>1592</v>
      </c>
      <c r="B1554" s="26"/>
      <c r="C1554" s="26"/>
    </row>
    <row r="1555" spans="1:3" ht="11.25" customHeight="1" x14ac:dyDescent="0.2">
      <c r="A1555" s="26" t="s">
        <v>1593</v>
      </c>
      <c r="B1555" s="26"/>
      <c r="C1555" s="26"/>
    </row>
    <row r="1556" spans="1:3" ht="11.25" customHeight="1" x14ac:dyDescent="0.2">
      <c r="A1556" s="26" t="s">
        <v>1594</v>
      </c>
      <c r="B1556" s="26"/>
      <c r="C1556" s="26"/>
    </row>
    <row r="1557" spans="1:3" ht="11.25" customHeight="1" x14ac:dyDescent="0.2">
      <c r="A1557" s="26" t="s">
        <v>1595</v>
      </c>
      <c r="B1557" s="26"/>
      <c r="C1557" s="26"/>
    </row>
    <row r="1558" spans="1:3" ht="11.25" customHeight="1" x14ac:dyDescent="0.2">
      <c r="A1558" s="26" t="s">
        <v>1596</v>
      </c>
      <c r="B1558" s="26"/>
      <c r="C1558" s="26"/>
    </row>
    <row r="1559" spans="1:3" ht="11.25" customHeight="1" x14ac:dyDescent="0.2">
      <c r="A1559" s="26" t="s">
        <v>1597</v>
      </c>
      <c r="B1559" s="26"/>
      <c r="C1559" s="26"/>
    </row>
    <row r="1560" spans="1:3" ht="11.25" customHeight="1" x14ac:dyDescent="0.2">
      <c r="A1560" s="26" t="s">
        <v>1598</v>
      </c>
      <c r="B1560" s="26"/>
      <c r="C1560" s="26"/>
    </row>
    <row r="1561" spans="1:3" ht="11.25" customHeight="1" x14ac:dyDescent="0.2">
      <c r="A1561" s="26" t="s">
        <v>1599</v>
      </c>
      <c r="B1561" s="26"/>
      <c r="C1561" s="26"/>
    </row>
    <row r="1562" spans="1:3" ht="11.25" customHeight="1" x14ac:dyDescent="0.2">
      <c r="A1562" s="26" t="s">
        <v>1600</v>
      </c>
      <c r="B1562" s="26"/>
      <c r="C1562" s="26"/>
    </row>
    <row r="1563" spans="1:3" ht="11.25" customHeight="1" x14ac:dyDescent="0.2">
      <c r="A1563" s="26" t="s">
        <v>1601</v>
      </c>
      <c r="B1563" s="26"/>
      <c r="C1563" s="26"/>
    </row>
    <row r="1564" spans="1:3" ht="11.25" customHeight="1" x14ac:dyDescent="0.2">
      <c r="A1564" s="26" t="s">
        <v>1602</v>
      </c>
      <c r="B1564" s="26"/>
      <c r="C1564" s="26"/>
    </row>
    <row r="1565" spans="1:3" ht="11.25" customHeight="1" x14ac:dyDescent="0.2">
      <c r="A1565" s="26" t="s">
        <v>1603</v>
      </c>
      <c r="B1565" s="26"/>
      <c r="C1565" s="26"/>
    </row>
    <row r="1566" spans="1:3" ht="11.25" customHeight="1" x14ac:dyDescent="0.2">
      <c r="A1566" s="26" t="s">
        <v>1604</v>
      </c>
      <c r="B1566" s="26"/>
      <c r="C1566" s="26"/>
    </row>
    <row r="1567" spans="1:3" ht="11.25" customHeight="1" x14ac:dyDescent="0.2">
      <c r="A1567" s="26" t="s">
        <v>1605</v>
      </c>
      <c r="B1567" s="26"/>
      <c r="C1567" s="26"/>
    </row>
    <row r="1568" spans="1:3" ht="11.25" customHeight="1" x14ac:dyDescent="0.2">
      <c r="A1568" s="26" t="s">
        <v>1606</v>
      </c>
      <c r="B1568" s="26"/>
      <c r="C1568" s="26"/>
    </row>
    <row r="1569" spans="1:3" ht="11.25" customHeight="1" x14ac:dyDescent="0.2">
      <c r="A1569" s="26" t="s">
        <v>1607</v>
      </c>
      <c r="B1569" s="26"/>
      <c r="C1569" s="26"/>
    </row>
    <row r="1570" spans="1:3" ht="11.25" customHeight="1" x14ac:dyDescent="0.2">
      <c r="A1570" s="26" t="s">
        <v>1608</v>
      </c>
      <c r="B1570" s="26"/>
      <c r="C1570" s="26"/>
    </row>
    <row r="1571" spans="1:3" ht="11.25" customHeight="1" x14ac:dyDescent="0.2">
      <c r="A1571" s="26" t="s">
        <v>1609</v>
      </c>
      <c r="B1571" s="26"/>
      <c r="C1571" s="26"/>
    </row>
    <row r="1572" spans="1:3" ht="11.25" customHeight="1" x14ac:dyDescent="0.2">
      <c r="A1572" s="26" t="s">
        <v>1610</v>
      </c>
      <c r="B1572" s="26"/>
      <c r="C1572" s="26"/>
    </row>
    <row r="1573" spans="1:3" ht="11.25" customHeight="1" x14ac:dyDescent="0.2">
      <c r="A1573" s="26" t="s">
        <v>1611</v>
      </c>
      <c r="B1573" s="26"/>
      <c r="C1573" s="26"/>
    </row>
    <row r="1574" spans="1:3" ht="11.25" customHeight="1" x14ac:dyDescent="0.2">
      <c r="A1574" s="26" t="s">
        <v>1612</v>
      </c>
      <c r="B1574" s="26"/>
      <c r="C1574" s="26"/>
    </row>
    <row r="1575" spans="1:3" ht="11.25" customHeight="1" x14ac:dyDescent="0.2">
      <c r="A1575" s="26" t="s">
        <v>1613</v>
      </c>
      <c r="B1575" s="26"/>
      <c r="C1575" s="26"/>
    </row>
    <row r="1576" spans="1:3" ht="11.25" customHeight="1" x14ac:dyDescent="0.2">
      <c r="A1576" s="26" t="s">
        <v>1614</v>
      </c>
      <c r="B1576" s="26"/>
      <c r="C1576" s="26"/>
    </row>
    <row r="1577" spans="1:3" ht="11.25" customHeight="1" x14ac:dyDescent="0.2">
      <c r="A1577" s="26" t="s">
        <v>1615</v>
      </c>
      <c r="B1577" s="26"/>
      <c r="C1577" s="26"/>
    </row>
    <row r="1578" spans="1:3" ht="11.25" customHeight="1" x14ac:dyDescent="0.2">
      <c r="A1578" s="26" t="s">
        <v>1616</v>
      </c>
      <c r="B1578" s="26"/>
      <c r="C1578" s="26"/>
    </row>
    <row r="1579" spans="1:3" ht="11.25" customHeight="1" x14ac:dyDescent="0.2">
      <c r="A1579" s="26" t="s">
        <v>1617</v>
      </c>
      <c r="B1579" s="26"/>
      <c r="C1579" s="26"/>
    </row>
    <row r="1580" spans="1:3" ht="11.25" customHeight="1" x14ac:dyDescent="0.2">
      <c r="A1580" s="26" t="s">
        <v>1618</v>
      </c>
      <c r="B1580" s="26"/>
      <c r="C1580" s="26"/>
    </row>
    <row r="1581" spans="1:3" ht="11.25" customHeight="1" x14ac:dyDescent="0.2">
      <c r="A1581" s="26" t="s">
        <v>1619</v>
      </c>
      <c r="B1581" s="26"/>
      <c r="C1581" s="26"/>
    </row>
    <row r="1582" spans="1:3" ht="11.25" customHeight="1" x14ac:dyDescent="0.2">
      <c r="A1582" s="26" t="s">
        <v>1620</v>
      </c>
      <c r="B1582" s="26"/>
      <c r="C1582" s="26"/>
    </row>
    <row r="1583" spans="1:3" ht="11.25" customHeight="1" x14ac:dyDescent="0.2">
      <c r="A1583" s="26" t="s">
        <v>1621</v>
      </c>
      <c r="B1583" s="26"/>
      <c r="C1583" s="26"/>
    </row>
    <row r="1584" spans="1:3" ht="11.25" customHeight="1" x14ac:dyDescent="0.2">
      <c r="A1584" s="26" t="s">
        <v>1622</v>
      </c>
      <c r="B1584" s="26"/>
      <c r="C1584" s="26"/>
    </row>
    <row r="1585" spans="1:3" ht="11.25" customHeight="1" x14ac:dyDescent="0.2">
      <c r="A1585" s="26" t="s">
        <v>1623</v>
      </c>
      <c r="B1585" s="26"/>
      <c r="C1585" s="26"/>
    </row>
    <row r="1586" spans="1:3" ht="11.25" customHeight="1" x14ac:dyDescent="0.2">
      <c r="A1586" s="26" t="s">
        <v>1624</v>
      </c>
      <c r="B1586" s="26"/>
      <c r="C1586" s="26"/>
    </row>
    <row r="1587" spans="1:3" ht="11.25" customHeight="1" x14ac:dyDescent="0.2">
      <c r="A1587" s="26" t="s">
        <v>1625</v>
      </c>
      <c r="B1587" s="26"/>
      <c r="C1587" s="26"/>
    </row>
    <row r="1588" spans="1:3" ht="11.25" customHeight="1" x14ac:dyDescent="0.2">
      <c r="A1588" s="26" t="s">
        <v>1626</v>
      </c>
      <c r="B1588" s="26"/>
      <c r="C1588" s="26"/>
    </row>
    <row r="1589" spans="1:3" ht="11.25" customHeight="1" x14ac:dyDescent="0.2">
      <c r="A1589" s="26" t="s">
        <v>1627</v>
      </c>
      <c r="B1589" s="26"/>
      <c r="C1589" s="26"/>
    </row>
    <row r="1590" spans="1:3" ht="11.25" customHeight="1" x14ac:dyDescent="0.2">
      <c r="A1590" s="26" t="s">
        <v>1628</v>
      </c>
      <c r="B1590" s="26"/>
      <c r="C1590" s="26"/>
    </row>
    <row r="1591" spans="1:3" ht="11.25" customHeight="1" x14ac:dyDescent="0.2">
      <c r="A1591" s="26" t="s">
        <v>1629</v>
      </c>
      <c r="B1591" s="26"/>
      <c r="C1591" s="26"/>
    </row>
    <row r="1592" spans="1:3" ht="11.25" customHeight="1" x14ac:dyDescent="0.2">
      <c r="A1592" s="26" t="s">
        <v>1630</v>
      </c>
      <c r="B1592" s="26"/>
      <c r="C1592" s="26"/>
    </row>
    <row r="1593" spans="1:3" ht="11.25" customHeight="1" x14ac:dyDescent="0.2">
      <c r="A1593" s="26" t="s">
        <v>1631</v>
      </c>
      <c r="B1593" s="26"/>
      <c r="C1593" s="26"/>
    </row>
    <row r="1594" spans="1:3" ht="11.25" customHeight="1" x14ac:dyDescent="0.2">
      <c r="A1594" s="26" t="s">
        <v>1632</v>
      </c>
      <c r="B1594" s="26"/>
      <c r="C1594" s="26"/>
    </row>
    <row r="1595" spans="1:3" ht="11.25" customHeight="1" x14ac:dyDescent="0.2">
      <c r="A1595" s="26" t="s">
        <v>1633</v>
      </c>
      <c r="B1595" s="26"/>
      <c r="C1595" s="26"/>
    </row>
    <row r="1596" spans="1:3" ht="11.25" customHeight="1" x14ac:dyDescent="0.2">
      <c r="A1596" s="26" t="s">
        <v>1634</v>
      </c>
      <c r="B1596" s="26"/>
      <c r="C1596" s="26"/>
    </row>
    <row r="1597" spans="1:3" ht="11.25" customHeight="1" x14ac:dyDescent="0.2">
      <c r="A1597" s="26" t="s">
        <v>1635</v>
      </c>
      <c r="B1597" s="26"/>
      <c r="C1597" s="26"/>
    </row>
    <row r="1598" spans="1:3" ht="11.25" customHeight="1" x14ac:dyDescent="0.2">
      <c r="A1598" s="26" t="s">
        <v>1636</v>
      </c>
      <c r="B1598" s="26"/>
      <c r="C1598" s="26"/>
    </row>
    <row r="1599" spans="1:3" ht="11.25" customHeight="1" x14ac:dyDescent="0.2">
      <c r="A1599" s="26" t="s">
        <v>1637</v>
      </c>
      <c r="B1599" s="26"/>
      <c r="C1599" s="26"/>
    </row>
    <row r="1600" spans="1:3" ht="11.25" customHeight="1" x14ac:dyDescent="0.2">
      <c r="A1600" s="26" t="s">
        <v>1638</v>
      </c>
      <c r="B1600" s="26"/>
      <c r="C1600" s="26"/>
    </row>
    <row r="1601" spans="1:3" ht="11.25" customHeight="1" x14ac:dyDescent="0.2">
      <c r="A1601" s="26" t="s">
        <v>1639</v>
      </c>
      <c r="B1601" s="26"/>
      <c r="C1601" s="26"/>
    </row>
    <row r="1602" spans="1:3" ht="11.25" customHeight="1" x14ac:dyDescent="0.2">
      <c r="A1602" s="26" t="s">
        <v>1640</v>
      </c>
      <c r="B1602" s="26"/>
      <c r="C1602" s="26"/>
    </row>
    <row r="1603" spans="1:3" ht="11.25" customHeight="1" x14ac:dyDescent="0.2">
      <c r="A1603" s="26" t="s">
        <v>1641</v>
      </c>
      <c r="B1603" s="26"/>
      <c r="C1603" s="26"/>
    </row>
    <row r="1604" spans="1:3" ht="11.25" customHeight="1" x14ac:dyDescent="0.2">
      <c r="A1604" s="26" t="s">
        <v>1642</v>
      </c>
      <c r="B1604" s="26"/>
      <c r="C1604" s="26"/>
    </row>
    <row r="1605" spans="1:3" ht="11.25" customHeight="1" x14ac:dyDescent="0.2">
      <c r="A1605" s="26" t="s">
        <v>1643</v>
      </c>
      <c r="B1605" s="26"/>
      <c r="C1605" s="26"/>
    </row>
    <row r="1606" spans="1:3" ht="11.25" customHeight="1" x14ac:dyDescent="0.2">
      <c r="A1606" s="26" t="s">
        <v>1644</v>
      </c>
      <c r="B1606" s="26"/>
      <c r="C1606" s="26"/>
    </row>
    <row r="1607" spans="1:3" ht="11.25" customHeight="1" x14ac:dyDescent="0.2">
      <c r="A1607" s="26" t="s">
        <v>1645</v>
      </c>
      <c r="B1607" s="26"/>
      <c r="C1607" s="26"/>
    </row>
    <row r="1608" spans="1:3" ht="11.25" customHeight="1" x14ac:dyDescent="0.2">
      <c r="A1608" s="26" t="s">
        <v>1646</v>
      </c>
      <c r="B1608" s="26"/>
      <c r="C1608" s="26"/>
    </row>
    <row r="1609" spans="1:3" ht="11.25" customHeight="1" x14ac:dyDescent="0.2">
      <c r="A1609" s="26" t="s">
        <v>1647</v>
      </c>
      <c r="B1609" s="26"/>
      <c r="C1609" s="26"/>
    </row>
    <row r="1610" spans="1:3" ht="11.25" customHeight="1" x14ac:dyDescent="0.2">
      <c r="A1610" s="26" t="s">
        <v>1648</v>
      </c>
      <c r="B1610" s="26"/>
      <c r="C1610" s="26"/>
    </row>
    <row r="1611" spans="1:3" ht="11.25" customHeight="1" x14ac:dyDescent="0.2">
      <c r="A1611" s="26" t="s">
        <v>1649</v>
      </c>
      <c r="B1611" s="26"/>
      <c r="C1611" s="26"/>
    </row>
    <row r="1612" spans="1:3" ht="11.25" customHeight="1" x14ac:dyDescent="0.2">
      <c r="A1612" s="26" t="s">
        <v>1650</v>
      </c>
      <c r="B1612" s="26"/>
      <c r="C1612" s="26"/>
    </row>
    <row r="1613" spans="1:3" ht="11.25" customHeight="1" x14ac:dyDescent="0.2">
      <c r="A1613" s="26" t="s">
        <v>1651</v>
      </c>
      <c r="B1613" s="26"/>
      <c r="C1613" s="26"/>
    </row>
    <row r="1614" spans="1:3" ht="11.25" customHeight="1" x14ac:dyDescent="0.2">
      <c r="A1614" s="26" t="s">
        <v>1652</v>
      </c>
      <c r="B1614" s="26"/>
      <c r="C1614" s="26"/>
    </row>
    <row r="1615" spans="1:3" ht="11.25" customHeight="1" x14ac:dyDescent="0.2">
      <c r="A1615" s="26" t="s">
        <v>1653</v>
      </c>
      <c r="B1615" s="26"/>
      <c r="C1615" s="26"/>
    </row>
    <row r="1616" spans="1:3" ht="11.25" customHeight="1" x14ac:dyDescent="0.2">
      <c r="A1616" s="26" t="s">
        <v>1654</v>
      </c>
      <c r="B1616" s="26"/>
      <c r="C1616" s="26"/>
    </row>
    <row r="1617" spans="1:3" ht="11.25" customHeight="1" x14ac:dyDescent="0.2">
      <c r="A1617" s="26" t="s">
        <v>1655</v>
      </c>
      <c r="B1617" s="26"/>
      <c r="C1617" s="26"/>
    </row>
    <row r="1618" spans="1:3" ht="11.25" customHeight="1" x14ac:dyDescent="0.2">
      <c r="A1618" s="26" t="s">
        <v>1656</v>
      </c>
      <c r="B1618" s="26"/>
      <c r="C1618" s="26"/>
    </row>
    <row r="1619" spans="1:3" ht="11.25" customHeight="1" x14ac:dyDescent="0.2">
      <c r="A1619" s="26" t="s">
        <v>1657</v>
      </c>
      <c r="B1619" s="26"/>
      <c r="C1619" s="26"/>
    </row>
    <row r="1620" spans="1:3" ht="11.25" customHeight="1" x14ac:dyDescent="0.2">
      <c r="A1620" s="26" t="s">
        <v>1658</v>
      </c>
      <c r="B1620" s="26"/>
      <c r="C1620" s="26"/>
    </row>
    <row r="1621" spans="1:3" ht="11.25" customHeight="1" x14ac:dyDescent="0.2">
      <c r="A1621" s="26" t="s">
        <v>1659</v>
      </c>
      <c r="B1621" s="26"/>
      <c r="C1621" s="26"/>
    </row>
    <row r="1622" spans="1:3" ht="11.25" customHeight="1" x14ac:dyDescent="0.2">
      <c r="A1622" s="26" t="s">
        <v>1660</v>
      </c>
      <c r="B1622" s="26"/>
      <c r="C1622" s="26"/>
    </row>
    <row r="1623" spans="1:3" ht="11.25" customHeight="1" x14ac:dyDescent="0.2">
      <c r="A1623" s="26" t="s">
        <v>1661</v>
      </c>
      <c r="B1623" s="26"/>
      <c r="C1623" s="26"/>
    </row>
    <row r="1624" spans="1:3" ht="11.25" customHeight="1" x14ac:dyDescent="0.2">
      <c r="A1624" s="26" t="s">
        <v>1662</v>
      </c>
      <c r="B1624" s="26"/>
      <c r="C1624" s="26"/>
    </row>
    <row r="1625" spans="1:3" ht="11.25" customHeight="1" x14ac:dyDescent="0.2">
      <c r="A1625" s="26" t="s">
        <v>1663</v>
      </c>
      <c r="B1625" s="26"/>
      <c r="C1625" s="26"/>
    </row>
    <row r="1626" spans="1:3" ht="11.25" customHeight="1" x14ac:dyDescent="0.2">
      <c r="A1626" s="26" t="s">
        <v>1664</v>
      </c>
      <c r="B1626" s="26"/>
      <c r="C1626" s="26"/>
    </row>
    <row r="1627" spans="1:3" ht="11.25" customHeight="1" x14ac:dyDescent="0.2">
      <c r="A1627" s="26" t="s">
        <v>1665</v>
      </c>
      <c r="B1627" s="26"/>
      <c r="C1627" s="26"/>
    </row>
    <row r="1628" spans="1:3" ht="11.25" customHeight="1" x14ac:dyDescent="0.2">
      <c r="A1628" s="26" t="s">
        <v>1666</v>
      </c>
      <c r="B1628" s="26"/>
      <c r="C1628" s="26"/>
    </row>
    <row r="1629" spans="1:3" ht="11.25" customHeight="1" x14ac:dyDescent="0.2">
      <c r="A1629" s="26" t="s">
        <v>1667</v>
      </c>
      <c r="B1629" s="26"/>
      <c r="C1629" s="26"/>
    </row>
    <row r="1630" spans="1:3" ht="11.25" customHeight="1" x14ac:dyDescent="0.2">
      <c r="A1630" s="26" t="s">
        <v>1668</v>
      </c>
      <c r="B1630" s="26"/>
      <c r="C1630" s="26"/>
    </row>
    <row r="1631" spans="1:3" ht="11.25" customHeight="1" x14ac:dyDescent="0.2">
      <c r="A1631" s="26" t="s">
        <v>1669</v>
      </c>
      <c r="B1631" s="26"/>
      <c r="C1631" s="26"/>
    </row>
    <row r="1632" spans="1:3" ht="11.25" customHeight="1" x14ac:dyDescent="0.2">
      <c r="A1632" s="26" t="s">
        <v>1670</v>
      </c>
      <c r="B1632" s="26"/>
      <c r="C1632" s="26"/>
    </row>
    <row r="1633" spans="1:3" ht="11.25" customHeight="1" x14ac:dyDescent="0.2">
      <c r="A1633" s="26" t="s">
        <v>1671</v>
      </c>
      <c r="B1633" s="26"/>
      <c r="C1633" s="26"/>
    </row>
    <row r="1634" spans="1:3" ht="11.25" customHeight="1" x14ac:dyDescent="0.2">
      <c r="A1634" s="26" t="s">
        <v>1672</v>
      </c>
      <c r="B1634" s="26"/>
      <c r="C1634" s="26"/>
    </row>
    <row r="1635" spans="1:3" ht="11.25" customHeight="1" x14ac:dyDescent="0.2">
      <c r="A1635" s="26" t="s">
        <v>1673</v>
      </c>
      <c r="B1635" s="26"/>
      <c r="C1635" s="26"/>
    </row>
    <row r="1636" spans="1:3" ht="11.25" customHeight="1" x14ac:dyDescent="0.2">
      <c r="A1636" s="26" t="s">
        <v>1674</v>
      </c>
      <c r="B1636" s="26"/>
      <c r="C1636" s="26"/>
    </row>
    <row r="1637" spans="1:3" ht="11.25" customHeight="1" x14ac:dyDescent="0.2">
      <c r="A1637" s="26" t="s">
        <v>1675</v>
      </c>
      <c r="B1637" s="26"/>
      <c r="C1637" s="26"/>
    </row>
    <row r="1638" spans="1:3" ht="11.25" customHeight="1" x14ac:dyDescent="0.2">
      <c r="A1638" s="26" t="s">
        <v>1676</v>
      </c>
      <c r="B1638" s="26"/>
      <c r="C1638" s="26"/>
    </row>
    <row r="1639" spans="1:3" ht="11.25" customHeight="1" x14ac:dyDescent="0.2">
      <c r="A1639" s="26" t="s">
        <v>1677</v>
      </c>
      <c r="B1639" s="26"/>
      <c r="C1639" s="26"/>
    </row>
    <row r="1640" spans="1:3" ht="11.25" customHeight="1" x14ac:dyDescent="0.2">
      <c r="A1640" s="26" t="s">
        <v>1678</v>
      </c>
      <c r="B1640" s="26"/>
      <c r="C1640" s="26"/>
    </row>
    <row r="1641" spans="1:3" ht="11.25" customHeight="1" x14ac:dyDescent="0.2">
      <c r="A1641" s="26" t="s">
        <v>1679</v>
      </c>
      <c r="B1641" s="26"/>
      <c r="C1641" s="26"/>
    </row>
    <row r="1642" spans="1:3" ht="11.25" customHeight="1" x14ac:dyDescent="0.2">
      <c r="A1642" s="26" t="s">
        <v>1680</v>
      </c>
      <c r="B1642" s="26"/>
      <c r="C1642" s="26"/>
    </row>
    <row r="1643" spans="1:3" ht="11.25" customHeight="1" x14ac:dyDescent="0.2">
      <c r="A1643" s="26" t="s">
        <v>1681</v>
      </c>
      <c r="B1643" s="26"/>
      <c r="C1643" s="26"/>
    </row>
    <row r="1644" spans="1:3" ht="11.25" customHeight="1" x14ac:dyDescent="0.2">
      <c r="A1644" s="26" t="s">
        <v>1682</v>
      </c>
      <c r="B1644" s="26"/>
      <c r="C1644" s="26"/>
    </row>
    <row r="1645" spans="1:3" ht="11.25" customHeight="1" x14ac:dyDescent="0.2">
      <c r="A1645" s="26" t="s">
        <v>1683</v>
      </c>
      <c r="B1645" s="26"/>
      <c r="C1645" s="26"/>
    </row>
    <row r="1646" spans="1:3" ht="11.25" customHeight="1" x14ac:dyDescent="0.2">
      <c r="A1646" s="26" t="s">
        <v>1684</v>
      </c>
      <c r="B1646" s="26"/>
      <c r="C1646" s="26"/>
    </row>
    <row r="1647" spans="1:3" ht="11.25" customHeight="1" x14ac:dyDescent="0.2">
      <c r="A1647" s="26" t="s">
        <v>1685</v>
      </c>
      <c r="B1647" s="26"/>
      <c r="C1647" s="26"/>
    </row>
    <row r="1648" spans="1:3" ht="11.25" customHeight="1" x14ac:dyDescent="0.2">
      <c r="A1648" s="26" t="s">
        <v>1686</v>
      </c>
      <c r="B1648" s="26"/>
      <c r="C1648" s="26"/>
    </row>
    <row r="1649" spans="1:3" ht="11.25" customHeight="1" x14ac:dyDescent="0.2">
      <c r="A1649" s="26" t="s">
        <v>1687</v>
      </c>
      <c r="B1649" s="26"/>
      <c r="C1649" s="26"/>
    </row>
    <row r="1650" spans="1:3" ht="11.25" customHeight="1" x14ac:dyDescent="0.2">
      <c r="A1650" s="26" t="s">
        <v>1688</v>
      </c>
      <c r="B1650" s="26"/>
      <c r="C1650" s="26"/>
    </row>
    <row r="1651" spans="1:3" ht="11.25" customHeight="1" x14ac:dyDescent="0.2">
      <c r="A1651" s="26" t="s">
        <v>1689</v>
      </c>
      <c r="B1651" s="26"/>
      <c r="C1651" s="26"/>
    </row>
    <row r="1652" spans="1:3" ht="11.25" customHeight="1" x14ac:dyDescent="0.2">
      <c r="A1652" s="26" t="s">
        <v>1690</v>
      </c>
      <c r="B1652" s="26"/>
      <c r="C1652" s="26"/>
    </row>
    <row r="1653" spans="1:3" ht="11.25" customHeight="1" x14ac:dyDescent="0.2">
      <c r="A1653" s="26" t="s">
        <v>1691</v>
      </c>
      <c r="B1653" s="26"/>
      <c r="C1653" s="26"/>
    </row>
    <row r="1654" spans="1:3" ht="11.25" customHeight="1" x14ac:dyDescent="0.2">
      <c r="A1654" s="26" t="s">
        <v>1692</v>
      </c>
      <c r="B1654" s="26"/>
      <c r="C1654" s="26"/>
    </row>
    <row r="1655" spans="1:3" ht="11.25" customHeight="1" x14ac:dyDescent="0.2">
      <c r="A1655" s="26" t="s">
        <v>1693</v>
      </c>
      <c r="B1655" s="26"/>
      <c r="C1655" s="26"/>
    </row>
    <row r="1656" spans="1:3" ht="11.25" customHeight="1" x14ac:dyDescent="0.2">
      <c r="A1656" s="26" t="s">
        <v>1694</v>
      </c>
      <c r="B1656" s="26"/>
      <c r="C1656" s="26"/>
    </row>
    <row r="1657" spans="1:3" ht="11.25" customHeight="1" x14ac:dyDescent="0.2">
      <c r="A1657" s="26" t="s">
        <v>1695</v>
      </c>
      <c r="B1657" s="26"/>
      <c r="C1657" s="26"/>
    </row>
    <row r="1658" spans="1:3" ht="11.25" customHeight="1" x14ac:dyDescent="0.2">
      <c r="A1658" s="26" t="s">
        <v>1696</v>
      </c>
      <c r="B1658" s="26"/>
      <c r="C1658" s="26"/>
    </row>
    <row r="1659" spans="1:3" ht="11.25" customHeight="1" x14ac:dyDescent="0.2">
      <c r="A1659" s="26" t="s">
        <v>1697</v>
      </c>
      <c r="B1659" s="26"/>
      <c r="C1659" s="26"/>
    </row>
    <row r="1660" spans="1:3" ht="11.25" customHeight="1" x14ac:dyDescent="0.2">
      <c r="A1660" s="26" t="s">
        <v>1698</v>
      </c>
      <c r="B1660" s="26"/>
      <c r="C1660" s="26"/>
    </row>
    <row r="1661" spans="1:3" ht="11.25" customHeight="1" x14ac:dyDescent="0.2">
      <c r="A1661" s="26" t="s">
        <v>1699</v>
      </c>
      <c r="B1661" s="26"/>
      <c r="C1661" s="26"/>
    </row>
    <row r="1662" spans="1:3" ht="11.25" customHeight="1" x14ac:dyDescent="0.2">
      <c r="A1662" s="26" t="s">
        <v>1700</v>
      </c>
      <c r="B1662" s="26"/>
      <c r="C1662" s="26"/>
    </row>
    <row r="1663" spans="1:3" ht="11.25" customHeight="1" x14ac:dyDescent="0.2">
      <c r="A1663" s="26" t="s">
        <v>1701</v>
      </c>
      <c r="B1663" s="26"/>
      <c r="C1663" s="26"/>
    </row>
    <row r="1664" spans="1:3" ht="11.25" customHeight="1" x14ac:dyDescent="0.2">
      <c r="A1664" s="26" t="s">
        <v>1702</v>
      </c>
      <c r="B1664" s="26"/>
      <c r="C1664" s="26"/>
    </row>
    <row r="1665" spans="1:3" ht="11.25" customHeight="1" x14ac:dyDescent="0.2">
      <c r="A1665" s="26" t="s">
        <v>1703</v>
      </c>
      <c r="B1665" s="26"/>
      <c r="C1665" s="26"/>
    </row>
    <row r="1666" spans="1:3" ht="11.25" customHeight="1" x14ac:dyDescent="0.2">
      <c r="A1666" s="26" t="s">
        <v>1704</v>
      </c>
      <c r="B1666" s="26"/>
      <c r="C1666" s="26"/>
    </row>
    <row r="1667" spans="1:3" ht="11.25" customHeight="1" x14ac:dyDescent="0.2">
      <c r="A1667" s="26" t="s">
        <v>1705</v>
      </c>
      <c r="B1667" s="26"/>
      <c r="C1667" s="26"/>
    </row>
    <row r="1668" spans="1:3" ht="11.25" customHeight="1" x14ac:dyDescent="0.2">
      <c r="A1668" s="26" t="s">
        <v>1706</v>
      </c>
      <c r="B1668" s="26"/>
      <c r="C1668" s="26"/>
    </row>
    <row r="1669" spans="1:3" ht="11.25" customHeight="1" x14ac:dyDescent="0.2">
      <c r="A1669" s="26" t="s">
        <v>1707</v>
      </c>
      <c r="B1669" s="26"/>
      <c r="C1669" s="26"/>
    </row>
    <row r="1670" spans="1:3" ht="11.25" customHeight="1" x14ac:dyDescent="0.2">
      <c r="A1670" s="26" t="s">
        <v>1708</v>
      </c>
      <c r="B1670" s="26"/>
      <c r="C1670" s="26"/>
    </row>
    <row r="1671" spans="1:3" ht="11.25" customHeight="1" x14ac:dyDescent="0.2">
      <c r="A1671" s="26" t="s">
        <v>1709</v>
      </c>
      <c r="B1671" s="26"/>
      <c r="C1671" s="26"/>
    </row>
    <row r="1672" spans="1:3" ht="11.25" customHeight="1" x14ac:dyDescent="0.2">
      <c r="A1672" s="26" t="s">
        <v>1710</v>
      </c>
      <c r="B1672" s="26"/>
      <c r="C1672" s="26"/>
    </row>
    <row r="1673" spans="1:3" ht="11.25" customHeight="1" x14ac:dyDescent="0.2">
      <c r="A1673" s="26" t="s">
        <v>1711</v>
      </c>
      <c r="B1673" s="26"/>
      <c r="C1673" s="26"/>
    </row>
    <row r="1674" spans="1:3" ht="11.25" customHeight="1" x14ac:dyDescent="0.2">
      <c r="A1674" s="26" t="s">
        <v>1712</v>
      </c>
      <c r="B1674" s="26"/>
      <c r="C1674" s="26"/>
    </row>
    <row r="1675" spans="1:3" ht="11.25" customHeight="1" x14ac:dyDescent="0.2">
      <c r="A1675" s="26" t="s">
        <v>1713</v>
      </c>
      <c r="B1675" s="26"/>
      <c r="C1675" s="26"/>
    </row>
    <row r="1676" spans="1:3" ht="11.25" customHeight="1" x14ac:dyDescent="0.2">
      <c r="A1676" s="26" t="s">
        <v>1714</v>
      </c>
      <c r="B1676" s="26"/>
      <c r="C1676" s="26"/>
    </row>
    <row r="1677" spans="1:3" ht="11.25" customHeight="1" x14ac:dyDescent="0.2">
      <c r="A1677" s="26" t="s">
        <v>1715</v>
      </c>
      <c r="B1677" s="26"/>
      <c r="C1677" s="26"/>
    </row>
    <row r="1678" spans="1:3" ht="11.25" customHeight="1" x14ac:dyDescent="0.2">
      <c r="A1678" s="26" t="s">
        <v>1716</v>
      </c>
      <c r="B1678" s="26"/>
      <c r="C1678" s="26"/>
    </row>
    <row r="1679" spans="1:3" ht="11.25" customHeight="1" x14ac:dyDescent="0.2">
      <c r="A1679" s="26" t="s">
        <v>1717</v>
      </c>
      <c r="B1679" s="26"/>
      <c r="C1679" s="26"/>
    </row>
    <row r="1680" spans="1:3" ht="11.25" customHeight="1" x14ac:dyDescent="0.2">
      <c r="A1680" s="26" t="s">
        <v>1718</v>
      </c>
      <c r="B1680" s="26"/>
      <c r="C1680" s="26"/>
    </row>
    <row r="1681" spans="1:3" ht="11.25" customHeight="1" x14ac:dyDescent="0.2">
      <c r="A1681" s="26" t="s">
        <v>1719</v>
      </c>
      <c r="B1681" s="26"/>
      <c r="C1681" s="26"/>
    </row>
    <row r="1682" spans="1:3" ht="11.25" customHeight="1" x14ac:dyDescent="0.2">
      <c r="A1682" s="26" t="s">
        <v>1720</v>
      </c>
      <c r="B1682" s="26"/>
      <c r="C1682" s="26"/>
    </row>
    <row r="1683" spans="1:3" ht="11.25" customHeight="1" x14ac:dyDescent="0.2">
      <c r="A1683" s="26" t="s">
        <v>1721</v>
      </c>
      <c r="B1683" s="26"/>
      <c r="C1683" s="26"/>
    </row>
    <row r="1684" spans="1:3" ht="11.25" customHeight="1" x14ac:dyDescent="0.2">
      <c r="A1684" s="26" t="s">
        <v>1722</v>
      </c>
      <c r="B1684" s="26"/>
      <c r="C1684" s="26"/>
    </row>
    <row r="1685" spans="1:3" ht="11.25" customHeight="1" x14ac:dyDescent="0.2">
      <c r="A1685" s="26" t="s">
        <v>1723</v>
      </c>
      <c r="B1685" s="26"/>
      <c r="C1685" s="26"/>
    </row>
    <row r="1686" spans="1:3" ht="11.25" customHeight="1" x14ac:dyDescent="0.2">
      <c r="A1686" s="26" t="s">
        <v>1724</v>
      </c>
      <c r="B1686" s="26"/>
      <c r="C1686" s="26"/>
    </row>
    <row r="1687" spans="1:3" ht="11.25" customHeight="1" x14ac:dyDescent="0.2">
      <c r="A1687" s="26" t="s">
        <v>1725</v>
      </c>
      <c r="B1687" s="26"/>
      <c r="C1687" s="26"/>
    </row>
    <row r="1688" spans="1:3" ht="11.25" customHeight="1" x14ac:dyDescent="0.2">
      <c r="A1688" s="26" t="s">
        <v>1726</v>
      </c>
      <c r="B1688" s="26"/>
      <c r="C1688" s="26"/>
    </row>
    <row r="1689" spans="1:3" ht="11.25" customHeight="1" x14ac:dyDescent="0.2">
      <c r="A1689" s="26" t="s">
        <v>1727</v>
      </c>
      <c r="B1689" s="26"/>
      <c r="C1689" s="26"/>
    </row>
    <row r="1690" spans="1:3" ht="11.25" customHeight="1" x14ac:dyDescent="0.2">
      <c r="A1690" s="26" t="s">
        <v>1728</v>
      </c>
      <c r="B1690" s="26"/>
      <c r="C1690" s="26"/>
    </row>
    <row r="1691" spans="1:3" ht="11.25" customHeight="1" x14ac:dyDescent="0.2">
      <c r="A1691" s="26" t="s">
        <v>1729</v>
      </c>
      <c r="B1691" s="26"/>
      <c r="C1691" s="26"/>
    </row>
    <row r="1692" spans="1:3" ht="11.25" customHeight="1" x14ac:dyDescent="0.2">
      <c r="A1692" s="26" t="s">
        <v>1730</v>
      </c>
      <c r="B1692" s="26"/>
      <c r="C1692" s="26"/>
    </row>
    <row r="1693" spans="1:3" ht="11.25" customHeight="1" x14ac:dyDescent="0.2">
      <c r="A1693" s="26" t="s">
        <v>1731</v>
      </c>
      <c r="B1693" s="26"/>
      <c r="C1693" s="26"/>
    </row>
    <row r="1694" spans="1:3" ht="11.25" customHeight="1" x14ac:dyDescent="0.2">
      <c r="A1694" s="26" t="s">
        <v>1732</v>
      </c>
      <c r="B1694" s="26"/>
      <c r="C1694" s="26"/>
    </row>
    <row r="1695" spans="1:3" ht="11.25" customHeight="1" x14ac:dyDescent="0.2">
      <c r="A1695" s="26" t="s">
        <v>1733</v>
      </c>
      <c r="B1695" s="26"/>
      <c r="C1695" s="26"/>
    </row>
    <row r="1696" spans="1:3" ht="11.25" customHeight="1" x14ac:dyDescent="0.2">
      <c r="A1696" s="26" t="s">
        <v>1734</v>
      </c>
      <c r="B1696" s="26"/>
      <c r="C1696" s="26"/>
    </row>
    <row r="1697" spans="1:3" ht="11.25" customHeight="1" x14ac:dyDescent="0.2">
      <c r="A1697" s="26" t="s">
        <v>1735</v>
      </c>
      <c r="B1697" s="26"/>
      <c r="C1697" s="26"/>
    </row>
    <row r="1698" spans="1:3" ht="11.25" customHeight="1" x14ac:dyDescent="0.2">
      <c r="A1698" s="26" t="s">
        <v>1736</v>
      </c>
      <c r="B1698" s="26"/>
      <c r="C1698" s="26"/>
    </row>
    <row r="1699" spans="1:3" ht="11.25" customHeight="1" x14ac:dyDescent="0.2">
      <c r="A1699" s="26" t="s">
        <v>1737</v>
      </c>
      <c r="B1699" s="26"/>
      <c r="C1699" s="26"/>
    </row>
    <row r="1700" spans="1:3" ht="11.25" customHeight="1" x14ac:dyDescent="0.2">
      <c r="A1700" s="26" t="s">
        <v>1738</v>
      </c>
      <c r="B1700" s="26"/>
      <c r="C1700" s="26"/>
    </row>
    <row r="1701" spans="1:3" ht="11.25" customHeight="1" x14ac:dyDescent="0.2">
      <c r="A1701" s="26" t="s">
        <v>1739</v>
      </c>
      <c r="B1701" s="26"/>
      <c r="C1701" s="26"/>
    </row>
    <row r="1702" spans="1:3" ht="11.25" customHeight="1" x14ac:dyDescent="0.2">
      <c r="A1702" s="26" t="s">
        <v>1740</v>
      </c>
      <c r="B1702" s="26"/>
      <c r="C1702" s="26"/>
    </row>
    <row r="1703" spans="1:3" ht="11.25" customHeight="1" x14ac:dyDescent="0.2">
      <c r="A1703" s="26" t="s">
        <v>1741</v>
      </c>
      <c r="B1703" s="26"/>
      <c r="C1703" s="26"/>
    </row>
    <row r="1704" spans="1:3" ht="11.25" customHeight="1" x14ac:dyDescent="0.2">
      <c r="A1704" s="26" t="s">
        <v>1742</v>
      </c>
      <c r="B1704" s="26"/>
      <c r="C1704" s="26"/>
    </row>
    <row r="1705" spans="1:3" ht="11.25" customHeight="1" x14ac:dyDescent="0.2">
      <c r="A1705" s="26" t="s">
        <v>1743</v>
      </c>
      <c r="B1705" s="26"/>
      <c r="C1705" s="26"/>
    </row>
    <row r="1706" spans="1:3" ht="11.25" customHeight="1" x14ac:dyDescent="0.2">
      <c r="A1706" s="26" t="s">
        <v>1744</v>
      </c>
      <c r="B1706" s="26"/>
      <c r="C1706" s="26"/>
    </row>
    <row r="1707" spans="1:3" ht="11.25" customHeight="1" x14ac:dyDescent="0.2">
      <c r="A1707" s="26" t="s">
        <v>1745</v>
      </c>
      <c r="B1707" s="26"/>
      <c r="C1707" s="26"/>
    </row>
    <row r="1708" spans="1:3" ht="11.25" customHeight="1" x14ac:dyDescent="0.2">
      <c r="A1708" s="26" t="s">
        <v>1746</v>
      </c>
      <c r="B1708" s="26"/>
      <c r="C1708" s="26"/>
    </row>
    <row r="1709" spans="1:3" ht="11.25" customHeight="1" x14ac:dyDescent="0.2">
      <c r="A1709" s="26" t="s">
        <v>1747</v>
      </c>
      <c r="B1709" s="26"/>
      <c r="C1709" s="26"/>
    </row>
    <row r="1710" spans="1:3" ht="11.25" customHeight="1" x14ac:dyDescent="0.2">
      <c r="A1710" s="26" t="s">
        <v>1748</v>
      </c>
      <c r="B1710" s="26"/>
      <c r="C1710" s="26"/>
    </row>
    <row r="1711" spans="1:3" ht="11.25" customHeight="1" x14ac:dyDescent="0.2">
      <c r="A1711" s="26" t="s">
        <v>1749</v>
      </c>
      <c r="B1711" s="26"/>
      <c r="C1711" s="26"/>
    </row>
    <row r="1712" spans="1:3" ht="11.25" customHeight="1" x14ac:dyDescent="0.2">
      <c r="A1712" s="26" t="s">
        <v>1750</v>
      </c>
      <c r="B1712" s="26"/>
      <c r="C1712" s="26"/>
    </row>
    <row r="1713" spans="1:3" ht="11.25" customHeight="1" x14ac:dyDescent="0.2">
      <c r="A1713" s="26" t="s">
        <v>1751</v>
      </c>
      <c r="B1713" s="26"/>
      <c r="C1713" s="26"/>
    </row>
    <row r="1714" spans="1:3" ht="11.25" customHeight="1" x14ac:dyDescent="0.2">
      <c r="A1714" s="26" t="s">
        <v>1752</v>
      </c>
      <c r="B1714" s="26"/>
      <c r="C1714" s="26"/>
    </row>
    <row r="1715" spans="1:3" ht="11.25" customHeight="1" x14ac:dyDescent="0.2">
      <c r="A1715" s="26" t="s">
        <v>1753</v>
      </c>
      <c r="B1715" s="26"/>
      <c r="C1715" s="26"/>
    </row>
    <row r="1716" spans="1:3" ht="11.25" customHeight="1" x14ac:dyDescent="0.2">
      <c r="A1716" s="26" t="s">
        <v>1754</v>
      </c>
      <c r="B1716" s="26"/>
      <c r="C1716" s="26"/>
    </row>
    <row r="1717" spans="1:3" ht="11.25" customHeight="1" x14ac:dyDescent="0.2">
      <c r="A1717" s="26" t="s">
        <v>1755</v>
      </c>
      <c r="B1717" s="26"/>
      <c r="C1717" s="26"/>
    </row>
    <row r="1718" spans="1:3" ht="11.25" customHeight="1" x14ac:dyDescent="0.2">
      <c r="A1718" s="26" t="s">
        <v>1756</v>
      </c>
      <c r="B1718" s="26"/>
      <c r="C1718" s="26"/>
    </row>
    <row r="1719" spans="1:3" ht="11.25" customHeight="1" x14ac:dyDescent="0.2">
      <c r="A1719" s="26" t="s">
        <v>1757</v>
      </c>
      <c r="B1719" s="26"/>
      <c r="C1719" s="26"/>
    </row>
    <row r="1720" spans="1:3" ht="11.25" customHeight="1" x14ac:dyDescent="0.2">
      <c r="A1720" s="26" t="s">
        <v>1758</v>
      </c>
      <c r="B1720" s="26"/>
      <c r="C1720" s="26"/>
    </row>
    <row r="1721" spans="1:3" ht="11.25" customHeight="1" x14ac:dyDescent="0.2">
      <c r="A1721" s="26" t="s">
        <v>1759</v>
      </c>
      <c r="B1721" s="26"/>
      <c r="C1721" s="26"/>
    </row>
    <row r="1722" spans="1:3" ht="11.25" customHeight="1" x14ac:dyDescent="0.2">
      <c r="A1722" s="26" t="s">
        <v>1760</v>
      </c>
      <c r="B1722" s="26"/>
      <c r="C1722" s="26"/>
    </row>
    <row r="1723" spans="1:3" ht="11.25" customHeight="1" x14ac:dyDescent="0.2">
      <c r="A1723" s="26" t="s">
        <v>1761</v>
      </c>
      <c r="B1723" s="26"/>
      <c r="C1723" s="26"/>
    </row>
    <row r="1724" spans="1:3" ht="11.25" customHeight="1" x14ac:dyDescent="0.2">
      <c r="A1724" s="26" t="s">
        <v>1762</v>
      </c>
      <c r="B1724" s="26"/>
      <c r="C1724" s="26"/>
    </row>
    <row r="1725" spans="1:3" ht="11.25" customHeight="1" x14ac:dyDescent="0.2">
      <c r="A1725" s="26" t="s">
        <v>1763</v>
      </c>
      <c r="B1725" s="26"/>
      <c r="C1725" s="26"/>
    </row>
    <row r="1726" spans="1:3" ht="11.25" customHeight="1" x14ac:dyDescent="0.2">
      <c r="A1726" s="26" t="s">
        <v>1764</v>
      </c>
      <c r="B1726" s="26"/>
      <c r="C1726" s="26"/>
    </row>
    <row r="1727" spans="1:3" ht="11.25" customHeight="1" x14ac:dyDescent="0.2">
      <c r="A1727" s="26" t="s">
        <v>1765</v>
      </c>
      <c r="B1727" s="26"/>
      <c r="C1727" s="26"/>
    </row>
    <row r="1728" spans="1:3" ht="11.25" customHeight="1" x14ac:dyDescent="0.2">
      <c r="A1728" s="26" t="s">
        <v>1766</v>
      </c>
      <c r="B1728" s="26"/>
      <c r="C1728" s="26"/>
    </row>
    <row r="1729" spans="1:3" ht="11.25" customHeight="1" x14ac:dyDescent="0.2">
      <c r="A1729" s="26" t="s">
        <v>1767</v>
      </c>
      <c r="B1729" s="26"/>
      <c r="C1729" s="26"/>
    </row>
    <row r="1730" spans="1:3" ht="11.25" customHeight="1" x14ac:dyDescent="0.2">
      <c r="A1730" s="26" t="s">
        <v>1768</v>
      </c>
      <c r="B1730" s="26"/>
      <c r="C1730" s="26"/>
    </row>
    <row r="1731" spans="1:3" ht="11.25" customHeight="1" x14ac:dyDescent="0.2">
      <c r="A1731" s="26" t="s">
        <v>1769</v>
      </c>
      <c r="B1731" s="26"/>
      <c r="C1731" s="26"/>
    </row>
    <row r="1732" spans="1:3" ht="11.25" customHeight="1" x14ac:dyDescent="0.2">
      <c r="A1732" s="26" t="s">
        <v>1770</v>
      </c>
      <c r="B1732" s="26"/>
      <c r="C1732" s="26"/>
    </row>
    <row r="1733" spans="1:3" ht="11.25" customHeight="1" x14ac:dyDescent="0.2">
      <c r="A1733" s="26" t="s">
        <v>1771</v>
      </c>
      <c r="B1733" s="26"/>
      <c r="C1733" s="26"/>
    </row>
    <row r="1734" spans="1:3" ht="11.25" customHeight="1" x14ac:dyDescent="0.2">
      <c r="A1734" s="26" t="s">
        <v>1772</v>
      </c>
      <c r="B1734" s="26"/>
      <c r="C1734" s="26"/>
    </row>
    <row r="1735" spans="1:3" ht="11.25" customHeight="1" x14ac:dyDescent="0.2">
      <c r="A1735" s="26" t="s">
        <v>1773</v>
      </c>
      <c r="B1735" s="26"/>
      <c r="C1735" s="26"/>
    </row>
    <row r="1736" spans="1:3" ht="11.25" customHeight="1" x14ac:dyDescent="0.2">
      <c r="A1736" s="26" t="s">
        <v>1774</v>
      </c>
      <c r="B1736" s="26"/>
      <c r="C1736" s="26"/>
    </row>
    <row r="1737" spans="1:3" ht="11.25" customHeight="1" x14ac:dyDescent="0.2">
      <c r="A1737" s="26" t="s">
        <v>1775</v>
      </c>
      <c r="B1737" s="26"/>
      <c r="C1737" s="26"/>
    </row>
    <row r="1738" spans="1:3" ht="11.25" customHeight="1" x14ac:dyDescent="0.2">
      <c r="A1738" s="26" t="s">
        <v>1776</v>
      </c>
      <c r="B1738" s="26"/>
      <c r="C1738" s="26"/>
    </row>
    <row r="1739" spans="1:3" ht="11.25" customHeight="1" x14ac:dyDescent="0.2">
      <c r="A1739" s="26" t="s">
        <v>1777</v>
      </c>
      <c r="B1739" s="26"/>
      <c r="C1739" s="26"/>
    </row>
    <row r="1740" spans="1:3" ht="11.25" customHeight="1" x14ac:dyDescent="0.2">
      <c r="A1740" s="26" t="s">
        <v>1778</v>
      </c>
      <c r="B1740" s="26"/>
      <c r="C1740" s="26"/>
    </row>
    <row r="1741" spans="1:3" ht="11.25" customHeight="1" x14ac:dyDescent="0.2">
      <c r="A1741" s="26" t="s">
        <v>1779</v>
      </c>
      <c r="B1741" s="26"/>
      <c r="C1741" s="26"/>
    </row>
    <row r="1742" spans="1:3" ht="11.25" customHeight="1" x14ac:dyDescent="0.2">
      <c r="A1742" s="26" t="s">
        <v>1780</v>
      </c>
      <c r="B1742" s="26"/>
      <c r="C1742" s="26"/>
    </row>
    <row r="1743" spans="1:3" ht="11.25" customHeight="1" x14ac:dyDescent="0.2">
      <c r="A1743" s="26" t="s">
        <v>1781</v>
      </c>
      <c r="B1743" s="26"/>
      <c r="C1743" s="26"/>
    </row>
    <row r="1744" spans="1:3" ht="11.25" customHeight="1" x14ac:dyDescent="0.2">
      <c r="A1744" s="26" t="s">
        <v>1782</v>
      </c>
      <c r="B1744" s="26"/>
      <c r="C1744" s="26"/>
    </row>
    <row r="1745" spans="1:3" ht="11.25" customHeight="1" x14ac:dyDescent="0.2">
      <c r="A1745" s="26" t="s">
        <v>1783</v>
      </c>
      <c r="B1745" s="26"/>
      <c r="C1745" s="26"/>
    </row>
    <row r="1746" spans="1:3" ht="11.25" customHeight="1" x14ac:dyDescent="0.2">
      <c r="A1746" s="26" t="s">
        <v>1784</v>
      </c>
      <c r="B1746" s="26"/>
      <c r="C1746" s="26"/>
    </row>
    <row r="1747" spans="1:3" ht="11.25" customHeight="1" x14ac:dyDescent="0.2">
      <c r="A1747" s="26" t="s">
        <v>1785</v>
      </c>
      <c r="B1747" s="26"/>
      <c r="C1747" s="26"/>
    </row>
    <row r="1748" spans="1:3" ht="11.25" customHeight="1" x14ac:dyDescent="0.2">
      <c r="A1748" s="26" t="s">
        <v>1786</v>
      </c>
      <c r="B1748" s="26"/>
      <c r="C1748" s="26"/>
    </row>
    <row r="1749" spans="1:3" ht="11.25" customHeight="1" x14ac:dyDescent="0.2">
      <c r="A1749" s="26" t="s">
        <v>1787</v>
      </c>
      <c r="B1749" s="26"/>
      <c r="C1749" s="26"/>
    </row>
    <row r="1750" spans="1:3" ht="11.25" customHeight="1" x14ac:dyDescent="0.2">
      <c r="A1750" s="26" t="s">
        <v>1788</v>
      </c>
      <c r="B1750" s="26"/>
      <c r="C1750" s="26"/>
    </row>
    <row r="1751" spans="1:3" ht="11.25" customHeight="1" x14ac:dyDescent="0.2">
      <c r="A1751" s="26" t="s">
        <v>1789</v>
      </c>
      <c r="B1751" s="26"/>
      <c r="C1751" s="26"/>
    </row>
    <row r="1752" spans="1:3" ht="11.25" customHeight="1" x14ac:dyDescent="0.2">
      <c r="A1752" s="26" t="s">
        <v>1790</v>
      </c>
      <c r="B1752" s="26"/>
      <c r="C1752" s="26"/>
    </row>
    <row r="1753" spans="1:3" ht="11.25" customHeight="1" x14ac:dyDescent="0.2">
      <c r="A1753" s="26" t="s">
        <v>1791</v>
      </c>
      <c r="B1753" s="26"/>
      <c r="C1753" s="26"/>
    </row>
    <row r="1754" spans="1:3" ht="11.25" customHeight="1" x14ac:dyDescent="0.2">
      <c r="A1754" s="26" t="s">
        <v>1792</v>
      </c>
      <c r="B1754" s="26"/>
      <c r="C1754" s="26"/>
    </row>
    <row r="1755" spans="1:3" ht="11.25" customHeight="1" x14ac:dyDescent="0.2">
      <c r="A1755" s="26" t="s">
        <v>1793</v>
      </c>
      <c r="B1755" s="26"/>
      <c r="C1755" s="26"/>
    </row>
    <row r="1756" spans="1:3" ht="11.25" customHeight="1" x14ac:dyDescent="0.2">
      <c r="A1756" s="26" t="s">
        <v>1794</v>
      </c>
      <c r="B1756" s="26"/>
      <c r="C1756" s="26"/>
    </row>
    <row r="1757" spans="1:3" ht="11.25" customHeight="1" x14ac:dyDescent="0.2">
      <c r="A1757" s="26" t="s">
        <v>1795</v>
      </c>
      <c r="B1757" s="26"/>
      <c r="C1757" s="26"/>
    </row>
    <row r="1758" spans="1:3" ht="11.25" customHeight="1" x14ac:dyDescent="0.2">
      <c r="A1758" s="26" t="s">
        <v>1796</v>
      </c>
      <c r="B1758" s="26"/>
      <c r="C1758" s="26"/>
    </row>
    <row r="1759" spans="1:3" ht="11.25" customHeight="1" x14ac:dyDescent="0.2">
      <c r="A1759" s="26" t="s">
        <v>1797</v>
      </c>
      <c r="B1759" s="26"/>
      <c r="C1759" s="26"/>
    </row>
    <row r="1760" spans="1:3" ht="11.25" customHeight="1" x14ac:dyDescent="0.2">
      <c r="A1760" s="26" t="s">
        <v>1798</v>
      </c>
      <c r="B1760" s="26"/>
      <c r="C1760" s="26"/>
    </row>
    <row r="1761" spans="1:3" ht="11.25" customHeight="1" x14ac:dyDescent="0.2">
      <c r="A1761" s="26" t="s">
        <v>1799</v>
      </c>
      <c r="B1761" s="26"/>
      <c r="C1761" s="26"/>
    </row>
    <row r="1762" spans="1:3" ht="11.25" customHeight="1" x14ac:dyDescent="0.2">
      <c r="A1762" s="26" t="s">
        <v>1800</v>
      </c>
      <c r="B1762" s="26"/>
      <c r="C1762" s="26"/>
    </row>
    <row r="1763" spans="1:3" ht="11.25" customHeight="1" x14ac:dyDescent="0.2">
      <c r="A1763" s="26" t="s">
        <v>1801</v>
      </c>
      <c r="B1763" s="26"/>
      <c r="C1763" s="26"/>
    </row>
    <row r="1764" spans="1:3" ht="11.25" customHeight="1" x14ac:dyDescent="0.2">
      <c r="A1764" s="26" t="s">
        <v>1802</v>
      </c>
      <c r="B1764" s="26"/>
      <c r="C1764" s="26"/>
    </row>
    <row r="1765" spans="1:3" ht="11.25" customHeight="1" x14ac:dyDescent="0.2">
      <c r="A1765" s="26" t="s">
        <v>1803</v>
      </c>
      <c r="B1765" s="26"/>
      <c r="C1765" s="26"/>
    </row>
    <row r="1766" spans="1:3" ht="11.25" customHeight="1" x14ac:dyDescent="0.2">
      <c r="A1766" s="26" t="s">
        <v>1804</v>
      </c>
      <c r="B1766" s="26"/>
      <c r="C1766" s="26"/>
    </row>
    <row r="1767" spans="1:3" ht="11.25" customHeight="1" x14ac:dyDescent="0.2">
      <c r="A1767" s="26" t="s">
        <v>1805</v>
      </c>
      <c r="B1767" s="26"/>
      <c r="C1767" s="26"/>
    </row>
    <row r="1768" spans="1:3" ht="11.25" customHeight="1" x14ac:dyDescent="0.2">
      <c r="A1768" s="26" t="s">
        <v>1806</v>
      </c>
      <c r="B1768" s="26"/>
      <c r="C1768" s="26"/>
    </row>
    <row r="1769" spans="1:3" ht="11.25" customHeight="1" x14ac:dyDescent="0.2">
      <c r="A1769" s="26" t="s">
        <v>1807</v>
      </c>
      <c r="B1769" s="26"/>
      <c r="C1769" s="26"/>
    </row>
    <row r="1770" spans="1:3" ht="11.25" customHeight="1" x14ac:dyDescent="0.2">
      <c r="A1770" s="26" t="s">
        <v>1808</v>
      </c>
      <c r="B1770" s="26"/>
      <c r="C1770" s="26"/>
    </row>
    <row r="1771" spans="1:3" ht="11.25" customHeight="1" x14ac:dyDescent="0.2">
      <c r="A1771" s="26" t="s">
        <v>1809</v>
      </c>
      <c r="B1771" s="26"/>
      <c r="C1771" s="26"/>
    </row>
    <row r="1772" spans="1:3" ht="11.25" customHeight="1" x14ac:dyDescent="0.2">
      <c r="A1772" s="26" t="s">
        <v>1810</v>
      </c>
      <c r="B1772" s="26"/>
      <c r="C1772" s="26"/>
    </row>
    <row r="1773" spans="1:3" ht="11.25" customHeight="1" x14ac:dyDescent="0.2">
      <c r="A1773" s="26" t="s">
        <v>1811</v>
      </c>
      <c r="B1773" s="26"/>
      <c r="C1773" s="26"/>
    </row>
    <row r="1774" spans="1:3" ht="11.25" customHeight="1" x14ac:dyDescent="0.2">
      <c r="A1774" s="26" t="s">
        <v>1812</v>
      </c>
      <c r="B1774" s="26"/>
      <c r="C1774" s="26"/>
    </row>
    <row r="1775" spans="1:3" ht="11.25" customHeight="1" x14ac:dyDescent="0.2">
      <c r="A1775" s="26" t="s">
        <v>1813</v>
      </c>
      <c r="B1775" s="26"/>
      <c r="C1775" s="26"/>
    </row>
    <row r="1776" spans="1:3" ht="11.25" customHeight="1" x14ac:dyDescent="0.2">
      <c r="A1776" s="26" t="s">
        <v>1814</v>
      </c>
      <c r="B1776" s="26"/>
      <c r="C1776" s="26"/>
    </row>
    <row r="1777" spans="1:3" ht="11.25" customHeight="1" x14ac:dyDescent="0.2">
      <c r="A1777" s="26" t="s">
        <v>1815</v>
      </c>
      <c r="B1777" s="26"/>
      <c r="C1777" s="26"/>
    </row>
    <row r="1778" spans="1:3" ht="11.25" customHeight="1" x14ac:dyDescent="0.2">
      <c r="A1778" s="26" t="s">
        <v>1816</v>
      </c>
      <c r="B1778" s="26"/>
      <c r="C1778" s="26"/>
    </row>
    <row r="1779" spans="1:3" ht="11.25" customHeight="1" x14ac:dyDescent="0.2">
      <c r="A1779" s="26" t="s">
        <v>1817</v>
      </c>
      <c r="B1779" s="26"/>
      <c r="C1779" s="26"/>
    </row>
    <row r="1780" spans="1:3" ht="11.25" customHeight="1" x14ac:dyDescent="0.2">
      <c r="A1780" s="26" t="s">
        <v>1818</v>
      </c>
      <c r="B1780" s="26"/>
      <c r="C1780" s="26"/>
    </row>
    <row r="1781" spans="1:3" ht="11.25" customHeight="1" x14ac:dyDescent="0.2">
      <c r="A1781" s="26" t="s">
        <v>1819</v>
      </c>
      <c r="B1781" s="26"/>
      <c r="C1781" s="26"/>
    </row>
    <row r="1782" spans="1:3" ht="11.25" customHeight="1" x14ac:dyDescent="0.2">
      <c r="A1782" s="26" t="s">
        <v>1820</v>
      </c>
      <c r="B1782" s="26"/>
      <c r="C1782" s="26"/>
    </row>
    <row r="1783" spans="1:3" ht="11.25" customHeight="1" x14ac:dyDescent="0.2">
      <c r="A1783" s="26" t="s">
        <v>1821</v>
      </c>
      <c r="B1783" s="26"/>
      <c r="C1783" s="26"/>
    </row>
    <row r="1784" spans="1:3" ht="11.25" customHeight="1" x14ac:dyDescent="0.2">
      <c r="A1784" s="26" t="s">
        <v>1822</v>
      </c>
      <c r="B1784" s="26"/>
      <c r="C1784" s="26"/>
    </row>
    <row r="1785" spans="1:3" ht="11.25" customHeight="1" x14ac:dyDescent="0.2">
      <c r="A1785" s="26" t="s">
        <v>1823</v>
      </c>
      <c r="B1785" s="26"/>
      <c r="C1785" s="26"/>
    </row>
    <row r="1786" spans="1:3" ht="11.25" customHeight="1" x14ac:dyDescent="0.2">
      <c r="A1786" s="26" t="s">
        <v>1824</v>
      </c>
      <c r="B1786" s="26"/>
      <c r="C1786" s="26"/>
    </row>
    <row r="1787" spans="1:3" ht="11.25" customHeight="1" x14ac:dyDescent="0.2">
      <c r="A1787" s="26" t="s">
        <v>1825</v>
      </c>
      <c r="B1787" s="26"/>
      <c r="C1787" s="26"/>
    </row>
    <row r="1788" spans="1:3" ht="11.25" customHeight="1" x14ac:dyDescent="0.2">
      <c r="A1788" s="26" t="s">
        <v>1826</v>
      </c>
      <c r="B1788" s="26"/>
      <c r="C1788" s="26"/>
    </row>
    <row r="1789" spans="1:3" ht="11.25" customHeight="1" x14ac:dyDescent="0.2">
      <c r="A1789" s="26" t="s">
        <v>1827</v>
      </c>
      <c r="B1789" s="26"/>
      <c r="C1789" s="26"/>
    </row>
    <row r="1790" spans="1:3" ht="11.25" customHeight="1" x14ac:dyDescent="0.2">
      <c r="A1790" s="26" t="s">
        <v>1828</v>
      </c>
      <c r="B1790" s="26"/>
      <c r="C1790" s="26"/>
    </row>
    <row r="1791" spans="1:3" ht="11.25" customHeight="1" x14ac:dyDescent="0.2">
      <c r="A1791" s="26" t="s">
        <v>1829</v>
      </c>
      <c r="B1791" s="26"/>
      <c r="C1791" s="26"/>
    </row>
    <row r="1792" spans="1:3" ht="11.25" customHeight="1" x14ac:dyDescent="0.2">
      <c r="A1792" s="26" t="s">
        <v>1830</v>
      </c>
      <c r="B1792" s="26"/>
      <c r="C1792" s="26"/>
    </row>
    <row r="1793" spans="1:3" ht="11.25" customHeight="1" x14ac:dyDescent="0.2">
      <c r="A1793" s="26" t="s">
        <v>1831</v>
      </c>
      <c r="B1793" s="26"/>
      <c r="C1793" s="26"/>
    </row>
    <row r="1794" spans="1:3" ht="11.25" customHeight="1" x14ac:dyDescent="0.2">
      <c r="A1794" s="26" t="s">
        <v>1832</v>
      </c>
      <c r="B1794" s="26"/>
      <c r="C1794" s="26"/>
    </row>
    <row r="1795" spans="1:3" ht="11.25" customHeight="1" x14ac:dyDescent="0.2">
      <c r="A1795" s="26" t="s">
        <v>1833</v>
      </c>
      <c r="B1795" s="26"/>
      <c r="C1795" s="26"/>
    </row>
    <row r="1796" spans="1:3" ht="11.25" customHeight="1" x14ac:dyDescent="0.2">
      <c r="A1796" s="26" t="s">
        <v>1834</v>
      </c>
      <c r="B1796" s="26"/>
      <c r="C1796" s="26"/>
    </row>
    <row r="1797" spans="1:3" ht="11.25" customHeight="1" x14ac:dyDescent="0.2">
      <c r="A1797" s="26" t="s">
        <v>1835</v>
      </c>
      <c r="B1797" s="26"/>
      <c r="C1797" s="26"/>
    </row>
    <row r="1798" spans="1:3" ht="11.25" customHeight="1" x14ac:dyDescent="0.2">
      <c r="A1798" s="26" t="s">
        <v>1836</v>
      </c>
      <c r="B1798" s="26"/>
      <c r="C1798" s="26"/>
    </row>
    <row r="1799" spans="1:3" ht="11.25" customHeight="1" x14ac:dyDescent="0.2">
      <c r="A1799" s="26" t="s">
        <v>1837</v>
      </c>
      <c r="B1799" s="26"/>
      <c r="C1799" s="26"/>
    </row>
    <row r="1800" spans="1:3" ht="11.25" customHeight="1" x14ac:dyDescent="0.2">
      <c r="A1800" s="26" t="s">
        <v>1838</v>
      </c>
      <c r="B1800" s="26"/>
      <c r="C1800" s="26"/>
    </row>
    <row r="1801" spans="1:3" ht="11.25" customHeight="1" x14ac:dyDescent="0.2">
      <c r="A1801" s="26" t="s">
        <v>1839</v>
      </c>
      <c r="B1801" s="26"/>
      <c r="C1801" s="26"/>
    </row>
    <row r="1802" spans="1:3" ht="11.25" customHeight="1" x14ac:dyDescent="0.2">
      <c r="A1802" s="26" t="s">
        <v>1840</v>
      </c>
      <c r="B1802" s="26"/>
      <c r="C1802" s="26"/>
    </row>
    <row r="1803" spans="1:3" ht="11.25" customHeight="1" x14ac:dyDescent="0.2">
      <c r="A1803" s="26" t="s">
        <v>1841</v>
      </c>
      <c r="B1803" s="26"/>
      <c r="C1803" s="26"/>
    </row>
    <row r="1804" spans="1:3" ht="11.25" customHeight="1" x14ac:dyDescent="0.2">
      <c r="A1804" s="26" t="s">
        <v>1842</v>
      </c>
      <c r="B1804" s="26"/>
      <c r="C1804" s="26"/>
    </row>
    <row r="1805" spans="1:3" ht="11.25" customHeight="1" x14ac:dyDescent="0.2">
      <c r="A1805" s="26" t="s">
        <v>1843</v>
      </c>
      <c r="B1805" s="26"/>
      <c r="C1805" s="26"/>
    </row>
    <row r="1806" spans="1:3" ht="11.25" customHeight="1" x14ac:dyDescent="0.2">
      <c r="A1806" s="26" t="s">
        <v>1844</v>
      </c>
      <c r="B1806" s="26"/>
      <c r="C1806" s="26"/>
    </row>
    <row r="1807" spans="1:3" ht="11.25" customHeight="1" x14ac:dyDescent="0.2">
      <c r="A1807" s="26" t="s">
        <v>1845</v>
      </c>
      <c r="B1807" s="26"/>
      <c r="C1807" s="26"/>
    </row>
    <row r="1808" spans="1:3" ht="11.25" customHeight="1" x14ac:dyDescent="0.2">
      <c r="A1808" s="26" t="s">
        <v>1846</v>
      </c>
      <c r="B1808" s="26"/>
      <c r="C1808" s="26"/>
    </row>
    <row r="1809" spans="1:3" ht="11.25" customHeight="1" x14ac:dyDescent="0.2">
      <c r="A1809" s="26" t="s">
        <v>1847</v>
      </c>
      <c r="B1809" s="26"/>
      <c r="C1809" s="26"/>
    </row>
    <row r="1810" spans="1:3" ht="11.25" customHeight="1" x14ac:dyDescent="0.2">
      <c r="A1810" s="26" t="s">
        <v>1848</v>
      </c>
      <c r="B1810" s="26"/>
      <c r="C1810" s="26"/>
    </row>
    <row r="1811" spans="1:3" ht="11.25" customHeight="1" x14ac:dyDescent="0.2">
      <c r="A1811" s="26" t="s">
        <v>1849</v>
      </c>
      <c r="B1811" s="26"/>
      <c r="C1811" s="26"/>
    </row>
    <row r="1812" spans="1:3" ht="11.25" customHeight="1" x14ac:dyDescent="0.2">
      <c r="A1812" s="26" t="s">
        <v>1850</v>
      </c>
      <c r="B1812" s="26"/>
      <c r="C1812" s="26"/>
    </row>
    <row r="1813" spans="1:3" ht="11.25" customHeight="1" x14ac:dyDescent="0.2">
      <c r="A1813" s="26" t="s">
        <v>1851</v>
      </c>
      <c r="B1813" s="26"/>
      <c r="C1813" s="26"/>
    </row>
    <row r="1814" spans="1:3" ht="11.25" customHeight="1" x14ac:dyDescent="0.2">
      <c r="A1814" s="26" t="s">
        <v>1852</v>
      </c>
      <c r="B1814" s="26"/>
      <c r="C1814" s="26"/>
    </row>
    <row r="1815" spans="1:3" ht="11.25" customHeight="1" x14ac:dyDescent="0.2">
      <c r="A1815" s="26" t="s">
        <v>1853</v>
      </c>
      <c r="B1815" s="26"/>
      <c r="C1815" s="26"/>
    </row>
    <row r="1816" spans="1:3" ht="11.25" customHeight="1" x14ac:dyDescent="0.2">
      <c r="A1816" s="26" t="s">
        <v>1854</v>
      </c>
      <c r="B1816" s="26"/>
      <c r="C1816" s="26"/>
    </row>
    <row r="1817" spans="1:3" ht="11.25" customHeight="1" x14ac:dyDescent="0.2">
      <c r="A1817" s="26" t="s">
        <v>1855</v>
      </c>
      <c r="B1817" s="26"/>
      <c r="C1817" s="26"/>
    </row>
    <row r="1818" spans="1:3" ht="11.25" customHeight="1" x14ac:dyDescent="0.2">
      <c r="A1818" s="26" t="s">
        <v>1856</v>
      </c>
      <c r="B1818" s="26"/>
      <c r="C1818" s="26"/>
    </row>
    <row r="1819" spans="1:3" ht="11.25" customHeight="1" x14ac:dyDescent="0.2">
      <c r="A1819" s="26" t="s">
        <v>1857</v>
      </c>
      <c r="B1819" s="26"/>
      <c r="C1819" s="26"/>
    </row>
    <row r="1820" spans="1:3" ht="11.25" customHeight="1" x14ac:dyDescent="0.2">
      <c r="A1820" s="26" t="s">
        <v>1858</v>
      </c>
      <c r="B1820" s="26"/>
      <c r="C1820" s="26"/>
    </row>
    <row r="1821" spans="1:3" ht="11.25" customHeight="1" x14ac:dyDescent="0.2">
      <c r="A1821" s="26" t="s">
        <v>1859</v>
      </c>
      <c r="B1821" s="26"/>
      <c r="C1821" s="26"/>
    </row>
    <row r="1822" spans="1:3" ht="11.25" customHeight="1" x14ac:dyDescent="0.2">
      <c r="A1822" s="26" t="s">
        <v>1860</v>
      </c>
      <c r="B1822" s="26"/>
      <c r="C1822" s="26"/>
    </row>
    <row r="1823" spans="1:3" ht="11.25" customHeight="1" x14ac:dyDescent="0.2">
      <c r="A1823" s="26" t="s">
        <v>1861</v>
      </c>
      <c r="B1823" s="26"/>
      <c r="C1823" s="26"/>
    </row>
    <row r="1824" spans="1:3" ht="11.25" customHeight="1" x14ac:dyDescent="0.2">
      <c r="A1824" s="26" t="s">
        <v>1862</v>
      </c>
      <c r="B1824" s="26"/>
      <c r="C1824" s="26"/>
    </row>
    <row r="1825" spans="1:3" ht="11.25" customHeight="1" x14ac:dyDescent="0.2">
      <c r="A1825" s="26" t="s">
        <v>1863</v>
      </c>
      <c r="B1825" s="26"/>
      <c r="C1825" s="26"/>
    </row>
    <row r="1826" spans="1:3" ht="11.25" customHeight="1" x14ac:dyDescent="0.2">
      <c r="A1826" s="26" t="s">
        <v>1864</v>
      </c>
      <c r="B1826" s="26"/>
      <c r="C1826" s="26"/>
    </row>
    <row r="1827" spans="1:3" ht="11.25" customHeight="1" x14ac:dyDescent="0.2">
      <c r="A1827" s="26" t="s">
        <v>1865</v>
      </c>
      <c r="B1827" s="26"/>
      <c r="C1827" s="26"/>
    </row>
    <row r="1828" spans="1:3" ht="11.25" customHeight="1" x14ac:dyDescent="0.2">
      <c r="A1828" s="26" t="s">
        <v>1866</v>
      </c>
      <c r="B1828" s="26"/>
      <c r="C1828" s="26"/>
    </row>
    <row r="1829" spans="1:3" ht="11.25" customHeight="1" x14ac:dyDescent="0.2">
      <c r="A1829" s="26" t="s">
        <v>1867</v>
      </c>
      <c r="B1829" s="26"/>
      <c r="C1829" s="26"/>
    </row>
    <row r="1830" spans="1:3" ht="11.25" customHeight="1" x14ac:dyDescent="0.2">
      <c r="A1830" s="26" t="s">
        <v>1868</v>
      </c>
      <c r="B1830" s="26"/>
      <c r="C1830" s="26"/>
    </row>
    <row r="1831" spans="1:3" ht="11.25" customHeight="1" x14ac:dyDescent="0.2">
      <c r="A1831" s="26" t="s">
        <v>1869</v>
      </c>
      <c r="B1831" s="26"/>
      <c r="C1831" s="26"/>
    </row>
    <row r="1832" spans="1:3" ht="11.25" customHeight="1" x14ac:dyDescent="0.2">
      <c r="A1832" s="26" t="s">
        <v>1870</v>
      </c>
      <c r="B1832" s="26"/>
      <c r="C1832" s="26"/>
    </row>
    <row r="1833" spans="1:3" ht="11.25" customHeight="1" x14ac:dyDescent="0.2">
      <c r="A1833" s="26" t="s">
        <v>1871</v>
      </c>
      <c r="B1833" s="26"/>
      <c r="C1833" s="26"/>
    </row>
    <row r="1834" spans="1:3" ht="11.25" customHeight="1" x14ac:dyDescent="0.2">
      <c r="A1834" s="26" t="s">
        <v>1872</v>
      </c>
      <c r="B1834" s="26"/>
      <c r="C1834" s="26"/>
    </row>
    <row r="1835" spans="1:3" ht="11.25" customHeight="1" x14ac:dyDescent="0.2">
      <c r="A1835" s="26" t="s">
        <v>1873</v>
      </c>
      <c r="B1835" s="26"/>
      <c r="C1835" s="26"/>
    </row>
    <row r="1836" spans="1:3" ht="11.25" customHeight="1" x14ac:dyDescent="0.2">
      <c r="A1836" s="26" t="s">
        <v>1874</v>
      </c>
      <c r="B1836" s="26"/>
      <c r="C1836" s="26"/>
    </row>
    <row r="1837" spans="1:3" ht="11.25" customHeight="1" x14ac:dyDescent="0.2">
      <c r="A1837" s="26" t="s">
        <v>1875</v>
      </c>
      <c r="B1837" s="26"/>
      <c r="C1837" s="26"/>
    </row>
    <row r="1838" spans="1:3" ht="11.25" customHeight="1" x14ac:dyDescent="0.2">
      <c r="A1838" s="26" t="s">
        <v>1876</v>
      </c>
      <c r="B1838" s="26"/>
      <c r="C1838" s="26"/>
    </row>
    <row r="1839" spans="1:3" ht="11.25" customHeight="1" x14ac:dyDescent="0.2">
      <c r="A1839" s="26" t="s">
        <v>1877</v>
      </c>
      <c r="B1839" s="26"/>
      <c r="C1839" s="26"/>
    </row>
    <row r="1840" spans="1:3" ht="11.25" customHeight="1" x14ac:dyDescent="0.2">
      <c r="A1840" s="26" t="s">
        <v>1878</v>
      </c>
      <c r="B1840" s="26"/>
      <c r="C1840" s="26"/>
    </row>
    <row r="1841" spans="1:3" ht="11.25" customHeight="1" x14ac:dyDescent="0.2">
      <c r="A1841" s="26" t="s">
        <v>1879</v>
      </c>
      <c r="B1841" s="26"/>
      <c r="C1841" s="26"/>
    </row>
    <row r="1842" spans="1:3" ht="11.25" customHeight="1" x14ac:dyDescent="0.2">
      <c r="A1842" s="26" t="s">
        <v>1880</v>
      </c>
      <c r="B1842" s="26"/>
      <c r="C1842" s="26"/>
    </row>
    <row r="1843" spans="1:3" ht="11.25" customHeight="1" x14ac:dyDescent="0.2">
      <c r="A1843" s="26" t="s">
        <v>1881</v>
      </c>
      <c r="B1843" s="26"/>
      <c r="C1843" s="26"/>
    </row>
    <row r="1844" spans="1:3" ht="11.25" customHeight="1" x14ac:dyDescent="0.2">
      <c r="A1844" s="26" t="s">
        <v>1882</v>
      </c>
      <c r="B1844" s="26"/>
      <c r="C1844" s="26"/>
    </row>
    <row r="1845" spans="1:3" ht="11.25" customHeight="1" x14ac:dyDescent="0.2">
      <c r="A1845" s="26" t="s">
        <v>1883</v>
      </c>
      <c r="B1845" s="26"/>
      <c r="C1845" s="26"/>
    </row>
    <row r="1846" spans="1:3" ht="11.25" customHeight="1" x14ac:dyDescent="0.2">
      <c r="A1846" s="26" t="s">
        <v>1884</v>
      </c>
      <c r="B1846" s="26"/>
      <c r="C1846" s="26"/>
    </row>
    <row r="1847" spans="1:3" ht="11.25" customHeight="1" x14ac:dyDescent="0.2">
      <c r="A1847" s="26" t="s">
        <v>1885</v>
      </c>
      <c r="B1847" s="26"/>
      <c r="C1847" s="26"/>
    </row>
    <row r="1848" spans="1:3" ht="11.25" customHeight="1" x14ac:dyDescent="0.2">
      <c r="A1848" s="26" t="s">
        <v>1886</v>
      </c>
      <c r="B1848" s="26"/>
      <c r="C1848" s="26"/>
    </row>
    <row r="1849" spans="1:3" ht="11.25" customHeight="1" x14ac:dyDescent="0.2">
      <c r="A1849" s="26" t="s">
        <v>1887</v>
      </c>
      <c r="B1849" s="26"/>
      <c r="C1849" s="26"/>
    </row>
    <row r="1850" spans="1:3" ht="11.25" customHeight="1" x14ac:dyDescent="0.2">
      <c r="A1850" s="26" t="s">
        <v>1888</v>
      </c>
      <c r="B1850" s="26"/>
      <c r="C1850" s="26"/>
    </row>
    <row r="1851" spans="1:3" ht="11.25" customHeight="1" x14ac:dyDescent="0.2">
      <c r="A1851" s="26" t="s">
        <v>1889</v>
      </c>
      <c r="B1851" s="26"/>
      <c r="C1851" s="26"/>
    </row>
    <row r="1852" spans="1:3" ht="11.25" customHeight="1" x14ac:dyDescent="0.2">
      <c r="A1852" s="26" t="s">
        <v>1890</v>
      </c>
      <c r="B1852" s="26"/>
      <c r="C1852" s="26"/>
    </row>
    <row r="1853" spans="1:3" ht="11.25" customHeight="1" x14ac:dyDescent="0.2">
      <c r="A1853" s="26" t="s">
        <v>1891</v>
      </c>
      <c r="B1853" s="26"/>
      <c r="C1853" s="26"/>
    </row>
    <row r="1854" spans="1:3" ht="11.25" customHeight="1" x14ac:dyDescent="0.2">
      <c r="A1854" s="26" t="s">
        <v>1892</v>
      </c>
      <c r="B1854" s="26"/>
      <c r="C1854" s="26"/>
    </row>
    <row r="1855" spans="1:3" ht="11.25" customHeight="1" x14ac:dyDescent="0.2">
      <c r="A1855" s="26" t="s">
        <v>1893</v>
      </c>
      <c r="B1855" s="26"/>
      <c r="C1855" s="26"/>
    </row>
    <row r="1856" spans="1:3" ht="11.25" customHeight="1" x14ac:dyDescent="0.2">
      <c r="A1856" s="26" t="s">
        <v>1894</v>
      </c>
      <c r="B1856" s="26"/>
      <c r="C1856" s="26"/>
    </row>
    <row r="1857" spans="1:3" ht="11.25" customHeight="1" x14ac:dyDescent="0.2">
      <c r="A1857" s="26" t="s">
        <v>1895</v>
      </c>
      <c r="B1857" s="26"/>
      <c r="C1857" s="26"/>
    </row>
    <row r="1858" spans="1:3" ht="11.25" customHeight="1" x14ac:dyDescent="0.2">
      <c r="A1858" s="26" t="s">
        <v>1896</v>
      </c>
      <c r="B1858" s="26"/>
      <c r="C1858" s="26"/>
    </row>
    <row r="1859" spans="1:3" ht="11.25" customHeight="1" x14ac:dyDescent="0.2">
      <c r="A1859" s="26" t="s">
        <v>1897</v>
      </c>
      <c r="B1859" s="26"/>
      <c r="C1859" s="26"/>
    </row>
    <row r="1860" spans="1:3" ht="11.25" customHeight="1" x14ac:dyDescent="0.2">
      <c r="A1860" s="26" t="s">
        <v>1898</v>
      </c>
      <c r="B1860" s="26"/>
      <c r="C1860" s="26"/>
    </row>
    <row r="1861" spans="1:3" ht="11.25" customHeight="1" x14ac:dyDescent="0.2">
      <c r="A1861" s="26" t="s">
        <v>1899</v>
      </c>
      <c r="B1861" s="26"/>
      <c r="C1861" s="26"/>
    </row>
    <row r="1862" spans="1:3" ht="11.25" customHeight="1" x14ac:dyDescent="0.2">
      <c r="A1862" s="26" t="s">
        <v>1900</v>
      </c>
      <c r="B1862" s="26"/>
      <c r="C1862" s="26"/>
    </row>
    <row r="1863" spans="1:3" ht="11.25" customHeight="1" x14ac:dyDescent="0.2">
      <c r="A1863" s="26" t="s">
        <v>1901</v>
      </c>
      <c r="B1863" s="26"/>
      <c r="C1863" s="26"/>
    </row>
    <row r="1864" spans="1:3" ht="11.25" customHeight="1" x14ac:dyDescent="0.2">
      <c r="A1864" s="26" t="s">
        <v>1902</v>
      </c>
      <c r="B1864" s="26"/>
      <c r="C1864" s="26"/>
    </row>
    <row r="1865" spans="1:3" ht="11.25" customHeight="1" x14ac:dyDescent="0.2">
      <c r="A1865" s="26" t="s">
        <v>1903</v>
      </c>
      <c r="B1865" s="26"/>
      <c r="C1865" s="26"/>
    </row>
    <row r="1866" spans="1:3" ht="11.25" customHeight="1" x14ac:dyDescent="0.2">
      <c r="A1866" s="26" t="s">
        <v>1904</v>
      </c>
      <c r="B1866" s="26"/>
      <c r="C1866" s="26"/>
    </row>
    <row r="1867" spans="1:3" ht="11.25" customHeight="1" x14ac:dyDescent="0.2">
      <c r="A1867" s="26" t="s">
        <v>1905</v>
      </c>
      <c r="B1867" s="26"/>
      <c r="C1867" s="26"/>
    </row>
    <row r="1868" spans="1:3" ht="11.25" customHeight="1" x14ac:dyDescent="0.2">
      <c r="A1868" s="26" t="s">
        <v>1906</v>
      </c>
      <c r="B1868" s="26"/>
      <c r="C1868" s="26"/>
    </row>
    <row r="1869" spans="1:3" ht="11.25" customHeight="1" x14ac:dyDescent="0.2">
      <c r="A1869" s="26" t="s">
        <v>1907</v>
      </c>
      <c r="B1869" s="26"/>
      <c r="C1869" s="26"/>
    </row>
    <row r="1870" spans="1:3" ht="11.25" customHeight="1" x14ac:dyDescent="0.2">
      <c r="A1870" s="26" t="s">
        <v>1908</v>
      </c>
      <c r="B1870" s="26"/>
      <c r="C1870" s="26"/>
    </row>
    <row r="1871" spans="1:3" ht="11.25" customHeight="1" x14ac:dyDescent="0.2">
      <c r="A1871" s="26" t="s">
        <v>1909</v>
      </c>
      <c r="B1871" s="26"/>
      <c r="C1871" s="26"/>
    </row>
    <row r="1872" spans="1:3" ht="11.25" customHeight="1" x14ac:dyDescent="0.2">
      <c r="A1872" s="26" t="s">
        <v>1910</v>
      </c>
      <c r="B1872" s="26"/>
      <c r="C1872" s="26"/>
    </row>
    <row r="1873" spans="1:3" ht="11.25" customHeight="1" x14ac:dyDescent="0.2">
      <c r="A1873" s="26" t="s">
        <v>1911</v>
      </c>
      <c r="B1873" s="26"/>
      <c r="C1873" s="26"/>
    </row>
    <row r="1874" spans="1:3" ht="11.25" customHeight="1" x14ac:dyDescent="0.2">
      <c r="A1874" s="26" t="s">
        <v>1912</v>
      </c>
      <c r="B1874" s="26"/>
      <c r="C1874" s="26"/>
    </row>
    <row r="1875" spans="1:3" ht="11.25" customHeight="1" x14ac:dyDescent="0.2">
      <c r="A1875" s="26" t="s">
        <v>1913</v>
      </c>
      <c r="B1875" s="26"/>
      <c r="C1875" s="26"/>
    </row>
    <row r="1876" spans="1:3" ht="11.25" customHeight="1" x14ac:dyDescent="0.2">
      <c r="A1876" s="26" t="s">
        <v>1914</v>
      </c>
      <c r="B1876" s="26"/>
      <c r="C1876" s="26"/>
    </row>
    <row r="1877" spans="1:3" ht="11.25" customHeight="1" x14ac:dyDescent="0.2">
      <c r="A1877" s="26" t="s">
        <v>1915</v>
      </c>
      <c r="B1877" s="26"/>
      <c r="C1877" s="26"/>
    </row>
    <row r="1878" spans="1:3" ht="11.25" customHeight="1" x14ac:dyDescent="0.2">
      <c r="A1878" s="26" t="s">
        <v>1916</v>
      </c>
      <c r="B1878" s="26"/>
      <c r="C1878" s="26"/>
    </row>
    <row r="1879" spans="1:3" ht="11.25" customHeight="1" x14ac:dyDescent="0.2">
      <c r="A1879" s="26" t="s">
        <v>1917</v>
      </c>
      <c r="B1879" s="26"/>
      <c r="C1879" s="26"/>
    </row>
    <row r="1880" spans="1:3" ht="11.25" customHeight="1" x14ac:dyDescent="0.2">
      <c r="A1880" s="26" t="s">
        <v>1918</v>
      </c>
      <c r="B1880" s="26"/>
      <c r="C1880" s="26"/>
    </row>
    <row r="1881" spans="1:3" ht="11.25" customHeight="1" x14ac:dyDescent="0.2">
      <c r="A1881" s="26" t="s">
        <v>1919</v>
      </c>
      <c r="B1881" s="26"/>
      <c r="C1881" s="26"/>
    </row>
    <row r="1882" spans="1:3" ht="11.25" customHeight="1" x14ac:dyDescent="0.2">
      <c r="A1882" s="26" t="s">
        <v>1920</v>
      </c>
      <c r="B1882" s="26"/>
      <c r="C1882" s="26"/>
    </row>
    <row r="1883" spans="1:3" ht="11.25" customHeight="1" x14ac:dyDescent="0.2">
      <c r="A1883" s="26" t="s">
        <v>1921</v>
      </c>
      <c r="B1883" s="26"/>
      <c r="C1883" s="26"/>
    </row>
    <row r="1884" spans="1:3" ht="11.25" customHeight="1" x14ac:dyDescent="0.2">
      <c r="A1884" s="26" t="s">
        <v>1922</v>
      </c>
      <c r="B1884" s="26"/>
      <c r="C1884" s="26"/>
    </row>
    <row r="1885" spans="1:3" ht="11.25" customHeight="1" x14ac:dyDescent="0.2">
      <c r="A1885" s="26" t="s">
        <v>1923</v>
      </c>
      <c r="B1885" s="26"/>
      <c r="C1885" s="26"/>
    </row>
    <row r="1886" spans="1:3" ht="11.25" customHeight="1" x14ac:dyDescent="0.2">
      <c r="A1886" s="26" t="s">
        <v>1924</v>
      </c>
      <c r="B1886" s="26"/>
      <c r="C1886" s="26"/>
    </row>
    <row r="1887" spans="1:3" ht="11.25" customHeight="1" x14ac:dyDescent="0.2">
      <c r="A1887" s="26" t="s">
        <v>1925</v>
      </c>
      <c r="B1887" s="26"/>
      <c r="C1887" s="26"/>
    </row>
    <row r="1888" spans="1:3" ht="11.25" customHeight="1" x14ac:dyDescent="0.2">
      <c r="A1888" s="26" t="s">
        <v>1926</v>
      </c>
      <c r="B1888" s="26"/>
      <c r="C1888" s="26"/>
    </row>
    <row r="1889" spans="1:3" ht="11.25" customHeight="1" x14ac:dyDescent="0.2">
      <c r="A1889" s="26" t="s">
        <v>1927</v>
      </c>
      <c r="B1889" s="26"/>
      <c r="C1889" s="26"/>
    </row>
    <row r="1890" spans="1:3" ht="11.25" customHeight="1" x14ac:dyDescent="0.2">
      <c r="A1890" s="26" t="s">
        <v>1928</v>
      </c>
      <c r="B1890" s="26"/>
      <c r="C1890" s="26"/>
    </row>
    <row r="1891" spans="1:3" ht="11.25" customHeight="1" x14ac:dyDescent="0.2">
      <c r="A1891" s="26" t="s">
        <v>1929</v>
      </c>
      <c r="B1891" s="26"/>
      <c r="C1891" s="26"/>
    </row>
    <row r="1892" spans="1:3" ht="11.25" customHeight="1" x14ac:dyDescent="0.2">
      <c r="A1892" s="26" t="s">
        <v>1930</v>
      </c>
      <c r="B1892" s="26"/>
      <c r="C1892" s="26"/>
    </row>
    <row r="1893" spans="1:3" ht="11.25" customHeight="1" x14ac:dyDescent="0.2">
      <c r="A1893" s="26" t="s">
        <v>1931</v>
      </c>
      <c r="B1893" s="26"/>
      <c r="C1893" s="26"/>
    </row>
    <row r="1894" spans="1:3" ht="11.25" customHeight="1" x14ac:dyDescent="0.2">
      <c r="A1894" s="26" t="s">
        <v>1932</v>
      </c>
      <c r="B1894" s="26"/>
      <c r="C1894" s="26"/>
    </row>
    <row r="1895" spans="1:3" ht="11.25" customHeight="1" x14ac:dyDescent="0.2">
      <c r="A1895" s="26" t="s">
        <v>1933</v>
      </c>
      <c r="B1895" s="26"/>
      <c r="C1895" s="26"/>
    </row>
    <row r="1896" spans="1:3" ht="11.25" customHeight="1" x14ac:dyDescent="0.2">
      <c r="A1896" s="26" t="s">
        <v>1934</v>
      </c>
      <c r="B1896" s="26"/>
      <c r="C1896" s="26"/>
    </row>
    <row r="1897" spans="1:3" ht="11.25" customHeight="1" x14ac:dyDescent="0.2">
      <c r="A1897" s="26" t="s">
        <v>1935</v>
      </c>
      <c r="B1897" s="26"/>
      <c r="C1897" s="26"/>
    </row>
    <row r="1898" spans="1:3" ht="11.25" customHeight="1" x14ac:dyDescent="0.2">
      <c r="A1898" s="26" t="s">
        <v>1936</v>
      </c>
      <c r="B1898" s="26"/>
      <c r="C1898" s="26"/>
    </row>
    <row r="1899" spans="1:3" ht="11.25" customHeight="1" x14ac:dyDescent="0.2">
      <c r="A1899" s="26" t="s">
        <v>1937</v>
      </c>
      <c r="B1899" s="26"/>
      <c r="C1899" s="26"/>
    </row>
    <row r="1900" spans="1:3" ht="11.25" customHeight="1" x14ac:dyDescent="0.2">
      <c r="A1900" s="26" t="s">
        <v>1938</v>
      </c>
      <c r="B1900" s="26"/>
      <c r="C1900" s="26"/>
    </row>
    <row r="1901" spans="1:3" ht="11.25" customHeight="1" x14ac:dyDescent="0.2">
      <c r="A1901" s="26" t="s">
        <v>1939</v>
      </c>
      <c r="B1901" s="26"/>
      <c r="C1901" s="26"/>
    </row>
    <row r="1902" spans="1:3" ht="11.25" customHeight="1" x14ac:dyDescent="0.2">
      <c r="A1902" s="26" t="s">
        <v>1940</v>
      </c>
      <c r="B1902" s="26"/>
      <c r="C1902" s="26"/>
    </row>
    <row r="1903" spans="1:3" ht="11.25" customHeight="1" x14ac:dyDescent="0.2">
      <c r="A1903" s="26" t="s">
        <v>1941</v>
      </c>
      <c r="B1903" s="26"/>
      <c r="C1903" s="26"/>
    </row>
    <row r="1904" spans="1:3" ht="11.25" customHeight="1" x14ac:dyDescent="0.2">
      <c r="A1904" s="26" t="s">
        <v>1942</v>
      </c>
      <c r="B1904" s="26"/>
      <c r="C1904" s="26"/>
    </row>
    <row r="1905" spans="1:3" ht="11.25" customHeight="1" x14ac:dyDescent="0.2">
      <c r="A1905" s="26" t="s">
        <v>1943</v>
      </c>
      <c r="B1905" s="26"/>
      <c r="C1905" s="26"/>
    </row>
    <row r="1906" spans="1:3" ht="11.25" customHeight="1" x14ac:dyDescent="0.2">
      <c r="A1906" s="26" t="s">
        <v>1944</v>
      </c>
      <c r="B1906" s="26"/>
      <c r="C1906" s="26"/>
    </row>
    <row r="1907" spans="1:3" ht="11.25" customHeight="1" x14ac:dyDescent="0.2">
      <c r="A1907" s="26" t="s">
        <v>1945</v>
      </c>
      <c r="B1907" s="26"/>
      <c r="C1907" s="26"/>
    </row>
    <row r="1908" spans="1:3" ht="11.25" customHeight="1" x14ac:dyDescent="0.2">
      <c r="A1908" s="26" t="s">
        <v>1946</v>
      </c>
      <c r="B1908" s="26"/>
      <c r="C1908" s="26"/>
    </row>
    <row r="1909" spans="1:3" ht="11.25" customHeight="1" x14ac:dyDescent="0.2">
      <c r="A1909" s="26" t="s">
        <v>1947</v>
      </c>
      <c r="B1909" s="26"/>
      <c r="C1909" s="26"/>
    </row>
    <row r="1910" spans="1:3" ht="11.25" customHeight="1" x14ac:dyDescent="0.2">
      <c r="A1910" s="26" t="s">
        <v>1948</v>
      </c>
      <c r="B1910" s="26"/>
      <c r="C1910" s="26"/>
    </row>
    <row r="1911" spans="1:3" ht="11.25" customHeight="1" x14ac:dyDescent="0.2">
      <c r="A1911" s="26" t="s">
        <v>1949</v>
      </c>
      <c r="B1911" s="26"/>
      <c r="C1911" s="26"/>
    </row>
    <row r="1912" spans="1:3" ht="11.25" customHeight="1" x14ac:dyDescent="0.2">
      <c r="A1912" s="26" t="s">
        <v>1950</v>
      </c>
      <c r="B1912" s="26"/>
      <c r="C1912" s="26"/>
    </row>
    <row r="1913" spans="1:3" ht="11.25" customHeight="1" x14ac:dyDescent="0.2">
      <c r="A1913" s="26" t="s">
        <v>1951</v>
      </c>
      <c r="B1913" s="26"/>
      <c r="C1913" s="26"/>
    </row>
    <row r="1914" spans="1:3" ht="11.25" customHeight="1" x14ac:dyDescent="0.2">
      <c r="A1914" s="26" t="s">
        <v>1952</v>
      </c>
      <c r="B1914" s="26"/>
      <c r="C1914" s="26"/>
    </row>
    <row r="1915" spans="1:3" ht="11.25" customHeight="1" x14ac:dyDescent="0.2">
      <c r="A1915" s="26" t="s">
        <v>1953</v>
      </c>
      <c r="B1915" s="26"/>
      <c r="C1915" s="26"/>
    </row>
    <row r="1916" spans="1:3" ht="11.25" customHeight="1" x14ac:dyDescent="0.2">
      <c r="A1916" s="26" t="s">
        <v>1954</v>
      </c>
      <c r="B1916" s="26"/>
      <c r="C1916" s="26"/>
    </row>
    <row r="1917" spans="1:3" ht="11.25" customHeight="1" x14ac:dyDescent="0.2">
      <c r="A1917" s="26" t="s">
        <v>1955</v>
      </c>
      <c r="B1917" s="26"/>
      <c r="C1917" s="26"/>
    </row>
    <row r="1918" spans="1:3" ht="11.25" customHeight="1" x14ac:dyDescent="0.2">
      <c r="A1918" s="26" t="s">
        <v>1956</v>
      </c>
      <c r="B1918" s="26"/>
      <c r="C1918" s="26"/>
    </row>
    <row r="1919" spans="1:3" ht="11.25" customHeight="1" x14ac:dyDescent="0.2">
      <c r="A1919" s="26" t="s">
        <v>1957</v>
      </c>
      <c r="B1919" s="26"/>
      <c r="C1919" s="26"/>
    </row>
    <row r="1920" spans="1:3" ht="11.25" customHeight="1" x14ac:dyDescent="0.2">
      <c r="A1920" s="26" t="s">
        <v>1958</v>
      </c>
      <c r="B1920" s="26"/>
      <c r="C1920" s="26"/>
    </row>
    <row r="1921" spans="1:3" ht="11.25" customHeight="1" x14ac:dyDescent="0.2">
      <c r="A1921" s="26" t="s">
        <v>1959</v>
      </c>
      <c r="B1921" s="26"/>
      <c r="C1921" s="26"/>
    </row>
    <row r="1922" spans="1:3" ht="11.25" customHeight="1" x14ac:dyDescent="0.2">
      <c r="A1922" s="26" t="s">
        <v>1960</v>
      </c>
      <c r="B1922" s="26"/>
      <c r="C1922" s="26"/>
    </row>
    <row r="1923" spans="1:3" ht="11.25" customHeight="1" x14ac:dyDescent="0.2">
      <c r="A1923" s="26" t="s">
        <v>1961</v>
      </c>
      <c r="B1923" s="26"/>
      <c r="C1923" s="26"/>
    </row>
    <row r="1924" spans="1:3" ht="11.25" customHeight="1" x14ac:dyDescent="0.2">
      <c r="A1924" s="26" t="s">
        <v>1962</v>
      </c>
      <c r="B1924" s="26"/>
      <c r="C1924" s="26"/>
    </row>
    <row r="1925" spans="1:3" ht="11.25" customHeight="1" x14ac:dyDescent="0.2">
      <c r="A1925" s="26" t="s">
        <v>1963</v>
      </c>
      <c r="B1925" s="26"/>
      <c r="C1925" s="26"/>
    </row>
    <row r="1926" spans="1:3" ht="11.25" customHeight="1" x14ac:dyDescent="0.2">
      <c r="A1926" s="26" t="s">
        <v>1964</v>
      </c>
      <c r="B1926" s="26"/>
      <c r="C1926" s="26"/>
    </row>
    <row r="1927" spans="1:3" ht="11.25" customHeight="1" x14ac:dyDescent="0.2">
      <c r="A1927" s="26" t="s">
        <v>1965</v>
      </c>
      <c r="B1927" s="26"/>
      <c r="C1927" s="26"/>
    </row>
    <row r="1928" spans="1:3" ht="11.25" customHeight="1" x14ac:dyDescent="0.2">
      <c r="A1928" s="26" t="s">
        <v>1966</v>
      </c>
      <c r="B1928" s="26"/>
      <c r="C1928" s="26"/>
    </row>
    <row r="1929" spans="1:3" ht="11.25" customHeight="1" x14ac:dyDescent="0.2">
      <c r="A1929" s="26" t="s">
        <v>1967</v>
      </c>
      <c r="B1929" s="26"/>
      <c r="C1929" s="26"/>
    </row>
    <row r="1930" spans="1:3" ht="11.25" customHeight="1" x14ac:dyDescent="0.2">
      <c r="A1930" s="26" t="s">
        <v>1968</v>
      </c>
      <c r="B1930" s="26"/>
      <c r="C1930" s="26"/>
    </row>
    <row r="1931" spans="1:3" ht="11.25" customHeight="1" x14ac:dyDescent="0.2">
      <c r="A1931" s="26" t="s">
        <v>1969</v>
      </c>
      <c r="B1931" s="26"/>
      <c r="C1931" s="26"/>
    </row>
    <row r="1932" spans="1:3" ht="11.25" customHeight="1" x14ac:dyDescent="0.2">
      <c r="A1932" s="26" t="s">
        <v>1970</v>
      </c>
      <c r="B1932" s="26"/>
      <c r="C1932" s="26"/>
    </row>
    <row r="1933" spans="1:3" ht="11.25" customHeight="1" x14ac:dyDescent="0.2">
      <c r="A1933" s="26" t="s">
        <v>1971</v>
      </c>
      <c r="B1933" s="26"/>
      <c r="C1933" s="26"/>
    </row>
    <row r="1934" spans="1:3" ht="11.25" customHeight="1" x14ac:dyDescent="0.2">
      <c r="A1934" s="26" t="s">
        <v>1972</v>
      </c>
      <c r="B1934" s="26"/>
      <c r="C1934" s="26"/>
    </row>
    <row r="1935" spans="1:3" ht="11.25" customHeight="1" x14ac:dyDescent="0.2">
      <c r="A1935" s="26" t="s">
        <v>1973</v>
      </c>
      <c r="B1935" s="26"/>
      <c r="C1935" s="26"/>
    </row>
    <row r="1936" spans="1:3" ht="11.25" customHeight="1" x14ac:dyDescent="0.2">
      <c r="A1936" s="26" t="s">
        <v>1974</v>
      </c>
      <c r="B1936" s="26"/>
      <c r="C1936" s="26"/>
    </row>
    <row r="1937" spans="1:3" ht="11.25" customHeight="1" x14ac:dyDescent="0.2">
      <c r="A1937" s="26" t="s">
        <v>1975</v>
      </c>
      <c r="B1937" s="26"/>
      <c r="C1937" s="26"/>
    </row>
    <row r="1938" spans="1:3" ht="11.25" customHeight="1" x14ac:dyDescent="0.2">
      <c r="A1938" s="26" t="s">
        <v>1976</v>
      </c>
      <c r="B1938" s="26"/>
      <c r="C1938" s="26"/>
    </row>
    <row r="1939" spans="1:3" ht="11.25" customHeight="1" x14ac:dyDescent="0.2">
      <c r="A1939" s="26" t="s">
        <v>1977</v>
      </c>
      <c r="B1939" s="26"/>
      <c r="C1939" s="26"/>
    </row>
    <row r="1940" spans="1:3" ht="11.25" customHeight="1" x14ac:dyDescent="0.2">
      <c r="A1940" s="26" t="s">
        <v>1978</v>
      </c>
      <c r="B1940" s="26"/>
      <c r="C1940" s="26"/>
    </row>
    <row r="1941" spans="1:3" ht="11.25" customHeight="1" x14ac:dyDescent="0.2">
      <c r="A1941" s="26" t="s">
        <v>1979</v>
      </c>
      <c r="B1941" s="26"/>
      <c r="C1941" s="26"/>
    </row>
    <row r="1942" spans="1:3" ht="11.25" customHeight="1" x14ac:dyDescent="0.2">
      <c r="A1942" s="26" t="s">
        <v>1980</v>
      </c>
      <c r="B1942" s="26"/>
      <c r="C1942" s="26"/>
    </row>
    <row r="1943" spans="1:3" ht="11.25" customHeight="1" x14ac:dyDescent="0.2">
      <c r="A1943" s="26" t="s">
        <v>1981</v>
      </c>
      <c r="B1943" s="26"/>
      <c r="C1943" s="26"/>
    </row>
    <row r="1944" spans="1:3" ht="11.25" customHeight="1" x14ac:dyDescent="0.2">
      <c r="A1944" s="26" t="s">
        <v>1982</v>
      </c>
      <c r="B1944" s="26"/>
      <c r="C1944" s="26"/>
    </row>
    <row r="1945" spans="1:3" ht="11.25" customHeight="1" x14ac:dyDescent="0.2">
      <c r="A1945" s="26" t="s">
        <v>1983</v>
      </c>
      <c r="B1945" s="26"/>
      <c r="C1945" s="26"/>
    </row>
    <row r="1946" spans="1:3" ht="11.25" customHeight="1" x14ac:dyDescent="0.2">
      <c r="A1946" s="26" t="s">
        <v>1984</v>
      </c>
      <c r="B1946" s="26"/>
      <c r="C1946" s="26"/>
    </row>
    <row r="1947" spans="1:3" ht="11.25" customHeight="1" x14ac:dyDescent="0.2">
      <c r="A1947" s="26" t="s">
        <v>1985</v>
      </c>
      <c r="B1947" s="26"/>
      <c r="C1947" s="26"/>
    </row>
    <row r="1948" spans="1:3" ht="11.25" customHeight="1" x14ac:dyDescent="0.2">
      <c r="A1948" s="26" t="s">
        <v>1986</v>
      </c>
      <c r="B1948" s="26"/>
      <c r="C1948" s="26"/>
    </row>
    <row r="1949" spans="1:3" ht="11.25" customHeight="1" x14ac:dyDescent="0.2">
      <c r="A1949" s="26" t="s">
        <v>1987</v>
      </c>
      <c r="B1949" s="26"/>
      <c r="C1949" s="26"/>
    </row>
    <row r="1950" spans="1:3" ht="11.25" customHeight="1" x14ac:dyDescent="0.2">
      <c r="A1950" s="26" t="s">
        <v>1988</v>
      </c>
      <c r="B1950" s="26"/>
      <c r="C1950" s="26"/>
    </row>
    <row r="1951" spans="1:3" ht="11.25" customHeight="1" x14ac:dyDescent="0.2">
      <c r="A1951" s="26" t="s">
        <v>1989</v>
      </c>
      <c r="B1951" s="26"/>
      <c r="C1951" s="26"/>
    </row>
    <row r="1952" spans="1:3" ht="11.25" customHeight="1" x14ac:dyDescent="0.2">
      <c r="A1952" s="26" t="s">
        <v>1990</v>
      </c>
      <c r="B1952" s="26"/>
      <c r="C1952" s="26"/>
    </row>
    <row r="1953" spans="1:3" ht="11.25" customHeight="1" x14ac:dyDescent="0.2">
      <c r="A1953" s="26" t="s">
        <v>1991</v>
      </c>
      <c r="B1953" s="26"/>
      <c r="C1953" s="26"/>
    </row>
    <row r="1954" spans="1:3" ht="11.25" customHeight="1" x14ac:dyDescent="0.2">
      <c r="A1954" s="26" t="s">
        <v>1992</v>
      </c>
      <c r="B1954" s="26"/>
      <c r="C1954" s="26"/>
    </row>
    <row r="1955" spans="1:3" ht="11.25" customHeight="1" x14ac:dyDescent="0.2">
      <c r="A1955" s="26" t="s">
        <v>1993</v>
      </c>
      <c r="B1955" s="26"/>
      <c r="C1955" s="26"/>
    </row>
    <row r="1956" spans="1:3" ht="11.25" customHeight="1" x14ac:dyDescent="0.2">
      <c r="A1956" s="26" t="s">
        <v>1994</v>
      </c>
      <c r="B1956" s="26"/>
      <c r="C1956" s="26"/>
    </row>
    <row r="1957" spans="1:3" ht="11.25" customHeight="1" x14ac:dyDescent="0.2">
      <c r="A1957" s="26" t="s">
        <v>1995</v>
      </c>
      <c r="B1957" s="26"/>
      <c r="C1957" s="26"/>
    </row>
    <row r="1958" spans="1:3" ht="11.25" customHeight="1" x14ac:dyDescent="0.2">
      <c r="A1958" s="26" t="s">
        <v>1996</v>
      </c>
      <c r="B1958" s="26"/>
      <c r="C1958" s="26"/>
    </row>
    <row r="1959" spans="1:3" ht="11.25" customHeight="1" x14ac:dyDescent="0.2">
      <c r="A1959" s="26" t="s">
        <v>1997</v>
      </c>
      <c r="B1959" s="26"/>
      <c r="C1959" s="26"/>
    </row>
    <row r="1960" spans="1:3" ht="11.25" customHeight="1" x14ac:dyDescent="0.2">
      <c r="A1960" s="26" t="s">
        <v>1998</v>
      </c>
      <c r="B1960" s="26"/>
      <c r="C1960" s="26"/>
    </row>
    <row r="1961" spans="1:3" ht="11.25" customHeight="1" x14ac:dyDescent="0.2">
      <c r="A1961" s="26" t="s">
        <v>1999</v>
      </c>
      <c r="B1961" s="26"/>
      <c r="C1961" s="26"/>
    </row>
    <row r="1962" spans="1:3" ht="11.25" customHeight="1" x14ac:dyDescent="0.2">
      <c r="A1962" s="26" t="s">
        <v>2000</v>
      </c>
      <c r="B1962" s="26"/>
      <c r="C1962" s="26"/>
    </row>
    <row r="1963" spans="1:3" ht="11.25" customHeight="1" x14ac:dyDescent="0.2">
      <c r="A1963" s="26" t="s">
        <v>2001</v>
      </c>
      <c r="B1963" s="26"/>
      <c r="C1963" s="26"/>
    </row>
    <row r="1964" spans="1:3" ht="11.25" customHeight="1" x14ac:dyDescent="0.2">
      <c r="A1964" s="26" t="s">
        <v>2002</v>
      </c>
      <c r="B1964" s="26"/>
      <c r="C1964" s="26"/>
    </row>
    <row r="1965" spans="1:3" ht="11.25" customHeight="1" x14ac:dyDescent="0.2">
      <c r="A1965" s="26" t="s">
        <v>2003</v>
      </c>
      <c r="B1965" s="26"/>
      <c r="C1965" s="26"/>
    </row>
    <row r="1966" spans="1:3" ht="11.25" customHeight="1" x14ac:dyDescent="0.2">
      <c r="A1966" s="26" t="s">
        <v>2004</v>
      </c>
      <c r="B1966" s="26"/>
      <c r="C1966" s="26"/>
    </row>
    <row r="1967" spans="1:3" ht="11.25" customHeight="1" x14ac:dyDescent="0.2">
      <c r="A1967" s="26" t="s">
        <v>2005</v>
      </c>
      <c r="B1967" s="26"/>
      <c r="C1967" s="26"/>
    </row>
    <row r="1968" spans="1:3" ht="11.25" customHeight="1" x14ac:dyDescent="0.2">
      <c r="A1968" s="26" t="s">
        <v>2006</v>
      </c>
      <c r="B1968" s="26"/>
      <c r="C1968" s="26"/>
    </row>
    <row r="1969" spans="1:3" ht="11.25" customHeight="1" x14ac:dyDescent="0.2">
      <c r="A1969" s="26" t="s">
        <v>2007</v>
      </c>
      <c r="B1969" s="26"/>
      <c r="C1969" s="26"/>
    </row>
    <row r="1970" spans="1:3" ht="11.25" customHeight="1" x14ac:dyDescent="0.2">
      <c r="A1970" s="26" t="s">
        <v>2008</v>
      </c>
      <c r="B1970" s="26"/>
      <c r="C1970" s="26"/>
    </row>
    <row r="1971" spans="1:3" ht="11.25" customHeight="1" x14ac:dyDescent="0.2">
      <c r="A1971" s="26" t="s">
        <v>2009</v>
      </c>
      <c r="B1971" s="26"/>
      <c r="C1971" s="26"/>
    </row>
    <row r="1972" spans="1:3" ht="11.25" customHeight="1" x14ac:dyDescent="0.2">
      <c r="A1972" s="26" t="s">
        <v>2010</v>
      </c>
      <c r="B1972" s="26"/>
      <c r="C1972" s="26"/>
    </row>
    <row r="1973" spans="1:3" ht="11.25" customHeight="1" x14ac:dyDescent="0.2">
      <c r="A1973" s="26" t="s">
        <v>2011</v>
      </c>
      <c r="B1973" s="26"/>
      <c r="C1973" s="26"/>
    </row>
    <row r="1974" spans="1:3" ht="11.25" customHeight="1" x14ac:dyDescent="0.2">
      <c r="A1974" s="26" t="s">
        <v>2012</v>
      </c>
      <c r="B1974" s="26"/>
      <c r="C1974" s="26"/>
    </row>
    <row r="1975" spans="1:3" ht="11.25" customHeight="1" x14ac:dyDescent="0.2">
      <c r="A1975" s="26" t="s">
        <v>2013</v>
      </c>
      <c r="B1975" s="26"/>
      <c r="C1975" s="26"/>
    </row>
    <row r="1976" spans="1:3" ht="11.25" customHeight="1" x14ac:dyDescent="0.2">
      <c r="A1976" s="26" t="s">
        <v>2014</v>
      </c>
      <c r="B1976" s="26"/>
      <c r="C1976" s="26"/>
    </row>
    <row r="1977" spans="1:3" ht="11.25" customHeight="1" x14ac:dyDescent="0.2">
      <c r="A1977" s="26" t="s">
        <v>2015</v>
      </c>
      <c r="B1977" s="26"/>
      <c r="C1977" s="26"/>
    </row>
    <row r="1978" spans="1:3" ht="11.25" customHeight="1" x14ac:dyDescent="0.2">
      <c r="A1978" s="26" t="s">
        <v>2016</v>
      </c>
      <c r="B1978" s="26"/>
      <c r="C1978" s="26"/>
    </row>
    <row r="1979" spans="1:3" ht="11.25" customHeight="1" x14ac:dyDescent="0.2">
      <c r="A1979" s="26" t="s">
        <v>2017</v>
      </c>
      <c r="B1979" s="26"/>
      <c r="C1979" s="26"/>
    </row>
    <row r="1980" spans="1:3" ht="11.25" customHeight="1" x14ac:dyDescent="0.2">
      <c r="A1980" s="26" t="s">
        <v>2018</v>
      </c>
      <c r="B1980" s="26"/>
      <c r="C1980" s="26"/>
    </row>
    <row r="1981" spans="1:3" ht="11.25" customHeight="1" x14ac:dyDescent="0.2">
      <c r="A1981" s="26" t="s">
        <v>2019</v>
      </c>
      <c r="B1981" s="26"/>
      <c r="C1981" s="26"/>
    </row>
    <row r="1982" spans="1:3" ht="11.25" customHeight="1" x14ac:dyDescent="0.2">
      <c r="A1982" s="26" t="s">
        <v>2020</v>
      </c>
      <c r="B1982" s="26"/>
      <c r="C1982" s="26"/>
    </row>
    <row r="1983" spans="1:3" ht="11.25" customHeight="1" x14ac:dyDescent="0.2">
      <c r="A1983" s="26" t="s">
        <v>2021</v>
      </c>
      <c r="B1983" s="26"/>
      <c r="C1983" s="26"/>
    </row>
    <row r="1984" spans="1:3" ht="11.25" customHeight="1" x14ac:dyDescent="0.2">
      <c r="A1984" s="26" t="s">
        <v>2022</v>
      </c>
      <c r="B1984" s="26"/>
      <c r="C1984" s="26"/>
    </row>
    <row r="1985" spans="1:3" ht="11.25" customHeight="1" x14ac:dyDescent="0.2">
      <c r="A1985" s="26" t="s">
        <v>2023</v>
      </c>
      <c r="B1985" s="26"/>
      <c r="C1985" s="26"/>
    </row>
    <row r="1986" spans="1:3" ht="11.25" customHeight="1" x14ac:dyDescent="0.2">
      <c r="A1986" s="26" t="s">
        <v>2024</v>
      </c>
      <c r="B1986" s="26"/>
      <c r="C1986" s="26"/>
    </row>
    <row r="1987" spans="1:3" ht="11.25" customHeight="1" x14ac:dyDescent="0.2">
      <c r="A1987" s="26" t="s">
        <v>2025</v>
      </c>
      <c r="B1987" s="26"/>
      <c r="C1987" s="26"/>
    </row>
    <row r="1988" spans="1:3" ht="11.25" customHeight="1" x14ac:dyDescent="0.2">
      <c r="A1988" s="26" t="s">
        <v>2026</v>
      </c>
      <c r="B1988" s="26"/>
      <c r="C1988" s="26"/>
    </row>
    <row r="1989" spans="1:3" ht="11.25" customHeight="1" x14ac:dyDescent="0.2">
      <c r="A1989" s="26" t="s">
        <v>2027</v>
      </c>
      <c r="B1989" s="26"/>
      <c r="C1989" s="26"/>
    </row>
    <row r="1990" spans="1:3" ht="11.25" customHeight="1" x14ac:dyDescent="0.2">
      <c r="A1990" s="26" t="s">
        <v>2028</v>
      </c>
      <c r="B1990" s="26"/>
      <c r="C1990" s="26"/>
    </row>
    <row r="1991" spans="1:3" ht="11.25" customHeight="1" x14ac:dyDescent="0.2">
      <c r="A1991" s="26" t="s">
        <v>2029</v>
      </c>
      <c r="B1991" s="26"/>
      <c r="C1991" s="26"/>
    </row>
    <row r="1992" spans="1:3" ht="11.25" customHeight="1" x14ac:dyDescent="0.2">
      <c r="A1992" s="26" t="s">
        <v>2030</v>
      </c>
      <c r="B1992" s="26"/>
      <c r="C1992" s="26"/>
    </row>
    <row r="1993" spans="1:3" ht="11.25" customHeight="1" x14ac:dyDescent="0.2">
      <c r="A1993" s="26" t="s">
        <v>2031</v>
      </c>
      <c r="B1993" s="26"/>
      <c r="C1993" s="26"/>
    </row>
    <row r="1994" spans="1:3" ht="11.25" customHeight="1" x14ac:dyDescent="0.2">
      <c r="A1994" s="26" t="s">
        <v>2032</v>
      </c>
      <c r="B1994" s="26"/>
      <c r="C1994" s="26"/>
    </row>
    <row r="1995" spans="1:3" ht="11.25" customHeight="1" x14ac:dyDescent="0.2">
      <c r="A1995" s="26" t="s">
        <v>2033</v>
      </c>
      <c r="B1995" s="26"/>
      <c r="C1995" s="26"/>
    </row>
    <row r="1996" spans="1:3" ht="11.25" customHeight="1" x14ac:dyDescent="0.2">
      <c r="A1996" s="26" t="s">
        <v>2034</v>
      </c>
      <c r="B1996" s="26"/>
      <c r="C1996" s="26"/>
    </row>
    <row r="1997" spans="1:3" ht="11.25" customHeight="1" x14ac:dyDescent="0.2">
      <c r="A1997" s="26" t="s">
        <v>2035</v>
      </c>
      <c r="B1997" s="26"/>
      <c r="C1997" s="26"/>
    </row>
    <row r="1998" spans="1:3" ht="11.25" customHeight="1" x14ac:dyDescent="0.2">
      <c r="A1998" s="26" t="s">
        <v>2036</v>
      </c>
      <c r="B1998" s="26"/>
      <c r="C1998" s="26"/>
    </row>
    <row r="1999" spans="1:3" ht="11.25" customHeight="1" x14ac:dyDescent="0.2">
      <c r="A1999" s="26" t="s">
        <v>2037</v>
      </c>
      <c r="B1999" s="26"/>
      <c r="C1999" s="26"/>
    </row>
    <row r="2000" spans="1:3" ht="11.25" customHeight="1" x14ac:dyDescent="0.2">
      <c r="A2000" s="26" t="s">
        <v>2038</v>
      </c>
      <c r="B2000" s="26"/>
      <c r="C2000" s="26"/>
    </row>
    <row r="2001" spans="1:3" ht="11.25" customHeight="1" x14ac:dyDescent="0.2">
      <c r="A2001" s="26" t="s">
        <v>2039</v>
      </c>
      <c r="B2001" s="26"/>
      <c r="C2001" s="26"/>
    </row>
    <row r="2002" spans="1:3" ht="11.25" customHeight="1" x14ac:dyDescent="0.2">
      <c r="A2002" s="26" t="s">
        <v>2040</v>
      </c>
      <c r="B2002" s="26"/>
      <c r="C2002" s="26"/>
    </row>
    <row r="2003" spans="1:3" ht="11.25" customHeight="1" x14ac:dyDescent="0.2">
      <c r="A2003" s="26" t="s">
        <v>2041</v>
      </c>
      <c r="B2003" s="26"/>
      <c r="C2003" s="26"/>
    </row>
    <row r="2004" spans="1:3" ht="11.25" customHeight="1" x14ac:dyDescent="0.2">
      <c r="A2004" s="26" t="s">
        <v>2042</v>
      </c>
      <c r="B2004" s="26"/>
      <c r="C2004" s="26"/>
    </row>
    <row r="2005" spans="1:3" ht="11.25" customHeight="1" x14ac:dyDescent="0.2">
      <c r="A2005" s="26" t="s">
        <v>2043</v>
      </c>
      <c r="B2005" s="26"/>
      <c r="C2005" s="26"/>
    </row>
    <row r="2006" spans="1:3" ht="11.25" customHeight="1" x14ac:dyDescent="0.2">
      <c r="A2006" s="26" t="s">
        <v>2044</v>
      </c>
      <c r="B2006" s="26"/>
      <c r="C2006" s="26"/>
    </row>
    <row r="2007" spans="1:3" ht="11.25" customHeight="1" x14ac:dyDescent="0.2">
      <c r="A2007" s="26" t="s">
        <v>2045</v>
      </c>
      <c r="B2007" s="26"/>
      <c r="C2007" s="26"/>
    </row>
    <row r="2008" spans="1:3" ht="11.25" customHeight="1" x14ac:dyDescent="0.2">
      <c r="A2008" s="26" t="s">
        <v>2046</v>
      </c>
      <c r="B2008" s="26"/>
      <c r="C2008" s="26"/>
    </row>
    <row r="2009" spans="1:3" ht="11.25" customHeight="1" x14ac:dyDescent="0.2">
      <c r="A2009" s="26" t="s">
        <v>2047</v>
      </c>
      <c r="B2009" s="26"/>
      <c r="C2009" s="26"/>
    </row>
    <row r="2010" spans="1:3" ht="11.25" customHeight="1" x14ac:dyDescent="0.2">
      <c r="A2010" s="26" t="s">
        <v>2048</v>
      </c>
      <c r="B2010" s="26"/>
      <c r="C2010" s="26"/>
    </row>
    <row r="2011" spans="1:3" ht="11.25" customHeight="1" x14ac:dyDescent="0.2">
      <c r="A2011" s="26" t="s">
        <v>2049</v>
      </c>
      <c r="B2011" s="26"/>
      <c r="C2011" s="26"/>
    </row>
    <row r="2012" spans="1:3" ht="11.25" customHeight="1" x14ac:dyDescent="0.2">
      <c r="A2012" s="26" t="s">
        <v>2050</v>
      </c>
      <c r="B2012" s="26"/>
      <c r="C2012" s="26"/>
    </row>
    <row r="2013" spans="1:3" ht="11.25" customHeight="1" x14ac:dyDescent="0.2">
      <c r="A2013" s="26" t="s">
        <v>2051</v>
      </c>
      <c r="B2013" s="26"/>
      <c r="C2013" s="26"/>
    </row>
    <row r="2014" spans="1:3" ht="11.25" customHeight="1" x14ac:dyDescent="0.2">
      <c r="A2014" s="26" t="s">
        <v>2052</v>
      </c>
      <c r="B2014" s="26"/>
      <c r="C2014" s="26"/>
    </row>
    <row r="2015" spans="1:3" ht="11.25" customHeight="1" x14ac:dyDescent="0.2">
      <c r="A2015" s="26" t="s">
        <v>2053</v>
      </c>
      <c r="B2015" s="26"/>
      <c r="C2015" s="26"/>
    </row>
    <row r="2016" spans="1:3" ht="11.25" customHeight="1" x14ac:dyDescent="0.2">
      <c r="A2016" s="26" t="s">
        <v>2054</v>
      </c>
      <c r="B2016" s="26"/>
      <c r="C2016" s="26"/>
    </row>
    <row r="2017" spans="1:3" ht="11.25" customHeight="1" x14ac:dyDescent="0.2">
      <c r="A2017" s="26" t="s">
        <v>2055</v>
      </c>
      <c r="B2017" s="26"/>
      <c r="C2017" s="26"/>
    </row>
    <row r="2018" spans="1:3" ht="11.25" customHeight="1" x14ac:dyDescent="0.2">
      <c r="A2018" s="26" t="s">
        <v>2056</v>
      </c>
      <c r="B2018" s="26"/>
      <c r="C2018" s="26"/>
    </row>
    <row r="2019" spans="1:3" ht="11.25" customHeight="1" x14ac:dyDescent="0.2">
      <c r="A2019" s="26" t="s">
        <v>2057</v>
      </c>
      <c r="B2019" s="26"/>
      <c r="C2019" s="26"/>
    </row>
    <row r="2020" spans="1:3" ht="11.25" customHeight="1" x14ac:dyDescent="0.2">
      <c r="A2020" s="26" t="s">
        <v>2058</v>
      </c>
      <c r="B2020" s="26"/>
      <c r="C2020" s="26"/>
    </row>
    <row r="2021" spans="1:3" ht="11.25" customHeight="1" x14ac:dyDescent="0.2">
      <c r="A2021" s="26" t="s">
        <v>2059</v>
      </c>
      <c r="B2021" s="26"/>
      <c r="C2021" s="26"/>
    </row>
    <row r="2022" spans="1:3" ht="11.25" customHeight="1" x14ac:dyDescent="0.2">
      <c r="A2022" s="26" t="s">
        <v>2060</v>
      </c>
      <c r="B2022" s="26"/>
      <c r="C2022" s="26"/>
    </row>
    <row r="2023" spans="1:3" ht="11.25" customHeight="1" x14ac:dyDescent="0.2">
      <c r="A2023" s="26" t="s">
        <v>2061</v>
      </c>
      <c r="B2023" s="26"/>
      <c r="C2023" s="26"/>
    </row>
    <row r="2024" spans="1:3" ht="11.25" customHeight="1" x14ac:dyDescent="0.2">
      <c r="A2024" s="26" t="s">
        <v>2062</v>
      </c>
      <c r="B2024" s="26"/>
      <c r="C2024" s="26"/>
    </row>
    <row r="2025" spans="1:3" ht="11.25" customHeight="1" x14ac:dyDescent="0.2">
      <c r="A2025" s="26" t="s">
        <v>2063</v>
      </c>
      <c r="B2025" s="26"/>
      <c r="C2025" s="26"/>
    </row>
    <row r="2026" spans="1:3" ht="11.25" customHeight="1" x14ac:dyDescent="0.2">
      <c r="A2026" s="26" t="s">
        <v>2064</v>
      </c>
      <c r="B2026" s="26"/>
      <c r="C2026" s="26"/>
    </row>
    <row r="2027" spans="1:3" ht="11.25" customHeight="1" x14ac:dyDescent="0.2">
      <c r="A2027" s="26" t="s">
        <v>2065</v>
      </c>
      <c r="B2027" s="26"/>
      <c r="C2027" s="26"/>
    </row>
    <row r="2028" spans="1:3" ht="11.25" customHeight="1" x14ac:dyDescent="0.2">
      <c r="A2028" s="26" t="s">
        <v>2066</v>
      </c>
      <c r="B2028" s="26"/>
      <c r="C2028" s="26"/>
    </row>
    <row r="2029" spans="1:3" ht="11.25" customHeight="1" x14ac:dyDescent="0.2">
      <c r="A2029" s="26" t="s">
        <v>2067</v>
      </c>
      <c r="B2029" s="26"/>
      <c r="C2029" s="26"/>
    </row>
    <row r="2030" spans="1:3" ht="11.25" customHeight="1" x14ac:dyDescent="0.2">
      <c r="A2030" s="26" t="s">
        <v>2068</v>
      </c>
      <c r="B2030" s="26"/>
      <c r="C2030" s="26"/>
    </row>
    <row r="2031" spans="1:3" ht="11.25" customHeight="1" x14ac:dyDescent="0.2">
      <c r="A2031" s="26" t="s">
        <v>2069</v>
      </c>
      <c r="B2031" s="26"/>
      <c r="C2031" s="26"/>
    </row>
    <row r="2032" spans="1:3" ht="11.25" customHeight="1" x14ac:dyDescent="0.2">
      <c r="A2032" s="26" t="s">
        <v>2070</v>
      </c>
      <c r="B2032" s="26"/>
      <c r="C2032" s="26"/>
    </row>
    <row r="2033" spans="1:3" ht="11.25" customHeight="1" x14ac:dyDescent="0.2">
      <c r="A2033" s="26" t="s">
        <v>2071</v>
      </c>
      <c r="B2033" s="26"/>
      <c r="C2033" s="26"/>
    </row>
    <row r="2034" spans="1:3" ht="11.25" customHeight="1" x14ac:dyDescent="0.2">
      <c r="A2034" s="26" t="s">
        <v>2072</v>
      </c>
      <c r="B2034" s="26"/>
      <c r="C2034" s="26"/>
    </row>
    <row r="2035" spans="1:3" ht="11.25" customHeight="1" x14ac:dyDescent="0.2">
      <c r="A2035" s="26" t="s">
        <v>2073</v>
      </c>
      <c r="B2035" s="26"/>
      <c r="C2035" s="26"/>
    </row>
    <row r="2036" spans="1:3" ht="11.25" customHeight="1" x14ac:dyDescent="0.2">
      <c r="A2036" s="26" t="s">
        <v>2074</v>
      </c>
      <c r="B2036" s="26"/>
      <c r="C2036" s="26"/>
    </row>
    <row r="2037" spans="1:3" ht="11.25" customHeight="1" x14ac:dyDescent="0.2">
      <c r="A2037" s="26" t="s">
        <v>2075</v>
      </c>
      <c r="B2037" s="26"/>
      <c r="C2037" s="26"/>
    </row>
    <row r="2038" spans="1:3" ht="11.25" customHeight="1" x14ac:dyDescent="0.2">
      <c r="A2038" s="26" t="s">
        <v>2076</v>
      </c>
      <c r="B2038" s="26"/>
      <c r="C2038" s="26"/>
    </row>
    <row r="2039" spans="1:3" ht="11.25" customHeight="1" x14ac:dyDescent="0.2">
      <c r="A2039" s="26" t="s">
        <v>2077</v>
      </c>
      <c r="B2039" s="26"/>
      <c r="C2039" s="26"/>
    </row>
    <row r="2040" spans="1:3" ht="11.25" customHeight="1" x14ac:dyDescent="0.2">
      <c r="A2040" s="26" t="s">
        <v>2078</v>
      </c>
      <c r="B2040" s="26"/>
      <c r="C2040" s="26"/>
    </row>
    <row r="2041" spans="1:3" ht="11.25" customHeight="1" x14ac:dyDescent="0.2">
      <c r="A2041" s="26" t="s">
        <v>2079</v>
      </c>
      <c r="B2041" s="26"/>
      <c r="C2041" s="26"/>
    </row>
    <row r="2042" spans="1:3" ht="11.25" customHeight="1" x14ac:dyDescent="0.2">
      <c r="A2042" s="26" t="s">
        <v>2080</v>
      </c>
      <c r="B2042" s="26"/>
      <c r="C2042" s="26"/>
    </row>
    <row r="2043" spans="1:3" ht="11.25" customHeight="1" x14ac:dyDescent="0.2">
      <c r="A2043" s="26" t="s">
        <v>2081</v>
      </c>
      <c r="B2043" s="26"/>
      <c r="C2043" s="26"/>
    </row>
    <row r="2044" spans="1:3" ht="11.25" customHeight="1" x14ac:dyDescent="0.2">
      <c r="A2044" s="26" t="s">
        <v>2082</v>
      </c>
      <c r="B2044" s="26"/>
      <c r="C2044" s="26"/>
    </row>
    <row r="2045" spans="1:3" ht="11.25" customHeight="1" x14ac:dyDescent="0.2">
      <c r="A2045" s="26" t="s">
        <v>2083</v>
      </c>
      <c r="B2045" s="26"/>
      <c r="C2045" s="26"/>
    </row>
    <row r="2046" spans="1:3" ht="11.25" customHeight="1" x14ac:dyDescent="0.2">
      <c r="A2046" s="26" t="s">
        <v>2084</v>
      </c>
      <c r="B2046" s="26"/>
      <c r="C2046" s="26"/>
    </row>
    <row r="2047" spans="1:3" ht="11.25" customHeight="1" x14ac:dyDescent="0.2">
      <c r="A2047" s="26" t="s">
        <v>2085</v>
      </c>
      <c r="B2047" s="26"/>
      <c r="C2047" s="26"/>
    </row>
    <row r="2048" spans="1:3" ht="11.25" customHeight="1" x14ac:dyDescent="0.2">
      <c r="A2048" s="26" t="s">
        <v>2086</v>
      </c>
      <c r="B2048" s="26"/>
      <c r="C2048" s="26"/>
    </row>
    <row r="2049" spans="1:3" ht="11.25" customHeight="1" x14ac:dyDescent="0.2">
      <c r="A2049" s="26" t="s">
        <v>2087</v>
      </c>
      <c r="B2049" s="26"/>
      <c r="C2049" s="26"/>
    </row>
    <row r="2050" spans="1:3" ht="11.25" customHeight="1" x14ac:dyDescent="0.2">
      <c r="A2050" s="26" t="s">
        <v>2088</v>
      </c>
      <c r="B2050" s="26"/>
      <c r="C2050" s="26"/>
    </row>
    <row r="2051" spans="1:3" ht="11.25" customHeight="1" x14ac:dyDescent="0.2">
      <c r="A2051" s="26" t="s">
        <v>2089</v>
      </c>
      <c r="B2051" s="26"/>
      <c r="C2051" s="26"/>
    </row>
    <row r="2052" spans="1:3" ht="11.25" customHeight="1" x14ac:dyDescent="0.2">
      <c r="A2052" s="26" t="s">
        <v>2090</v>
      </c>
      <c r="B2052" s="26"/>
      <c r="C2052" s="26"/>
    </row>
    <row r="2053" spans="1:3" ht="11.25" customHeight="1" x14ac:dyDescent="0.2">
      <c r="A2053" s="26" t="s">
        <v>2091</v>
      </c>
      <c r="B2053" s="26"/>
      <c r="C2053" s="26"/>
    </row>
    <row r="2054" spans="1:3" ht="11.25" customHeight="1" x14ac:dyDescent="0.2">
      <c r="A2054" s="26" t="s">
        <v>2092</v>
      </c>
      <c r="B2054" s="26"/>
      <c r="C2054" s="26"/>
    </row>
    <row r="2055" spans="1:3" ht="11.25" customHeight="1" x14ac:dyDescent="0.2">
      <c r="A2055" s="26" t="s">
        <v>2093</v>
      </c>
      <c r="B2055" s="26"/>
      <c r="C2055" s="26"/>
    </row>
    <row r="2056" spans="1:3" ht="11.25" customHeight="1" x14ac:dyDescent="0.2">
      <c r="A2056" s="26" t="s">
        <v>2094</v>
      </c>
      <c r="B2056" s="26"/>
      <c r="C2056" s="26"/>
    </row>
    <row r="2057" spans="1:3" ht="11.25" customHeight="1" x14ac:dyDescent="0.2">
      <c r="A2057" s="26" t="s">
        <v>2095</v>
      </c>
      <c r="B2057" s="26"/>
      <c r="C2057" s="26"/>
    </row>
    <row r="2058" spans="1:3" ht="11.25" customHeight="1" x14ac:dyDescent="0.2">
      <c r="A2058" s="26" t="s">
        <v>2096</v>
      </c>
      <c r="B2058" s="26"/>
      <c r="C2058" s="26"/>
    </row>
    <row r="2059" spans="1:3" ht="11.25" customHeight="1" x14ac:dyDescent="0.2">
      <c r="A2059" s="26" t="s">
        <v>2097</v>
      </c>
      <c r="B2059" s="26"/>
      <c r="C2059" s="26"/>
    </row>
    <row r="2060" spans="1:3" ht="11.25" customHeight="1" x14ac:dyDescent="0.2">
      <c r="A2060" s="26" t="s">
        <v>2098</v>
      </c>
      <c r="B2060" s="26"/>
      <c r="C2060" s="26"/>
    </row>
    <row r="2061" spans="1:3" ht="11.25" customHeight="1" x14ac:dyDescent="0.2">
      <c r="A2061" s="26" t="s">
        <v>2099</v>
      </c>
      <c r="B2061" s="26"/>
      <c r="C2061" s="26"/>
    </row>
    <row r="2062" spans="1:3" ht="11.25" customHeight="1" x14ac:dyDescent="0.2">
      <c r="A2062" s="26" t="s">
        <v>2100</v>
      </c>
      <c r="B2062" s="26"/>
      <c r="C2062" s="26"/>
    </row>
    <row r="2063" spans="1:3" ht="11.25" customHeight="1" x14ac:dyDescent="0.2">
      <c r="A2063" s="26" t="s">
        <v>2101</v>
      </c>
      <c r="B2063" s="26"/>
      <c r="C2063" s="26"/>
    </row>
    <row r="2064" spans="1:3" ht="11.25" customHeight="1" x14ac:dyDescent="0.2">
      <c r="A2064" s="26" t="s">
        <v>2102</v>
      </c>
      <c r="B2064" s="26"/>
      <c r="C2064" s="26"/>
    </row>
    <row r="2065" spans="1:3" ht="11.25" customHeight="1" x14ac:dyDescent="0.2">
      <c r="A2065" s="26" t="s">
        <v>2103</v>
      </c>
      <c r="B2065" s="26"/>
      <c r="C2065" s="26"/>
    </row>
    <row r="2066" spans="1:3" ht="11.25" customHeight="1" x14ac:dyDescent="0.2">
      <c r="A2066" s="26" t="s">
        <v>2104</v>
      </c>
      <c r="B2066" s="26"/>
      <c r="C2066" s="26"/>
    </row>
    <row r="2067" spans="1:3" ht="11.25" customHeight="1" x14ac:dyDescent="0.2">
      <c r="A2067" s="26" t="s">
        <v>2105</v>
      </c>
      <c r="B2067" s="26"/>
      <c r="C2067" s="26"/>
    </row>
    <row r="2068" spans="1:3" ht="11.25" customHeight="1" x14ac:dyDescent="0.2">
      <c r="A2068" s="26" t="s">
        <v>2106</v>
      </c>
      <c r="B2068" s="26"/>
      <c r="C2068" s="26"/>
    </row>
    <row r="2069" spans="1:3" ht="11.25" customHeight="1" x14ac:dyDescent="0.2">
      <c r="A2069" s="26" t="s">
        <v>2107</v>
      </c>
      <c r="B2069" s="26"/>
      <c r="C2069" s="26"/>
    </row>
    <row r="2070" spans="1:3" ht="11.25" customHeight="1" x14ac:dyDescent="0.2">
      <c r="A2070" s="26" t="s">
        <v>2108</v>
      </c>
      <c r="B2070" s="26"/>
      <c r="C2070" s="26"/>
    </row>
    <row r="2071" spans="1:3" ht="11.25" customHeight="1" x14ac:dyDescent="0.2">
      <c r="A2071" s="26" t="s">
        <v>2109</v>
      </c>
      <c r="B2071" s="26"/>
      <c r="C2071" s="26"/>
    </row>
    <row r="2072" spans="1:3" ht="11.25" customHeight="1" x14ac:dyDescent="0.2">
      <c r="A2072" s="26" t="s">
        <v>2110</v>
      </c>
      <c r="B2072" s="26"/>
      <c r="C2072" s="26"/>
    </row>
    <row r="2073" spans="1:3" ht="11.25" customHeight="1" x14ac:dyDescent="0.2">
      <c r="A2073" s="26" t="s">
        <v>2111</v>
      </c>
      <c r="B2073" s="26"/>
      <c r="C2073" s="26"/>
    </row>
    <row r="2074" spans="1:3" ht="11.25" customHeight="1" x14ac:dyDescent="0.2">
      <c r="A2074" s="26" t="s">
        <v>2112</v>
      </c>
      <c r="B2074" s="26"/>
      <c r="C2074" s="26"/>
    </row>
    <row r="2075" spans="1:3" ht="11.25" customHeight="1" x14ac:dyDescent="0.2">
      <c r="A2075" s="26" t="s">
        <v>2113</v>
      </c>
      <c r="B2075" s="26"/>
      <c r="C2075" s="26"/>
    </row>
    <row r="2076" spans="1:3" ht="11.25" customHeight="1" x14ac:dyDescent="0.2">
      <c r="A2076" s="26" t="s">
        <v>2114</v>
      </c>
      <c r="B2076" s="26"/>
      <c r="C2076" s="26"/>
    </row>
    <row r="2077" spans="1:3" ht="11.25" customHeight="1" x14ac:dyDescent="0.2">
      <c r="A2077" s="26" t="s">
        <v>2115</v>
      </c>
      <c r="B2077" s="26"/>
      <c r="C2077" s="26"/>
    </row>
    <row r="2078" spans="1:3" ht="11.25" customHeight="1" x14ac:dyDescent="0.2">
      <c r="A2078" s="26" t="s">
        <v>2116</v>
      </c>
      <c r="B2078" s="26"/>
      <c r="C2078" s="26"/>
    </row>
    <row r="2079" spans="1:3" ht="11.25" customHeight="1" x14ac:dyDescent="0.2">
      <c r="A2079" s="26" t="s">
        <v>2117</v>
      </c>
      <c r="B2079" s="26"/>
      <c r="C2079" s="26"/>
    </row>
    <row r="2080" spans="1:3" ht="11.25" customHeight="1" x14ac:dyDescent="0.2">
      <c r="A2080" s="26" t="s">
        <v>2118</v>
      </c>
      <c r="B2080" s="26"/>
      <c r="C2080" s="26"/>
    </row>
    <row r="2081" spans="1:3" ht="11.25" customHeight="1" x14ac:dyDescent="0.2">
      <c r="A2081" s="26" t="s">
        <v>2119</v>
      </c>
      <c r="B2081" s="26"/>
      <c r="C2081" s="26"/>
    </row>
    <row r="2082" spans="1:3" ht="11.25" customHeight="1" x14ac:dyDescent="0.2">
      <c r="A2082" s="26" t="s">
        <v>2120</v>
      </c>
      <c r="B2082" s="26"/>
      <c r="C2082" s="26"/>
    </row>
    <row r="2083" spans="1:3" ht="11.25" customHeight="1" x14ac:dyDescent="0.2">
      <c r="A2083" s="26" t="s">
        <v>2121</v>
      </c>
      <c r="B2083" s="26"/>
      <c r="C2083" s="26"/>
    </row>
    <row r="2084" spans="1:3" ht="11.25" customHeight="1" x14ac:dyDescent="0.2">
      <c r="A2084" s="26" t="s">
        <v>2122</v>
      </c>
      <c r="B2084" s="26"/>
      <c r="C2084" s="26"/>
    </row>
    <row r="2085" spans="1:3" ht="11.25" customHeight="1" x14ac:dyDescent="0.2">
      <c r="A2085" s="26" t="s">
        <v>2123</v>
      </c>
      <c r="B2085" s="26"/>
      <c r="C2085" s="26"/>
    </row>
    <row r="2086" spans="1:3" ht="11.25" customHeight="1" x14ac:dyDescent="0.2">
      <c r="A2086" s="26" t="s">
        <v>2124</v>
      </c>
      <c r="B2086" s="26"/>
      <c r="C2086" s="26"/>
    </row>
    <row r="2087" spans="1:3" ht="11.25" customHeight="1" x14ac:dyDescent="0.2">
      <c r="A2087" s="26" t="s">
        <v>2125</v>
      </c>
      <c r="B2087" s="26"/>
      <c r="C2087" s="26"/>
    </row>
    <row r="2088" spans="1:3" ht="11.25" customHeight="1" x14ac:dyDescent="0.2">
      <c r="A2088" s="26" t="s">
        <v>2126</v>
      </c>
      <c r="B2088" s="26"/>
      <c r="C2088" s="26"/>
    </row>
    <row r="2089" spans="1:3" ht="11.25" customHeight="1" x14ac:dyDescent="0.2">
      <c r="A2089" s="26" t="s">
        <v>2127</v>
      </c>
      <c r="B2089" s="26"/>
      <c r="C2089" s="26"/>
    </row>
    <row r="2090" spans="1:3" ht="11.25" customHeight="1" x14ac:dyDescent="0.2">
      <c r="A2090" s="26" t="s">
        <v>2128</v>
      </c>
      <c r="B2090" s="26"/>
      <c r="C2090" s="26"/>
    </row>
    <row r="2091" spans="1:3" ht="11.25" customHeight="1" x14ac:dyDescent="0.2">
      <c r="A2091" s="26" t="s">
        <v>2129</v>
      </c>
      <c r="B2091" s="26"/>
      <c r="C2091" s="26"/>
    </row>
    <row r="2092" spans="1:3" ht="11.25" customHeight="1" x14ac:dyDescent="0.2">
      <c r="A2092" s="26" t="s">
        <v>2130</v>
      </c>
      <c r="B2092" s="26"/>
      <c r="C2092" s="26"/>
    </row>
    <row r="2093" spans="1:3" ht="11.25" customHeight="1" x14ac:dyDescent="0.2">
      <c r="A2093" s="26" t="s">
        <v>2131</v>
      </c>
      <c r="B2093" s="26"/>
      <c r="C2093" s="26"/>
    </row>
    <row r="2094" spans="1:3" ht="11.25" customHeight="1" x14ac:dyDescent="0.2">
      <c r="A2094" s="26" t="s">
        <v>2132</v>
      </c>
      <c r="B2094" s="26"/>
      <c r="C2094" s="26"/>
    </row>
    <row r="2095" spans="1:3" ht="11.25" customHeight="1" x14ac:dyDescent="0.2">
      <c r="A2095" s="26" t="s">
        <v>2133</v>
      </c>
      <c r="B2095" s="26"/>
      <c r="C2095" s="26"/>
    </row>
    <row r="2096" spans="1:3" ht="11.25" customHeight="1" x14ac:dyDescent="0.2">
      <c r="A2096" s="26" t="s">
        <v>2134</v>
      </c>
      <c r="B2096" s="26"/>
      <c r="C2096" s="26"/>
    </row>
    <row r="2097" spans="1:3" ht="11.25" customHeight="1" x14ac:dyDescent="0.2">
      <c r="A2097" s="26" t="s">
        <v>2135</v>
      </c>
      <c r="B2097" s="26"/>
      <c r="C2097" s="26"/>
    </row>
    <row r="2098" spans="1:3" ht="11.25" customHeight="1" x14ac:dyDescent="0.2">
      <c r="A2098" s="26" t="s">
        <v>2136</v>
      </c>
      <c r="B2098" s="26"/>
      <c r="C2098" s="26"/>
    </row>
    <row r="2099" spans="1:3" ht="11.25" customHeight="1" x14ac:dyDescent="0.2">
      <c r="A2099" s="26" t="s">
        <v>2137</v>
      </c>
      <c r="B2099" s="26"/>
      <c r="C2099" s="26"/>
    </row>
    <row r="2100" spans="1:3" ht="11.25" customHeight="1" x14ac:dyDescent="0.2">
      <c r="A2100" s="26" t="s">
        <v>2138</v>
      </c>
      <c r="B2100" s="26"/>
      <c r="C2100" s="26"/>
    </row>
    <row r="2101" spans="1:3" ht="11.25" customHeight="1" x14ac:dyDescent="0.2">
      <c r="A2101" s="26" t="s">
        <v>2139</v>
      </c>
      <c r="B2101" s="26"/>
      <c r="C2101" s="26"/>
    </row>
    <row r="2102" spans="1:3" ht="11.25" customHeight="1" x14ac:dyDescent="0.2">
      <c r="A2102" s="26" t="s">
        <v>2140</v>
      </c>
      <c r="B2102" s="26"/>
      <c r="C2102" s="26"/>
    </row>
    <row r="2103" spans="1:3" ht="11.25" customHeight="1" x14ac:dyDescent="0.2">
      <c r="A2103" s="26" t="s">
        <v>2141</v>
      </c>
      <c r="B2103" s="26"/>
      <c r="C2103" s="26"/>
    </row>
    <row r="2104" spans="1:3" ht="11.25" customHeight="1" x14ac:dyDescent="0.2">
      <c r="A2104" s="26" t="s">
        <v>2142</v>
      </c>
      <c r="B2104" s="26"/>
      <c r="C2104" s="26"/>
    </row>
    <row r="2105" spans="1:3" ht="11.25" customHeight="1" x14ac:dyDescent="0.2">
      <c r="A2105" s="26" t="s">
        <v>2143</v>
      </c>
      <c r="B2105" s="26"/>
      <c r="C2105" s="26"/>
    </row>
    <row r="2106" spans="1:3" ht="11.25" customHeight="1" x14ac:dyDescent="0.2">
      <c r="A2106" s="26" t="s">
        <v>2144</v>
      </c>
      <c r="B2106" s="26"/>
      <c r="C2106" s="26"/>
    </row>
    <row r="2107" spans="1:3" ht="11.25" customHeight="1" x14ac:dyDescent="0.2">
      <c r="A2107" s="26" t="s">
        <v>2145</v>
      </c>
      <c r="B2107" s="26"/>
      <c r="C2107" s="26"/>
    </row>
    <row r="2108" spans="1:3" ht="11.25" customHeight="1" x14ac:dyDescent="0.2">
      <c r="A2108" s="26" t="s">
        <v>2146</v>
      </c>
      <c r="B2108" s="26"/>
      <c r="C2108" s="26"/>
    </row>
    <row r="2109" spans="1:3" ht="11.25" customHeight="1" x14ac:dyDescent="0.2">
      <c r="A2109" s="26" t="s">
        <v>2147</v>
      </c>
      <c r="B2109" s="26"/>
      <c r="C2109" s="26"/>
    </row>
    <row r="2110" spans="1:3" ht="11.25" customHeight="1" x14ac:dyDescent="0.2">
      <c r="A2110" s="26" t="s">
        <v>2148</v>
      </c>
      <c r="B2110" s="26"/>
      <c r="C2110" s="26"/>
    </row>
    <row r="2111" spans="1:3" ht="11.25" customHeight="1" x14ac:dyDescent="0.2">
      <c r="A2111" s="26" t="s">
        <v>2149</v>
      </c>
      <c r="B2111" s="26"/>
      <c r="C2111" s="26"/>
    </row>
    <row r="2112" spans="1:3" ht="11.25" customHeight="1" x14ac:dyDescent="0.2">
      <c r="A2112" s="26" t="s">
        <v>2150</v>
      </c>
      <c r="B2112" s="26"/>
      <c r="C2112" s="26"/>
    </row>
    <row r="2113" spans="1:3" ht="11.25" customHeight="1" x14ac:dyDescent="0.2">
      <c r="A2113" s="26" t="s">
        <v>2151</v>
      </c>
      <c r="B2113" s="26"/>
      <c r="C2113" s="26"/>
    </row>
    <row r="2114" spans="1:3" ht="11.25" customHeight="1" x14ac:dyDescent="0.2">
      <c r="A2114" s="26" t="s">
        <v>2152</v>
      </c>
      <c r="B2114" s="26"/>
      <c r="C2114" s="26"/>
    </row>
    <row r="2115" spans="1:3" ht="11.25" customHeight="1" x14ac:dyDescent="0.2">
      <c r="A2115" s="26" t="s">
        <v>2153</v>
      </c>
      <c r="B2115" s="26"/>
      <c r="C2115" s="26"/>
    </row>
    <row r="2116" spans="1:3" ht="11.25" customHeight="1" x14ac:dyDescent="0.2">
      <c r="A2116" s="26" t="s">
        <v>2154</v>
      </c>
      <c r="B2116" s="26"/>
      <c r="C2116" s="26"/>
    </row>
    <row r="2117" spans="1:3" ht="11.25" customHeight="1" x14ac:dyDescent="0.2">
      <c r="A2117" s="26" t="s">
        <v>2155</v>
      </c>
      <c r="B2117" s="26"/>
      <c r="C2117" s="26"/>
    </row>
    <row r="2118" spans="1:3" ht="11.25" customHeight="1" x14ac:dyDescent="0.2">
      <c r="A2118" s="26" t="s">
        <v>2156</v>
      </c>
      <c r="B2118" s="26"/>
      <c r="C2118" s="26"/>
    </row>
    <row r="2119" spans="1:3" ht="11.25" customHeight="1" x14ac:dyDescent="0.2">
      <c r="A2119" s="26" t="s">
        <v>2157</v>
      </c>
      <c r="B2119" s="26"/>
      <c r="C2119" s="26"/>
    </row>
    <row r="2120" spans="1:3" ht="11.25" customHeight="1" x14ac:dyDescent="0.2">
      <c r="A2120" s="26" t="s">
        <v>2158</v>
      </c>
      <c r="B2120" s="26"/>
      <c r="C2120" s="26"/>
    </row>
    <row r="2121" spans="1:3" ht="11.25" customHeight="1" x14ac:dyDescent="0.2">
      <c r="A2121" s="26" t="s">
        <v>2159</v>
      </c>
      <c r="B2121" s="26"/>
      <c r="C2121" s="26"/>
    </row>
    <row r="2122" spans="1:3" ht="11.25" customHeight="1" x14ac:dyDescent="0.2">
      <c r="A2122" s="26" t="s">
        <v>2160</v>
      </c>
      <c r="B2122" s="26"/>
      <c r="C2122" s="26"/>
    </row>
    <row r="2123" spans="1:3" ht="11.25" customHeight="1" x14ac:dyDescent="0.2">
      <c r="A2123" s="26" t="s">
        <v>2161</v>
      </c>
      <c r="B2123" s="26"/>
      <c r="C2123" s="26"/>
    </row>
    <row r="2124" spans="1:3" ht="11.25" customHeight="1" x14ac:dyDescent="0.2">
      <c r="A2124" s="26" t="s">
        <v>2162</v>
      </c>
      <c r="B2124" s="26"/>
      <c r="C2124" s="26"/>
    </row>
    <row r="2125" spans="1:3" ht="11.25" customHeight="1" x14ac:dyDescent="0.2">
      <c r="A2125" s="26" t="s">
        <v>2163</v>
      </c>
      <c r="B2125" s="26"/>
      <c r="C2125" s="26"/>
    </row>
    <row r="2126" spans="1:3" ht="11.25" customHeight="1" x14ac:dyDescent="0.2">
      <c r="A2126" s="26" t="s">
        <v>2164</v>
      </c>
      <c r="B2126" s="26"/>
      <c r="C2126" s="26"/>
    </row>
    <row r="2127" spans="1:3" ht="11.25" customHeight="1" x14ac:dyDescent="0.2">
      <c r="A2127" s="26" t="s">
        <v>2165</v>
      </c>
      <c r="B2127" s="26"/>
      <c r="C2127" s="26"/>
    </row>
    <row r="2128" spans="1:3" ht="11.25" customHeight="1" x14ac:dyDescent="0.2">
      <c r="A2128" s="26" t="s">
        <v>2166</v>
      </c>
      <c r="B2128" s="26"/>
      <c r="C2128" s="26"/>
    </row>
    <row r="2129" spans="1:3" ht="11.25" customHeight="1" x14ac:dyDescent="0.2">
      <c r="A2129" s="26" t="s">
        <v>2167</v>
      </c>
      <c r="B2129" s="26"/>
      <c r="C2129" s="26"/>
    </row>
    <row r="2130" spans="1:3" ht="11.25" customHeight="1" x14ac:dyDescent="0.2">
      <c r="A2130" s="26" t="s">
        <v>2168</v>
      </c>
      <c r="B2130" s="26"/>
      <c r="C2130" s="26"/>
    </row>
    <row r="2131" spans="1:3" ht="11.25" customHeight="1" x14ac:dyDescent="0.2">
      <c r="A2131" s="26" t="s">
        <v>2169</v>
      </c>
      <c r="B2131" s="26"/>
      <c r="C2131" s="26"/>
    </row>
    <row r="2132" spans="1:3" ht="11.25" customHeight="1" x14ac:dyDescent="0.2">
      <c r="A2132" s="26" t="s">
        <v>2170</v>
      </c>
      <c r="B2132" s="26"/>
      <c r="C2132" s="26"/>
    </row>
    <row r="2133" spans="1:3" ht="11.25" customHeight="1" x14ac:dyDescent="0.2">
      <c r="A2133" s="26" t="s">
        <v>2171</v>
      </c>
      <c r="B2133" s="26"/>
      <c r="C2133" s="26"/>
    </row>
    <row r="2134" spans="1:3" ht="11.25" customHeight="1" x14ac:dyDescent="0.2">
      <c r="A2134" s="26" t="s">
        <v>2172</v>
      </c>
      <c r="B2134" s="26"/>
      <c r="C2134" s="26"/>
    </row>
    <row r="2135" spans="1:3" ht="11.25" customHeight="1" x14ac:dyDescent="0.2">
      <c r="A2135" s="26" t="s">
        <v>2173</v>
      </c>
      <c r="B2135" s="26"/>
      <c r="C2135" s="26"/>
    </row>
    <row r="2136" spans="1:3" ht="11.25" customHeight="1" x14ac:dyDescent="0.2">
      <c r="A2136" s="26" t="s">
        <v>2174</v>
      </c>
      <c r="B2136" s="26"/>
      <c r="C2136" s="26"/>
    </row>
    <row r="2137" spans="1:3" ht="11.25" customHeight="1" x14ac:dyDescent="0.2">
      <c r="A2137" s="26" t="s">
        <v>2175</v>
      </c>
      <c r="B2137" s="26"/>
      <c r="C2137" s="26"/>
    </row>
    <row r="2138" spans="1:3" ht="11.25" customHeight="1" x14ac:dyDescent="0.2">
      <c r="A2138" s="26" t="s">
        <v>2176</v>
      </c>
      <c r="B2138" s="26"/>
      <c r="C2138" s="26"/>
    </row>
    <row r="2139" spans="1:3" ht="11.25" customHeight="1" x14ac:dyDescent="0.2">
      <c r="A2139" s="26" t="s">
        <v>2177</v>
      </c>
      <c r="B2139" s="26"/>
      <c r="C2139" s="26"/>
    </row>
    <row r="2140" spans="1:3" ht="11.25" customHeight="1" x14ac:dyDescent="0.2">
      <c r="A2140" s="26" t="s">
        <v>2178</v>
      </c>
      <c r="B2140" s="26"/>
      <c r="C2140" s="26"/>
    </row>
    <row r="2141" spans="1:3" ht="11.25" customHeight="1" x14ac:dyDescent="0.2">
      <c r="A2141" s="26" t="s">
        <v>2179</v>
      </c>
      <c r="B2141" s="26"/>
      <c r="C2141" s="26"/>
    </row>
    <row r="2142" spans="1:3" ht="11.25" customHeight="1" x14ac:dyDescent="0.2">
      <c r="A2142" s="26" t="s">
        <v>2180</v>
      </c>
      <c r="B2142" s="26"/>
      <c r="C2142" s="26"/>
    </row>
    <row r="2143" spans="1:3" ht="11.25" customHeight="1" x14ac:dyDescent="0.2">
      <c r="A2143" s="26" t="s">
        <v>2181</v>
      </c>
      <c r="B2143" s="26"/>
      <c r="C2143" s="26"/>
    </row>
    <row r="2144" spans="1:3" ht="11.25" customHeight="1" x14ac:dyDescent="0.2">
      <c r="A2144" s="26" t="s">
        <v>2182</v>
      </c>
      <c r="B2144" s="26"/>
      <c r="C2144" s="26"/>
    </row>
    <row r="2145" spans="1:3" ht="11.25" customHeight="1" x14ac:dyDescent="0.2">
      <c r="A2145" s="26" t="s">
        <v>2183</v>
      </c>
      <c r="B2145" s="26"/>
      <c r="C2145" s="26"/>
    </row>
    <row r="2146" spans="1:3" ht="11.25" customHeight="1" x14ac:dyDescent="0.2">
      <c r="A2146" s="26" t="s">
        <v>2184</v>
      </c>
      <c r="B2146" s="26"/>
      <c r="C2146" s="26"/>
    </row>
    <row r="2147" spans="1:3" ht="11.25" customHeight="1" x14ac:dyDescent="0.2">
      <c r="A2147" s="26" t="s">
        <v>2185</v>
      </c>
      <c r="B2147" s="26"/>
      <c r="C2147" s="26"/>
    </row>
    <row r="2148" spans="1:3" ht="11.25" customHeight="1" x14ac:dyDescent="0.2">
      <c r="A2148" s="26" t="s">
        <v>2186</v>
      </c>
      <c r="B2148" s="26"/>
      <c r="C2148" s="26"/>
    </row>
    <row r="2149" spans="1:3" ht="11.25" customHeight="1" x14ac:dyDescent="0.2">
      <c r="A2149" s="26" t="s">
        <v>2187</v>
      </c>
      <c r="B2149" s="26"/>
      <c r="C2149" s="26"/>
    </row>
    <row r="2150" spans="1:3" ht="11.25" customHeight="1" x14ac:dyDescent="0.2">
      <c r="A2150" s="26" t="s">
        <v>2188</v>
      </c>
      <c r="B2150" s="26"/>
      <c r="C2150" s="26"/>
    </row>
    <row r="2151" spans="1:3" ht="11.25" customHeight="1" x14ac:dyDescent="0.2">
      <c r="A2151" s="26" t="s">
        <v>2189</v>
      </c>
      <c r="B2151" s="26"/>
      <c r="C2151" s="26"/>
    </row>
    <row r="2152" spans="1:3" ht="11.25" customHeight="1" x14ac:dyDescent="0.2">
      <c r="A2152" s="26" t="s">
        <v>2190</v>
      </c>
      <c r="B2152" s="26"/>
      <c r="C2152" s="26"/>
    </row>
    <row r="2153" spans="1:3" ht="11.25" customHeight="1" x14ac:dyDescent="0.2">
      <c r="A2153" s="26" t="s">
        <v>2191</v>
      </c>
      <c r="B2153" s="26"/>
      <c r="C2153" s="26"/>
    </row>
    <row r="2154" spans="1:3" ht="11.25" customHeight="1" x14ac:dyDescent="0.2">
      <c r="A2154" s="26" t="s">
        <v>2192</v>
      </c>
      <c r="B2154" s="26"/>
      <c r="C2154" s="26"/>
    </row>
    <row r="2155" spans="1:3" ht="11.25" customHeight="1" x14ac:dyDescent="0.2">
      <c r="A2155" s="26" t="s">
        <v>2193</v>
      </c>
      <c r="B2155" s="26"/>
      <c r="C2155" s="26"/>
    </row>
    <row r="2156" spans="1:3" ht="11.25" customHeight="1" x14ac:dyDescent="0.2">
      <c r="A2156" s="26" t="s">
        <v>2194</v>
      </c>
      <c r="B2156" s="26"/>
      <c r="C2156" s="26"/>
    </row>
    <row r="2157" spans="1:3" ht="11.25" customHeight="1" x14ac:dyDescent="0.2">
      <c r="A2157" s="26" t="s">
        <v>2195</v>
      </c>
      <c r="B2157" s="26"/>
      <c r="C2157" s="26"/>
    </row>
    <row r="2158" spans="1:3" ht="11.25" customHeight="1" x14ac:dyDescent="0.2">
      <c r="A2158" s="26" t="s">
        <v>2196</v>
      </c>
      <c r="B2158" s="26"/>
      <c r="C2158" s="26"/>
    </row>
    <row r="2159" spans="1:3" ht="11.25" customHeight="1" x14ac:dyDescent="0.2">
      <c r="A2159" s="26" t="s">
        <v>2197</v>
      </c>
      <c r="B2159" s="26"/>
      <c r="C2159" s="26"/>
    </row>
    <row r="2160" spans="1:3" ht="11.25" customHeight="1" x14ac:dyDescent="0.2">
      <c r="A2160" s="26" t="s">
        <v>2198</v>
      </c>
      <c r="B2160" s="26"/>
      <c r="C2160" s="26"/>
    </row>
    <row r="2161" spans="1:3" ht="11.25" customHeight="1" x14ac:dyDescent="0.2">
      <c r="A2161" s="26" t="s">
        <v>2199</v>
      </c>
      <c r="B2161" s="26"/>
      <c r="C2161" s="26"/>
    </row>
    <row r="2162" spans="1:3" ht="11.25" customHeight="1" x14ac:dyDescent="0.2">
      <c r="A2162" s="26" t="s">
        <v>2200</v>
      </c>
      <c r="B2162" s="26"/>
      <c r="C2162" s="26"/>
    </row>
    <row r="2163" spans="1:3" ht="11.25" customHeight="1" x14ac:dyDescent="0.2">
      <c r="A2163" s="26" t="s">
        <v>2201</v>
      </c>
      <c r="B2163" s="26"/>
      <c r="C2163" s="26"/>
    </row>
    <row r="2164" spans="1:3" ht="11.25" customHeight="1" x14ac:dyDescent="0.2">
      <c r="A2164" s="26" t="s">
        <v>2202</v>
      </c>
      <c r="B2164" s="26"/>
      <c r="C2164" s="26"/>
    </row>
    <row r="2165" spans="1:3" ht="11.25" customHeight="1" x14ac:dyDescent="0.2">
      <c r="A2165" s="26" t="s">
        <v>2203</v>
      </c>
      <c r="B2165" s="26"/>
      <c r="C2165" s="26"/>
    </row>
    <row r="2166" spans="1:3" ht="11.25" customHeight="1" x14ac:dyDescent="0.2">
      <c r="A2166" s="26" t="s">
        <v>2204</v>
      </c>
      <c r="B2166" s="26"/>
      <c r="C2166" s="26"/>
    </row>
    <row r="2167" spans="1:3" ht="11.25" customHeight="1" x14ac:dyDescent="0.2">
      <c r="A2167" s="26" t="s">
        <v>2205</v>
      </c>
      <c r="B2167" s="26"/>
      <c r="C2167" s="26"/>
    </row>
    <row r="2168" spans="1:3" ht="11.25" customHeight="1" x14ac:dyDescent="0.2">
      <c r="A2168" s="26" t="s">
        <v>2206</v>
      </c>
      <c r="B2168" s="26"/>
      <c r="C2168" s="26"/>
    </row>
    <row r="2169" spans="1:3" ht="11.25" customHeight="1" x14ac:dyDescent="0.2">
      <c r="A2169" s="26" t="s">
        <v>2207</v>
      </c>
      <c r="B2169" s="26"/>
      <c r="C2169" s="26"/>
    </row>
    <row r="2170" spans="1:3" ht="11.25" customHeight="1" x14ac:dyDescent="0.2">
      <c r="A2170" s="26" t="s">
        <v>2208</v>
      </c>
      <c r="B2170" s="26"/>
      <c r="C2170" s="26"/>
    </row>
    <row r="2171" spans="1:3" ht="11.25" customHeight="1" x14ac:dyDescent="0.2">
      <c r="A2171" s="26" t="s">
        <v>2209</v>
      </c>
      <c r="B2171" s="26"/>
      <c r="C2171" s="26"/>
    </row>
    <row r="2172" spans="1:3" ht="11.25" customHeight="1" x14ac:dyDescent="0.2">
      <c r="A2172" s="26" t="s">
        <v>2210</v>
      </c>
      <c r="B2172" s="26"/>
      <c r="C2172" s="26"/>
    </row>
    <row r="2173" spans="1:3" ht="11.25" customHeight="1" x14ac:dyDescent="0.2">
      <c r="A2173" s="26" t="s">
        <v>2211</v>
      </c>
      <c r="B2173" s="26"/>
      <c r="C2173" s="26"/>
    </row>
    <row r="2174" spans="1:3" ht="11.25" customHeight="1" x14ac:dyDescent="0.2">
      <c r="A2174" s="26" t="s">
        <v>2212</v>
      </c>
      <c r="B2174" s="26"/>
      <c r="C2174" s="26"/>
    </row>
    <row r="2175" spans="1:3" ht="11.25" customHeight="1" x14ac:dyDescent="0.2">
      <c r="A2175" s="26" t="s">
        <v>2213</v>
      </c>
      <c r="B2175" s="26"/>
      <c r="C2175" s="26"/>
    </row>
    <row r="2176" spans="1:3" ht="11.25" customHeight="1" x14ac:dyDescent="0.2">
      <c r="A2176" s="26" t="s">
        <v>2214</v>
      </c>
      <c r="B2176" s="26"/>
      <c r="C2176" s="26"/>
    </row>
    <row r="2177" spans="1:3" ht="11.25" customHeight="1" x14ac:dyDescent="0.2">
      <c r="A2177" s="26" t="s">
        <v>2215</v>
      </c>
      <c r="B2177" s="26"/>
      <c r="C2177" s="26"/>
    </row>
    <row r="2178" spans="1:3" ht="11.25" customHeight="1" x14ac:dyDescent="0.2">
      <c r="A2178" s="26" t="s">
        <v>2216</v>
      </c>
      <c r="B2178" s="26"/>
      <c r="C2178" s="26"/>
    </row>
    <row r="2179" spans="1:3" ht="11.25" customHeight="1" x14ac:dyDescent="0.2">
      <c r="A2179" s="26" t="s">
        <v>2217</v>
      </c>
      <c r="B2179" s="26"/>
      <c r="C2179" s="26"/>
    </row>
    <row r="2180" spans="1:3" ht="11.25" customHeight="1" x14ac:dyDescent="0.2">
      <c r="A2180" s="26" t="s">
        <v>2218</v>
      </c>
      <c r="B2180" s="26"/>
      <c r="C2180" s="26"/>
    </row>
    <row r="2181" spans="1:3" ht="11.25" customHeight="1" x14ac:dyDescent="0.2">
      <c r="A2181" s="26" t="s">
        <v>2219</v>
      </c>
      <c r="B2181" s="26"/>
      <c r="C2181" s="26"/>
    </row>
    <row r="2182" spans="1:3" ht="11.25" customHeight="1" x14ac:dyDescent="0.2">
      <c r="A2182" s="26" t="s">
        <v>2220</v>
      </c>
      <c r="B2182" s="26"/>
      <c r="C2182" s="26"/>
    </row>
    <row r="2183" spans="1:3" ht="11.25" customHeight="1" x14ac:dyDescent="0.2">
      <c r="A2183" s="26" t="s">
        <v>2221</v>
      </c>
      <c r="B2183" s="26"/>
      <c r="C2183" s="26"/>
    </row>
    <row r="2184" spans="1:3" ht="11.25" customHeight="1" x14ac:dyDescent="0.2">
      <c r="A2184" s="26" t="s">
        <v>2222</v>
      </c>
      <c r="B2184" s="26"/>
      <c r="C2184" s="26"/>
    </row>
    <row r="2185" spans="1:3" ht="11.25" customHeight="1" x14ac:dyDescent="0.2">
      <c r="A2185" s="26" t="s">
        <v>2223</v>
      </c>
      <c r="B2185" s="26"/>
      <c r="C2185" s="26"/>
    </row>
    <row r="2186" spans="1:3" ht="11.25" customHeight="1" x14ac:dyDescent="0.2">
      <c r="A2186" s="26" t="s">
        <v>2224</v>
      </c>
      <c r="B2186" s="26"/>
      <c r="C2186" s="26"/>
    </row>
    <row r="2187" spans="1:3" ht="11.25" customHeight="1" x14ac:dyDescent="0.2">
      <c r="A2187" s="26" t="s">
        <v>2225</v>
      </c>
      <c r="B2187" s="26"/>
      <c r="C2187" s="26"/>
    </row>
    <row r="2188" spans="1:3" ht="11.25" customHeight="1" x14ac:dyDescent="0.2">
      <c r="A2188" s="26" t="s">
        <v>2226</v>
      </c>
      <c r="B2188" s="26"/>
      <c r="C2188" s="26"/>
    </row>
    <row r="2189" spans="1:3" ht="11.25" customHeight="1" x14ac:dyDescent="0.2">
      <c r="A2189" s="26" t="s">
        <v>2227</v>
      </c>
      <c r="B2189" s="26"/>
      <c r="C2189" s="26"/>
    </row>
    <row r="2190" spans="1:3" ht="11.25" customHeight="1" x14ac:dyDescent="0.2">
      <c r="A2190" s="26" t="s">
        <v>2228</v>
      </c>
      <c r="B2190" s="26"/>
      <c r="C2190" s="26"/>
    </row>
    <row r="2191" spans="1:3" ht="11.25" customHeight="1" x14ac:dyDescent="0.2">
      <c r="A2191" s="26" t="s">
        <v>2229</v>
      </c>
      <c r="B2191" s="26"/>
      <c r="C2191" s="26"/>
    </row>
    <row r="2192" spans="1:3" ht="11.25" customHeight="1" x14ac:dyDescent="0.2">
      <c r="A2192" s="26" t="s">
        <v>2230</v>
      </c>
      <c r="B2192" s="26"/>
      <c r="C2192" s="26"/>
    </row>
    <row r="2193" spans="1:3" ht="11.25" customHeight="1" x14ac:dyDescent="0.2">
      <c r="A2193" s="26" t="s">
        <v>2231</v>
      </c>
      <c r="B2193" s="26"/>
      <c r="C2193" s="26"/>
    </row>
    <row r="2194" spans="1:3" ht="11.25" customHeight="1" x14ac:dyDescent="0.2">
      <c r="A2194" s="26" t="s">
        <v>2232</v>
      </c>
      <c r="B2194" s="26"/>
      <c r="C2194" s="26"/>
    </row>
    <row r="2195" spans="1:3" ht="11.25" customHeight="1" x14ac:dyDescent="0.2">
      <c r="A2195" s="26" t="s">
        <v>2233</v>
      </c>
      <c r="B2195" s="26"/>
      <c r="C2195" s="26"/>
    </row>
    <row r="2196" spans="1:3" ht="11.25" customHeight="1" x14ac:dyDescent="0.2">
      <c r="A2196" s="26" t="s">
        <v>2234</v>
      </c>
      <c r="B2196" s="26"/>
      <c r="C2196" s="26"/>
    </row>
    <row r="2197" spans="1:3" ht="11.25" customHeight="1" x14ac:dyDescent="0.2">
      <c r="A2197" s="26" t="s">
        <v>2235</v>
      </c>
      <c r="B2197" s="26"/>
      <c r="C2197" s="26"/>
    </row>
    <row r="2198" spans="1:3" ht="11.25" customHeight="1" x14ac:dyDescent="0.2">
      <c r="A2198" s="26" t="s">
        <v>2236</v>
      </c>
      <c r="B2198" s="26"/>
      <c r="C2198" s="26"/>
    </row>
    <row r="2199" spans="1:3" ht="11.25" customHeight="1" x14ac:dyDescent="0.2">
      <c r="A2199" s="26" t="s">
        <v>2237</v>
      </c>
      <c r="B2199" s="26"/>
      <c r="C2199" s="26"/>
    </row>
    <row r="2200" spans="1:3" ht="11.25" customHeight="1" x14ac:dyDescent="0.2">
      <c r="A2200" s="26" t="s">
        <v>2238</v>
      </c>
      <c r="B2200" s="26"/>
      <c r="C2200" s="26"/>
    </row>
    <row r="2201" spans="1:3" ht="11.25" customHeight="1" x14ac:dyDescent="0.2">
      <c r="A2201" s="26" t="s">
        <v>2239</v>
      </c>
      <c r="B2201" s="26"/>
      <c r="C2201" s="26"/>
    </row>
    <row r="2202" spans="1:3" ht="11.25" customHeight="1" x14ac:dyDescent="0.2">
      <c r="A2202" s="26" t="s">
        <v>2240</v>
      </c>
      <c r="B2202" s="26"/>
      <c r="C2202" s="26"/>
    </row>
    <row r="2203" spans="1:3" ht="11.25" customHeight="1" x14ac:dyDescent="0.2">
      <c r="A2203" s="26" t="s">
        <v>2241</v>
      </c>
      <c r="B2203" s="26"/>
      <c r="C2203" s="26"/>
    </row>
    <row r="2204" spans="1:3" ht="11.25" customHeight="1" x14ac:dyDescent="0.2">
      <c r="A2204" s="26" t="s">
        <v>2242</v>
      </c>
      <c r="B2204" s="26"/>
      <c r="C2204" s="26"/>
    </row>
    <row r="2205" spans="1:3" ht="11.25" customHeight="1" x14ac:dyDescent="0.2">
      <c r="A2205" s="26" t="s">
        <v>2243</v>
      </c>
      <c r="B2205" s="26"/>
      <c r="C2205" s="26"/>
    </row>
    <row r="2206" spans="1:3" ht="11.25" customHeight="1" x14ac:dyDescent="0.2">
      <c r="A2206" s="26" t="s">
        <v>2244</v>
      </c>
      <c r="B2206" s="26"/>
      <c r="C2206" s="26"/>
    </row>
    <row r="2207" spans="1:3" ht="11.25" customHeight="1" x14ac:dyDescent="0.2">
      <c r="A2207" s="26" t="s">
        <v>2245</v>
      </c>
      <c r="B2207" s="26"/>
      <c r="C2207" s="26"/>
    </row>
    <row r="2208" spans="1:3" ht="11.25" customHeight="1" x14ac:dyDescent="0.2">
      <c r="A2208" s="26" t="s">
        <v>2246</v>
      </c>
      <c r="B2208" s="26"/>
      <c r="C2208" s="26"/>
    </row>
    <row r="2209" spans="1:3" ht="11.25" customHeight="1" x14ac:dyDescent="0.2">
      <c r="A2209" s="26" t="s">
        <v>2247</v>
      </c>
      <c r="B2209" s="26"/>
      <c r="C2209" s="26"/>
    </row>
    <row r="2210" spans="1:3" ht="11.25" customHeight="1" x14ac:dyDescent="0.2">
      <c r="A2210" s="26" t="s">
        <v>2248</v>
      </c>
      <c r="B2210" s="26"/>
      <c r="C2210" s="26"/>
    </row>
    <row r="2211" spans="1:3" ht="11.25" customHeight="1" x14ac:dyDescent="0.2">
      <c r="A2211" s="26" t="s">
        <v>2249</v>
      </c>
      <c r="B2211" s="26"/>
      <c r="C2211" s="26"/>
    </row>
    <row r="2212" spans="1:3" ht="11.25" customHeight="1" x14ac:dyDescent="0.2">
      <c r="A2212" s="26" t="s">
        <v>2250</v>
      </c>
      <c r="B2212" s="26"/>
      <c r="C2212" s="26"/>
    </row>
    <row r="2213" spans="1:3" ht="11.25" customHeight="1" x14ac:dyDescent="0.2">
      <c r="A2213" s="26" t="s">
        <v>2251</v>
      </c>
      <c r="B2213" s="26"/>
      <c r="C2213" s="26"/>
    </row>
    <row r="2214" spans="1:3" ht="11.25" customHeight="1" x14ac:dyDescent="0.2">
      <c r="A2214" s="26" t="s">
        <v>2252</v>
      </c>
      <c r="B2214" s="26"/>
      <c r="C2214" s="26"/>
    </row>
    <row r="2215" spans="1:3" ht="11.25" customHeight="1" x14ac:dyDescent="0.2">
      <c r="A2215" s="26" t="s">
        <v>2253</v>
      </c>
      <c r="B2215" s="26"/>
      <c r="C2215" s="26"/>
    </row>
    <row r="2216" spans="1:3" ht="11.25" customHeight="1" x14ac:dyDescent="0.2">
      <c r="A2216" s="26" t="s">
        <v>2254</v>
      </c>
      <c r="B2216" s="26"/>
      <c r="C2216" s="26"/>
    </row>
    <row r="2217" spans="1:3" ht="11.25" customHeight="1" x14ac:dyDescent="0.2">
      <c r="A2217" s="26" t="s">
        <v>2255</v>
      </c>
      <c r="B2217" s="26"/>
      <c r="C2217" s="26"/>
    </row>
    <row r="2218" spans="1:3" ht="11.25" customHeight="1" x14ac:dyDescent="0.2">
      <c r="A2218" s="26" t="s">
        <v>2256</v>
      </c>
      <c r="B2218" s="26"/>
      <c r="C2218" s="26"/>
    </row>
    <row r="2219" spans="1:3" ht="11.25" customHeight="1" x14ac:dyDescent="0.2">
      <c r="A2219" s="26" t="s">
        <v>2257</v>
      </c>
      <c r="B2219" s="26"/>
      <c r="C2219" s="26"/>
    </row>
    <row r="2220" spans="1:3" ht="11.25" customHeight="1" x14ac:dyDescent="0.2">
      <c r="A2220" s="26" t="s">
        <v>2258</v>
      </c>
      <c r="B2220" s="26"/>
      <c r="C2220" s="26"/>
    </row>
    <row r="2221" spans="1:3" ht="11.25" customHeight="1" x14ac:dyDescent="0.2">
      <c r="A2221" s="26" t="s">
        <v>2259</v>
      </c>
      <c r="B2221" s="26"/>
      <c r="C2221" s="26"/>
    </row>
    <row r="2222" spans="1:3" ht="11.25" customHeight="1" x14ac:dyDescent="0.2">
      <c r="A2222" s="26" t="s">
        <v>2260</v>
      </c>
      <c r="B2222" s="26"/>
      <c r="C2222" s="26"/>
    </row>
    <row r="2223" spans="1:3" ht="11.25" customHeight="1" x14ac:dyDescent="0.2">
      <c r="A2223" s="26" t="s">
        <v>2261</v>
      </c>
      <c r="B2223" s="26"/>
      <c r="C2223" s="26"/>
    </row>
    <row r="2224" spans="1:3" ht="11.25" customHeight="1" x14ac:dyDescent="0.2">
      <c r="A2224" s="26" t="s">
        <v>2262</v>
      </c>
      <c r="B2224" s="26"/>
      <c r="C2224" s="26"/>
    </row>
    <row r="2225" spans="1:3" ht="11.25" customHeight="1" x14ac:dyDescent="0.2">
      <c r="A2225" s="26" t="s">
        <v>2263</v>
      </c>
      <c r="B2225" s="26"/>
      <c r="C2225" s="26"/>
    </row>
    <row r="2226" spans="1:3" ht="11.25" customHeight="1" x14ac:dyDescent="0.2">
      <c r="A2226" s="26" t="s">
        <v>2264</v>
      </c>
      <c r="B2226" s="26"/>
      <c r="C2226" s="26"/>
    </row>
    <row r="2227" spans="1:3" ht="11.25" customHeight="1" x14ac:dyDescent="0.2">
      <c r="A2227" s="26" t="s">
        <v>2265</v>
      </c>
      <c r="B2227" s="26"/>
      <c r="C2227" s="26"/>
    </row>
    <row r="2228" spans="1:3" ht="11.25" customHeight="1" x14ac:dyDescent="0.2">
      <c r="A2228" s="26" t="s">
        <v>2266</v>
      </c>
      <c r="B2228" s="26"/>
      <c r="C2228" s="26"/>
    </row>
    <row r="2229" spans="1:3" ht="11.25" customHeight="1" x14ac:dyDescent="0.2">
      <c r="A2229" s="26" t="s">
        <v>2267</v>
      </c>
      <c r="B2229" s="26"/>
      <c r="C2229" s="26"/>
    </row>
    <row r="2230" spans="1:3" ht="11.25" customHeight="1" x14ac:dyDescent="0.2">
      <c r="A2230" s="26" t="s">
        <v>2268</v>
      </c>
      <c r="B2230" s="26"/>
      <c r="C2230" s="26"/>
    </row>
    <row r="2231" spans="1:3" ht="11.25" customHeight="1" x14ac:dyDescent="0.2">
      <c r="A2231" s="26" t="s">
        <v>2269</v>
      </c>
      <c r="B2231" s="26"/>
      <c r="C2231" s="26"/>
    </row>
    <row r="2232" spans="1:3" ht="11.25" customHeight="1" x14ac:dyDescent="0.2">
      <c r="A2232" s="26" t="s">
        <v>2270</v>
      </c>
      <c r="B2232" s="26"/>
      <c r="C2232" s="26"/>
    </row>
    <row r="2233" spans="1:3" ht="11.25" customHeight="1" x14ac:dyDescent="0.2">
      <c r="A2233" s="26" t="s">
        <v>2271</v>
      </c>
      <c r="B2233" s="26"/>
      <c r="C2233" s="26"/>
    </row>
    <row r="2234" spans="1:3" ht="11.25" customHeight="1" x14ac:dyDescent="0.2">
      <c r="A2234" s="26" t="s">
        <v>2272</v>
      </c>
      <c r="B2234" s="26"/>
      <c r="C2234" s="26"/>
    </row>
    <row r="2235" spans="1:3" ht="11.25" customHeight="1" x14ac:dyDescent="0.2">
      <c r="A2235" s="26" t="s">
        <v>2273</v>
      </c>
      <c r="B2235" s="26"/>
      <c r="C2235" s="26"/>
    </row>
    <row r="2236" spans="1:3" ht="11.25" customHeight="1" x14ac:dyDescent="0.2">
      <c r="A2236" s="26" t="s">
        <v>2274</v>
      </c>
      <c r="B2236" s="26"/>
      <c r="C2236" s="26"/>
    </row>
    <row r="2237" spans="1:3" ht="11.25" customHeight="1" x14ac:dyDescent="0.2">
      <c r="A2237" s="26" t="s">
        <v>2275</v>
      </c>
      <c r="B2237" s="26"/>
      <c r="C2237" s="26"/>
    </row>
    <row r="2238" spans="1:3" ht="11.25" customHeight="1" x14ac:dyDescent="0.2">
      <c r="A2238" s="26" t="s">
        <v>2276</v>
      </c>
      <c r="B2238" s="26"/>
      <c r="C2238" s="26"/>
    </row>
    <row r="2239" spans="1:3" ht="11.25" customHeight="1" x14ac:dyDescent="0.2">
      <c r="A2239" s="26" t="s">
        <v>2277</v>
      </c>
      <c r="B2239" s="26"/>
      <c r="C2239" s="26"/>
    </row>
    <row r="2240" spans="1:3" ht="11.25" customHeight="1" x14ac:dyDescent="0.2">
      <c r="A2240" s="26" t="s">
        <v>2278</v>
      </c>
      <c r="B2240" s="26"/>
      <c r="C2240" s="26"/>
    </row>
    <row r="2241" spans="1:3" ht="11.25" customHeight="1" x14ac:dyDescent="0.2">
      <c r="A2241" s="26" t="s">
        <v>2279</v>
      </c>
      <c r="B2241" s="26"/>
      <c r="C2241" s="26"/>
    </row>
    <row r="2242" spans="1:3" ht="11.25" customHeight="1" x14ac:dyDescent="0.2">
      <c r="A2242" s="26" t="s">
        <v>2280</v>
      </c>
      <c r="B2242" s="26"/>
      <c r="C2242" s="26"/>
    </row>
    <row r="2243" spans="1:3" ht="11.25" customHeight="1" x14ac:dyDescent="0.2">
      <c r="A2243" s="26" t="s">
        <v>2281</v>
      </c>
      <c r="B2243" s="26"/>
      <c r="C2243" s="26"/>
    </row>
    <row r="2244" spans="1:3" ht="11.25" customHeight="1" x14ac:dyDescent="0.2">
      <c r="A2244" s="26" t="s">
        <v>2282</v>
      </c>
      <c r="B2244" s="26"/>
      <c r="C2244" s="26"/>
    </row>
    <row r="2245" spans="1:3" ht="11.25" customHeight="1" x14ac:dyDescent="0.2">
      <c r="A2245" s="26" t="s">
        <v>2283</v>
      </c>
      <c r="B2245" s="26"/>
      <c r="C2245" s="26"/>
    </row>
    <row r="2246" spans="1:3" ht="11.25" customHeight="1" x14ac:dyDescent="0.2">
      <c r="A2246" s="26" t="s">
        <v>2284</v>
      </c>
      <c r="B2246" s="26"/>
      <c r="C2246" s="26"/>
    </row>
    <row r="2247" spans="1:3" ht="11.25" customHeight="1" x14ac:dyDescent="0.2">
      <c r="A2247" s="26" t="s">
        <v>2285</v>
      </c>
      <c r="B2247" s="26"/>
      <c r="C2247" s="26"/>
    </row>
    <row r="2248" spans="1:3" ht="11.25" customHeight="1" x14ac:dyDescent="0.2">
      <c r="A2248" s="26" t="s">
        <v>2286</v>
      </c>
      <c r="B2248" s="26"/>
      <c r="C2248" s="26"/>
    </row>
    <row r="2249" spans="1:3" ht="11.25" customHeight="1" x14ac:dyDescent="0.2">
      <c r="A2249" s="26" t="s">
        <v>2287</v>
      </c>
      <c r="B2249" s="26"/>
      <c r="C2249" s="26"/>
    </row>
    <row r="2250" spans="1:3" ht="11.25" customHeight="1" x14ac:dyDescent="0.2">
      <c r="A2250" s="26" t="s">
        <v>2288</v>
      </c>
      <c r="B2250" s="26"/>
      <c r="C2250" s="26"/>
    </row>
    <row r="2251" spans="1:3" ht="11.25" customHeight="1" x14ac:dyDescent="0.2">
      <c r="A2251" s="26" t="s">
        <v>2289</v>
      </c>
      <c r="B2251" s="26"/>
      <c r="C2251" s="26"/>
    </row>
    <row r="2252" spans="1:3" ht="11.25" customHeight="1" x14ac:dyDescent="0.2">
      <c r="A2252" s="26" t="s">
        <v>2290</v>
      </c>
      <c r="B2252" s="26"/>
      <c r="C2252" s="26"/>
    </row>
    <row r="2253" spans="1:3" ht="11.25" customHeight="1" x14ac:dyDescent="0.2">
      <c r="A2253" s="26" t="s">
        <v>2291</v>
      </c>
      <c r="B2253" s="26"/>
      <c r="C2253" s="26"/>
    </row>
    <row r="2254" spans="1:3" ht="11.25" customHeight="1" x14ac:dyDescent="0.2">
      <c r="A2254" s="26" t="s">
        <v>2292</v>
      </c>
      <c r="B2254" s="26"/>
      <c r="C2254" s="26"/>
    </row>
    <row r="2255" spans="1:3" ht="11.25" customHeight="1" x14ac:dyDescent="0.2">
      <c r="A2255" s="26" t="s">
        <v>2293</v>
      </c>
      <c r="B2255" s="26"/>
      <c r="C2255" s="26"/>
    </row>
    <row r="2256" spans="1:3" ht="11.25" customHeight="1" x14ac:dyDescent="0.2">
      <c r="A2256" s="26" t="s">
        <v>2294</v>
      </c>
      <c r="B2256" s="26"/>
      <c r="C2256" s="26"/>
    </row>
    <row r="2257" spans="1:3" ht="11.25" customHeight="1" x14ac:dyDescent="0.2">
      <c r="A2257" s="26" t="s">
        <v>2295</v>
      </c>
      <c r="B2257" s="26"/>
      <c r="C2257" s="26"/>
    </row>
    <row r="2258" spans="1:3" ht="11.25" customHeight="1" x14ac:dyDescent="0.2">
      <c r="A2258" s="26" t="s">
        <v>2296</v>
      </c>
      <c r="B2258" s="26"/>
      <c r="C2258" s="26"/>
    </row>
    <row r="2259" spans="1:3" ht="11.25" customHeight="1" x14ac:dyDescent="0.2">
      <c r="A2259" s="26" t="s">
        <v>2297</v>
      </c>
      <c r="B2259" s="26"/>
      <c r="C2259" s="26"/>
    </row>
    <row r="2260" spans="1:3" ht="11.25" customHeight="1" x14ac:dyDescent="0.2">
      <c r="A2260" s="26" t="s">
        <v>2298</v>
      </c>
      <c r="B2260" s="26"/>
      <c r="C2260" s="26"/>
    </row>
    <row r="2261" spans="1:3" ht="11.25" customHeight="1" x14ac:dyDescent="0.2">
      <c r="A2261" s="26" t="s">
        <v>2299</v>
      </c>
      <c r="B2261" s="26"/>
      <c r="C2261" s="26"/>
    </row>
    <row r="2262" spans="1:3" ht="11.25" customHeight="1" x14ac:dyDescent="0.2">
      <c r="A2262" s="26" t="s">
        <v>2300</v>
      </c>
      <c r="B2262" s="26"/>
      <c r="C2262" s="26"/>
    </row>
    <row r="2263" spans="1:3" ht="11.25" customHeight="1" x14ac:dyDescent="0.2">
      <c r="A2263" s="26" t="s">
        <v>2301</v>
      </c>
      <c r="B2263" s="26"/>
      <c r="C2263" s="26"/>
    </row>
    <row r="2264" spans="1:3" ht="11.25" customHeight="1" x14ac:dyDescent="0.2">
      <c r="A2264" s="26" t="s">
        <v>2302</v>
      </c>
      <c r="B2264" s="26"/>
      <c r="C2264" s="26"/>
    </row>
    <row r="2265" spans="1:3" ht="11.25" customHeight="1" x14ac:dyDescent="0.2">
      <c r="A2265" s="26" t="s">
        <v>2303</v>
      </c>
      <c r="B2265" s="26"/>
      <c r="C2265" s="26"/>
    </row>
    <row r="2266" spans="1:3" ht="11.25" customHeight="1" x14ac:dyDescent="0.2">
      <c r="A2266" s="26" t="s">
        <v>2304</v>
      </c>
      <c r="B2266" s="26"/>
      <c r="C2266" s="26"/>
    </row>
    <row r="2267" spans="1:3" ht="11.25" customHeight="1" x14ac:dyDescent="0.2">
      <c r="A2267" s="26" t="s">
        <v>2305</v>
      </c>
      <c r="B2267" s="26"/>
      <c r="C2267" s="26"/>
    </row>
    <row r="2268" spans="1:3" ht="11.25" customHeight="1" x14ac:dyDescent="0.2">
      <c r="A2268" s="26" t="s">
        <v>2306</v>
      </c>
      <c r="B2268" s="26"/>
      <c r="C2268" s="26"/>
    </row>
    <row r="2269" spans="1:3" ht="11.25" customHeight="1" x14ac:dyDescent="0.2">
      <c r="A2269" s="26" t="s">
        <v>2307</v>
      </c>
      <c r="B2269" s="26"/>
      <c r="C2269" s="26"/>
    </row>
    <row r="2270" spans="1:3" ht="11.25" customHeight="1" x14ac:dyDescent="0.2">
      <c r="A2270" s="26" t="s">
        <v>2308</v>
      </c>
      <c r="B2270" s="26"/>
      <c r="C2270" s="26"/>
    </row>
    <row r="2271" spans="1:3" ht="11.25" customHeight="1" x14ac:dyDescent="0.2">
      <c r="A2271" s="26" t="s">
        <v>2309</v>
      </c>
      <c r="B2271" s="26"/>
      <c r="C2271" s="26"/>
    </row>
    <row r="2272" spans="1:3" ht="11.25" customHeight="1" x14ac:dyDescent="0.2">
      <c r="A2272" s="26" t="s">
        <v>2310</v>
      </c>
      <c r="B2272" s="26"/>
      <c r="C2272" s="26"/>
    </row>
    <row r="2273" spans="1:3" ht="11.25" customHeight="1" x14ac:dyDescent="0.2">
      <c r="A2273" s="26" t="s">
        <v>2311</v>
      </c>
      <c r="B2273" s="26"/>
      <c r="C2273" s="26"/>
    </row>
    <row r="2274" spans="1:3" ht="11.25" customHeight="1" x14ac:dyDescent="0.2">
      <c r="A2274" s="26" t="s">
        <v>2312</v>
      </c>
      <c r="B2274" s="26"/>
      <c r="C2274" s="26"/>
    </row>
    <row r="2275" spans="1:3" ht="11.25" customHeight="1" x14ac:dyDescent="0.2">
      <c r="A2275" s="26" t="s">
        <v>2313</v>
      </c>
      <c r="B2275" s="26"/>
      <c r="C2275" s="26"/>
    </row>
    <row r="2276" spans="1:3" ht="11.25" customHeight="1" x14ac:dyDescent="0.2">
      <c r="A2276" s="26" t="s">
        <v>2314</v>
      </c>
      <c r="B2276" s="26"/>
      <c r="C2276" s="26"/>
    </row>
    <row r="2277" spans="1:3" ht="11.25" customHeight="1" x14ac:dyDescent="0.2">
      <c r="A2277" s="26" t="s">
        <v>2315</v>
      </c>
      <c r="B2277" s="26"/>
      <c r="C2277" s="26"/>
    </row>
    <row r="2278" spans="1:3" ht="11.25" customHeight="1" x14ac:dyDescent="0.2">
      <c r="A2278" s="26" t="s">
        <v>2316</v>
      </c>
      <c r="B2278" s="26"/>
      <c r="C2278" s="26"/>
    </row>
    <row r="2279" spans="1:3" ht="11.25" customHeight="1" x14ac:dyDescent="0.2">
      <c r="A2279" s="26" t="s">
        <v>2317</v>
      </c>
      <c r="B2279" s="26"/>
      <c r="C2279" s="26"/>
    </row>
    <row r="2280" spans="1:3" ht="11.25" customHeight="1" x14ac:dyDescent="0.2">
      <c r="A2280" s="26" t="s">
        <v>2318</v>
      </c>
      <c r="B2280" s="26"/>
      <c r="C2280" s="26"/>
    </row>
    <row r="2281" spans="1:3" ht="11.25" customHeight="1" x14ac:dyDescent="0.2">
      <c r="A2281" s="26" t="s">
        <v>2319</v>
      </c>
      <c r="B2281" s="26"/>
      <c r="C2281" s="26"/>
    </row>
    <row r="2282" spans="1:3" ht="11.25" customHeight="1" x14ac:dyDescent="0.2">
      <c r="A2282" s="26" t="s">
        <v>2320</v>
      </c>
      <c r="B2282" s="26"/>
      <c r="C2282" s="26"/>
    </row>
    <row r="2283" spans="1:3" ht="11.25" customHeight="1" x14ac:dyDescent="0.2">
      <c r="A2283" s="26" t="s">
        <v>2321</v>
      </c>
      <c r="B2283" s="26"/>
      <c r="C2283" s="26"/>
    </row>
    <row r="2284" spans="1:3" ht="11.25" customHeight="1" x14ac:dyDescent="0.2">
      <c r="A2284" s="26" t="s">
        <v>2322</v>
      </c>
      <c r="B2284" s="26"/>
      <c r="C2284" s="26"/>
    </row>
    <row r="2285" spans="1:3" ht="11.25" customHeight="1" x14ac:dyDescent="0.2">
      <c r="A2285" s="26" t="s">
        <v>2323</v>
      </c>
      <c r="B2285" s="26"/>
      <c r="C2285" s="26"/>
    </row>
    <row r="2286" spans="1:3" ht="11.25" customHeight="1" x14ac:dyDescent="0.2">
      <c r="A2286" s="26" t="s">
        <v>2324</v>
      </c>
      <c r="B2286" s="26"/>
      <c r="C2286" s="26"/>
    </row>
    <row r="2287" spans="1:3" ht="11.25" customHeight="1" x14ac:dyDescent="0.2">
      <c r="A2287" s="26" t="s">
        <v>2325</v>
      </c>
      <c r="B2287" s="26"/>
      <c r="C2287" s="26"/>
    </row>
    <row r="2288" spans="1:3" ht="11.25" customHeight="1" x14ac:dyDescent="0.2">
      <c r="A2288" s="26" t="s">
        <v>2326</v>
      </c>
      <c r="B2288" s="26"/>
      <c r="C2288" s="26"/>
    </row>
    <row r="2289" spans="1:3" ht="11.25" customHeight="1" x14ac:dyDescent="0.2">
      <c r="A2289" s="26" t="s">
        <v>2327</v>
      </c>
      <c r="B2289" s="26"/>
      <c r="C2289" s="26"/>
    </row>
    <row r="2290" spans="1:3" ht="11.25" customHeight="1" x14ac:dyDescent="0.2">
      <c r="A2290" s="26" t="s">
        <v>2328</v>
      </c>
      <c r="B2290" s="26"/>
      <c r="C2290" s="26"/>
    </row>
    <row r="2291" spans="1:3" ht="11.25" customHeight="1" x14ac:dyDescent="0.2">
      <c r="A2291" s="26" t="s">
        <v>2329</v>
      </c>
      <c r="B2291" s="26"/>
      <c r="C2291" s="26"/>
    </row>
    <row r="2292" spans="1:3" ht="11.25" customHeight="1" x14ac:dyDescent="0.2">
      <c r="A2292" s="26" t="s">
        <v>2330</v>
      </c>
      <c r="B2292" s="26"/>
      <c r="C2292" s="26"/>
    </row>
    <row r="2293" spans="1:3" ht="11.25" customHeight="1" x14ac:dyDescent="0.2">
      <c r="A2293" s="26" t="s">
        <v>2331</v>
      </c>
      <c r="B2293" s="26"/>
      <c r="C2293" s="26"/>
    </row>
    <row r="2294" spans="1:3" ht="11.25" customHeight="1" x14ac:dyDescent="0.2">
      <c r="A2294" s="26" t="s">
        <v>2332</v>
      </c>
      <c r="B2294" s="26"/>
      <c r="C2294" s="26"/>
    </row>
    <row r="2295" spans="1:3" ht="11.25" customHeight="1" x14ac:dyDescent="0.2">
      <c r="A2295" s="26" t="s">
        <v>2333</v>
      </c>
      <c r="B2295" s="26"/>
      <c r="C2295" s="26"/>
    </row>
    <row r="2296" spans="1:3" ht="11.25" customHeight="1" x14ac:dyDescent="0.2">
      <c r="A2296" s="26" t="s">
        <v>2334</v>
      </c>
      <c r="B2296" s="26"/>
      <c r="C2296" s="26"/>
    </row>
    <row r="2297" spans="1:3" ht="11.25" customHeight="1" x14ac:dyDescent="0.2">
      <c r="A2297" s="26" t="s">
        <v>2335</v>
      </c>
      <c r="B2297" s="26"/>
      <c r="C2297" s="26"/>
    </row>
    <row r="2298" spans="1:3" ht="11.25" customHeight="1" x14ac:dyDescent="0.2">
      <c r="A2298" s="26" t="s">
        <v>2336</v>
      </c>
      <c r="B2298" s="26"/>
      <c r="C2298" s="26"/>
    </row>
    <row r="2299" spans="1:3" ht="11.25" customHeight="1" x14ac:dyDescent="0.2">
      <c r="A2299" s="26" t="s">
        <v>2337</v>
      </c>
      <c r="B2299" s="26"/>
      <c r="C2299" s="26"/>
    </row>
    <row r="2300" spans="1:3" ht="11.25" customHeight="1" x14ac:dyDescent="0.2">
      <c r="A2300" s="26" t="s">
        <v>2338</v>
      </c>
      <c r="B2300" s="26"/>
      <c r="C2300" s="26"/>
    </row>
    <row r="2301" spans="1:3" ht="11.25" customHeight="1" x14ac:dyDescent="0.2">
      <c r="A2301" s="26" t="s">
        <v>2339</v>
      </c>
      <c r="B2301" s="26"/>
      <c r="C2301" s="26"/>
    </row>
    <row r="2302" spans="1:3" ht="11.25" customHeight="1" x14ac:dyDescent="0.2">
      <c r="A2302" s="26" t="s">
        <v>2340</v>
      </c>
      <c r="B2302" s="26"/>
      <c r="C2302" s="26"/>
    </row>
    <row r="2303" spans="1:3" ht="11.25" customHeight="1" x14ac:dyDescent="0.2">
      <c r="A2303" s="26" t="s">
        <v>2341</v>
      </c>
      <c r="B2303" s="26"/>
      <c r="C2303" s="26"/>
    </row>
    <row r="2304" spans="1:3" ht="11.25" customHeight="1" x14ac:dyDescent="0.2">
      <c r="A2304" s="26" t="s">
        <v>2342</v>
      </c>
      <c r="B2304" s="26"/>
      <c r="C2304" s="26"/>
    </row>
    <row r="2305" spans="1:3" ht="11.25" customHeight="1" x14ac:dyDescent="0.2">
      <c r="A2305" s="26" t="s">
        <v>2343</v>
      </c>
      <c r="B2305" s="26"/>
      <c r="C2305" s="26"/>
    </row>
    <row r="2306" spans="1:3" ht="11.25" customHeight="1" x14ac:dyDescent="0.2">
      <c r="A2306" s="26" t="s">
        <v>2344</v>
      </c>
      <c r="B2306" s="26"/>
      <c r="C2306" s="26"/>
    </row>
    <row r="2307" spans="1:3" ht="11.25" customHeight="1" x14ac:dyDescent="0.2">
      <c r="A2307" s="26" t="s">
        <v>2345</v>
      </c>
      <c r="B2307" s="26"/>
      <c r="C2307" s="26"/>
    </row>
    <row r="2308" spans="1:3" ht="11.25" customHeight="1" x14ac:dyDescent="0.2">
      <c r="A2308" s="26" t="s">
        <v>2346</v>
      </c>
      <c r="B2308" s="26"/>
      <c r="C2308" s="26"/>
    </row>
    <row r="2309" spans="1:3" ht="11.25" customHeight="1" x14ac:dyDescent="0.2">
      <c r="A2309" s="26" t="s">
        <v>2347</v>
      </c>
      <c r="B2309" s="26"/>
      <c r="C2309" s="26"/>
    </row>
    <row r="2310" spans="1:3" ht="11.25" customHeight="1" x14ac:dyDescent="0.2">
      <c r="A2310" s="26" t="s">
        <v>2348</v>
      </c>
      <c r="B2310" s="26"/>
      <c r="C2310" s="26"/>
    </row>
    <row r="2311" spans="1:3" ht="11.25" customHeight="1" x14ac:dyDescent="0.2">
      <c r="A2311" s="26" t="s">
        <v>2349</v>
      </c>
      <c r="B2311" s="26"/>
      <c r="C2311" s="26"/>
    </row>
    <row r="2312" spans="1:3" ht="11.25" customHeight="1" x14ac:dyDescent="0.2">
      <c r="A2312" s="26" t="s">
        <v>2350</v>
      </c>
      <c r="B2312" s="26"/>
      <c r="C2312" s="26"/>
    </row>
    <row r="2313" spans="1:3" ht="11.25" customHeight="1" x14ac:dyDescent="0.2">
      <c r="A2313" s="26" t="s">
        <v>2351</v>
      </c>
      <c r="B2313" s="26"/>
      <c r="C2313" s="26"/>
    </row>
    <row r="2314" spans="1:3" ht="11.25" customHeight="1" x14ac:dyDescent="0.2">
      <c r="A2314" s="26" t="s">
        <v>2352</v>
      </c>
      <c r="B2314" s="26"/>
      <c r="C2314" s="26"/>
    </row>
    <row r="2315" spans="1:3" ht="11.25" customHeight="1" x14ac:dyDescent="0.2">
      <c r="A2315" s="26" t="s">
        <v>2353</v>
      </c>
      <c r="B2315" s="26"/>
      <c r="C2315" s="26"/>
    </row>
    <row r="2316" spans="1:3" ht="11.25" customHeight="1" x14ac:dyDescent="0.2">
      <c r="A2316" s="26" t="s">
        <v>2354</v>
      </c>
      <c r="B2316" s="26"/>
      <c r="C2316" s="26"/>
    </row>
    <row r="2317" spans="1:3" ht="11.25" customHeight="1" x14ac:dyDescent="0.2">
      <c r="A2317" s="26" t="s">
        <v>2355</v>
      </c>
      <c r="B2317" s="26"/>
      <c r="C2317" s="26"/>
    </row>
    <row r="2318" spans="1:3" ht="11.25" customHeight="1" x14ac:dyDescent="0.2">
      <c r="A2318" s="26" t="s">
        <v>2356</v>
      </c>
      <c r="B2318" s="26"/>
      <c r="C2318" s="26"/>
    </row>
    <row r="2319" spans="1:3" ht="11.25" customHeight="1" x14ac:dyDescent="0.2">
      <c r="A2319" s="26" t="s">
        <v>2357</v>
      </c>
      <c r="B2319" s="26"/>
      <c r="C2319" s="26"/>
    </row>
    <row r="2320" spans="1:3" ht="11.25" customHeight="1" x14ac:dyDescent="0.2">
      <c r="A2320" s="26" t="s">
        <v>2358</v>
      </c>
      <c r="B2320" s="26"/>
      <c r="C2320" s="26"/>
    </row>
    <row r="2321" spans="1:3" ht="11.25" customHeight="1" x14ac:dyDescent="0.2">
      <c r="A2321" s="26" t="s">
        <v>2359</v>
      </c>
      <c r="B2321" s="26"/>
      <c r="C2321" s="26"/>
    </row>
    <row r="2322" spans="1:3" ht="11.25" customHeight="1" x14ac:dyDescent="0.2">
      <c r="A2322" s="26" t="s">
        <v>2360</v>
      </c>
      <c r="B2322" s="26"/>
      <c r="C2322" s="26"/>
    </row>
    <row r="2323" spans="1:3" ht="11.25" customHeight="1" x14ac:dyDescent="0.2">
      <c r="A2323" s="26" t="s">
        <v>2361</v>
      </c>
      <c r="B2323" s="26"/>
      <c r="C2323" s="26"/>
    </row>
    <row r="2324" spans="1:3" ht="11.25" customHeight="1" x14ac:dyDescent="0.2">
      <c r="A2324" s="26" t="s">
        <v>2362</v>
      </c>
      <c r="B2324" s="26"/>
      <c r="C2324" s="26"/>
    </row>
    <row r="2325" spans="1:3" ht="11.25" customHeight="1" x14ac:dyDescent="0.2">
      <c r="A2325" s="26" t="s">
        <v>2363</v>
      </c>
      <c r="B2325" s="26"/>
      <c r="C2325" s="26"/>
    </row>
    <row r="2326" spans="1:3" ht="11.25" customHeight="1" x14ac:dyDescent="0.2">
      <c r="A2326" s="26" t="s">
        <v>2364</v>
      </c>
      <c r="B2326" s="26"/>
      <c r="C2326" s="26"/>
    </row>
    <row r="2327" spans="1:3" ht="11.25" customHeight="1" x14ac:dyDescent="0.2">
      <c r="A2327" s="26" t="s">
        <v>2365</v>
      </c>
      <c r="B2327" s="26"/>
      <c r="C2327" s="26"/>
    </row>
    <row r="2328" spans="1:3" ht="11.25" customHeight="1" x14ac:dyDescent="0.2">
      <c r="A2328" s="26" t="s">
        <v>2366</v>
      </c>
      <c r="B2328" s="26"/>
      <c r="C2328" s="26"/>
    </row>
    <row r="2329" spans="1:3" ht="11.25" customHeight="1" x14ac:dyDescent="0.2">
      <c r="A2329" s="26" t="s">
        <v>2367</v>
      </c>
      <c r="B2329" s="26"/>
      <c r="C2329" s="26"/>
    </row>
    <row r="2330" spans="1:3" ht="11.25" customHeight="1" x14ac:dyDescent="0.2">
      <c r="A2330" s="26" t="s">
        <v>2368</v>
      </c>
      <c r="B2330" s="26"/>
      <c r="C2330" s="26"/>
    </row>
    <row r="2331" spans="1:3" ht="11.25" customHeight="1" x14ac:dyDescent="0.2">
      <c r="A2331" s="26" t="s">
        <v>2369</v>
      </c>
      <c r="B2331" s="26"/>
      <c r="C2331" s="26"/>
    </row>
    <row r="2332" spans="1:3" ht="11.25" customHeight="1" x14ac:dyDescent="0.2">
      <c r="A2332" s="26" t="s">
        <v>2370</v>
      </c>
      <c r="B2332" s="26"/>
      <c r="C2332" s="26"/>
    </row>
    <row r="2333" spans="1:3" ht="11.25" customHeight="1" x14ac:dyDescent="0.2">
      <c r="A2333" s="26" t="s">
        <v>2371</v>
      </c>
      <c r="B2333" s="26"/>
      <c r="C2333" s="26"/>
    </row>
    <row r="2334" spans="1:3" ht="11.25" customHeight="1" x14ac:dyDescent="0.2">
      <c r="A2334" s="26" t="s">
        <v>2372</v>
      </c>
      <c r="B2334" s="26"/>
      <c r="C2334" s="26"/>
    </row>
    <row r="2335" spans="1:3" ht="11.25" customHeight="1" x14ac:dyDescent="0.2">
      <c r="A2335" s="26" t="s">
        <v>2373</v>
      </c>
      <c r="B2335" s="26"/>
      <c r="C2335" s="26"/>
    </row>
    <row r="2336" spans="1:3" ht="11.25" customHeight="1" x14ac:dyDescent="0.2">
      <c r="A2336" s="26" t="s">
        <v>2374</v>
      </c>
      <c r="B2336" s="26"/>
      <c r="C2336" s="26"/>
    </row>
    <row r="2337" spans="1:3" ht="11.25" customHeight="1" x14ac:dyDescent="0.2">
      <c r="A2337" s="26" t="s">
        <v>2375</v>
      </c>
      <c r="B2337" s="26"/>
      <c r="C2337" s="26"/>
    </row>
    <row r="2338" spans="1:3" ht="11.25" customHeight="1" x14ac:dyDescent="0.2">
      <c r="A2338" s="26" t="s">
        <v>2376</v>
      </c>
      <c r="B2338" s="26"/>
      <c r="C2338" s="26"/>
    </row>
    <row r="2339" spans="1:3" ht="11.25" customHeight="1" x14ac:dyDescent="0.2">
      <c r="A2339" s="26" t="s">
        <v>2377</v>
      </c>
      <c r="B2339" s="26"/>
      <c r="C2339" s="26"/>
    </row>
    <row r="2340" spans="1:3" ht="11.25" customHeight="1" x14ac:dyDescent="0.2">
      <c r="A2340" s="26" t="s">
        <v>2378</v>
      </c>
      <c r="B2340" s="26"/>
      <c r="C2340" s="26"/>
    </row>
    <row r="2341" spans="1:3" ht="11.25" customHeight="1" x14ac:dyDescent="0.2">
      <c r="A2341" s="26" t="s">
        <v>2379</v>
      </c>
      <c r="B2341" s="26"/>
      <c r="C2341" s="26"/>
    </row>
    <row r="2342" spans="1:3" ht="11.25" customHeight="1" x14ac:dyDescent="0.2">
      <c r="A2342" s="26" t="s">
        <v>2380</v>
      </c>
      <c r="B2342" s="26"/>
      <c r="C2342" s="26"/>
    </row>
    <row r="2343" spans="1:3" ht="11.25" customHeight="1" x14ac:dyDescent="0.2">
      <c r="A2343" s="26" t="s">
        <v>2381</v>
      </c>
      <c r="B2343" s="26"/>
      <c r="C2343" s="26"/>
    </row>
    <row r="2344" spans="1:3" ht="11.25" customHeight="1" x14ac:dyDescent="0.2">
      <c r="A2344" s="26" t="s">
        <v>2382</v>
      </c>
      <c r="B2344" s="26"/>
      <c r="C2344" s="26"/>
    </row>
    <row r="2345" spans="1:3" ht="11.25" customHeight="1" x14ac:dyDescent="0.2">
      <c r="A2345" s="26" t="s">
        <v>2383</v>
      </c>
      <c r="B2345" s="26"/>
      <c r="C2345" s="26"/>
    </row>
    <row r="2346" spans="1:3" ht="11.25" customHeight="1" x14ac:dyDescent="0.2">
      <c r="A2346" s="26" t="s">
        <v>2384</v>
      </c>
      <c r="B2346" s="26"/>
      <c r="C2346" s="26"/>
    </row>
    <row r="2347" spans="1:3" ht="11.25" customHeight="1" x14ac:dyDescent="0.2">
      <c r="A2347" s="26" t="s">
        <v>2385</v>
      </c>
      <c r="B2347" s="26"/>
      <c r="C2347" s="26"/>
    </row>
    <row r="2348" spans="1:3" ht="11.25" customHeight="1" x14ac:dyDescent="0.2">
      <c r="A2348" s="26" t="s">
        <v>2386</v>
      </c>
      <c r="B2348" s="26"/>
      <c r="C2348" s="26"/>
    </row>
    <row r="2349" spans="1:3" ht="11.25" customHeight="1" x14ac:dyDescent="0.2">
      <c r="A2349" s="26" t="s">
        <v>2387</v>
      </c>
      <c r="B2349" s="26"/>
      <c r="C2349" s="26"/>
    </row>
    <row r="2350" spans="1:3" ht="11.25" customHeight="1" x14ac:dyDescent="0.2">
      <c r="A2350" s="26" t="s">
        <v>2388</v>
      </c>
      <c r="B2350" s="26"/>
      <c r="C2350" s="26"/>
    </row>
    <row r="2351" spans="1:3" ht="11.25" customHeight="1" x14ac:dyDescent="0.2">
      <c r="A2351" s="26" t="s">
        <v>2389</v>
      </c>
      <c r="B2351" s="26"/>
      <c r="C2351" s="26"/>
    </row>
    <row r="2352" spans="1:3" ht="11.25" customHeight="1" x14ac:dyDescent="0.2">
      <c r="A2352" s="26" t="s">
        <v>2390</v>
      </c>
      <c r="B2352" s="26"/>
      <c r="C2352" s="26"/>
    </row>
    <row r="2353" spans="1:3" ht="11.25" customHeight="1" x14ac:dyDescent="0.2">
      <c r="A2353" s="26" t="s">
        <v>2391</v>
      </c>
      <c r="B2353" s="26"/>
      <c r="C2353" s="26"/>
    </row>
    <row r="2354" spans="1:3" ht="11.25" customHeight="1" x14ac:dyDescent="0.2">
      <c r="A2354" s="26" t="s">
        <v>2392</v>
      </c>
      <c r="B2354" s="26"/>
      <c r="C2354" s="26"/>
    </row>
    <row r="2355" spans="1:3" ht="11.25" customHeight="1" x14ac:dyDescent="0.2">
      <c r="A2355" s="26" t="s">
        <v>2393</v>
      </c>
      <c r="B2355" s="26"/>
      <c r="C2355" s="26"/>
    </row>
    <row r="2356" spans="1:3" ht="11.25" customHeight="1" x14ac:dyDescent="0.2">
      <c r="A2356" s="26" t="s">
        <v>2394</v>
      </c>
      <c r="B2356" s="26"/>
      <c r="C2356" s="26"/>
    </row>
    <row r="2357" spans="1:3" ht="11.25" customHeight="1" x14ac:dyDescent="0.2">
      <c r="A2357" s="26" t="s">
        <v>2395</v>
      </c>
      <c r="B2357" s="26"/>
      <c r="C2357" s="26"/>
    </row>
    <row r="2358" spans="1:3" ht="11.25" customHeight="1" x14ac:dyDescent="0.2">
      <c r="A2358" s="26" t="s">
        <v>2396</v>
      </c>
      <c r="B2358" s="26"/>
      <c r="C2358" s="26"/>
    </row>
    <row r="2359" spans="1:3" ht="11.25" customHeight="1" x14ac:dyDescent="0.2">
      <c r="A2359" s="26" t="s">
        <v>2397</v>
      </c>
      <c r="B2359" s="26"/>
      <c r="C2359" s="26"/>
    </row>
    <row r="2360" spans="1:3" ht="11.25" customHeight="1" x14ac:dyDescent="0.2">
      <c r="A2360" s="26" t="s">
        <v>2398</v>
      </c>
      <c r="B2360" s="26"/>
      <c r="C2360" s="26"/>
    </row>
    <row r="2361" spans="1:3" ht="11.25" customHeight="1" x14ac:dyDescent="0.2">
      <c r="A2361" s="26" t="s">
        <v>2399</v>
      </c>
      <c r="B2361" s="26"/>
      <c r="C2361" s="26"/>
    </row>
    <row r="2362" spans="1:3" ht="11.25" customHeight="1" x14ac:dyDescent="0.2">
      <c r="A2362" s="26" t="s">
        <v>2400</v>
      </c>
      <c r="B2362" s="26"/>
      <c r="C2362" s="26"/>
    </row>
    <row r="2363" spans="1:3" ht="11.25" customHeight="1" x14ac:dyDescent="0.2">
      <c r="A2363" s="26" t="s">
        <v>2401</v>
      </c>
      <c r="B2363" s="26"/>
      <c r="C2363" s="26"/>
    </row>
    <row r="2364" spans="1:3" ht="11.25" customHeight="1" x14ac:dyDescent="0.2">
      <c r="A2364" s="26" t="s">
        <v>2402</v>
      </c>
      <c r="B2364" s="26"/>
      <c r="C2364" s="26"/>
    </row>
    <row r="2365" spans="1:3" ht="11.25" customHeight="1" x14ac:dyDescent="0.2">
      <c r="A2365" s="26" t="s">
        <v>2403</v>
      </c>
      <c r="B2365" s="26"/>
      <c r="C2365" s="26"/>
    </row>
    <row r="2366" spans="1:3" ht="11.25" customHeight="1" x14ac:dyDescent="0.2">
      <c r="A2366" s="26" t="s">
        <v>2404</v>
      </c>
      <c r="B2366" s="26"/>
      <c r="C2366" s="26"/>
    </row>
    <row r="2367" spans="1:3" ht="11.25" customHeight="1" x14ac:dyDescent="0.2">
      <c r="A2367" s="26" t="s">
        <v>2405</v>
      </c>
      <c r="B2367" s="26"/>
      <c r="C2367" s="26"/>
    </row>
    <row r="2368" spans="1:3" ht="11.25" customHeight="1" x14ac:dyDescent="0.2">
      <c r="A2368" s="26" t="s">
        <v>2406</v>
      </c>
      <c r="B2368" s="26"/>
      <c r="C2368" s="26"/>
    </row>
    <row r="2369" spans="1:3" ht="11.25" customHeight="1" x14ac:dyDescent="0.2">
      <c r="A2369" s="26" t="s">
        <v>2407</v>
      </c>
      <c r="B2369" s="26"/>
      <c r="C2369" s="26"/>
    </row>
    <row r="2370" spans="1:3" ht="11.25" customHeight="1" x14ac:dyDescent="0.2">
      <c r="A2370" s="26" t="s">
        <v>2408</v>
      </c>
      <c r="B2370" s="26"/>
      <c r="C2370" s="26"/>
    </row>
    <row r="2371" spans="1:3" ht="11.25" customHeight="1" x14ac:dyDescent="0.2">
      <c r="A2371" s="26" t="s">
        <v>2409</v>
      </c>
      <c r="B2371" s="26"/>
      <c r="C2371" s="26"/>
    </row>
    <row r="2372" spans="1:3" ht="11.25" customHeight="1" x14ac:dyDescent="0.2">
      <c r="A2372" s="26" t="s">
        <v>2410</v>
      </c>
      <c r="B2372" s="26"/>
      <c r="C2372" s="26"/>
    </row>
    <row r="2373" spans="1:3" ht="11.25" customHeight="1" x14ac:dyDescent="0.2">
      <c r="A2373" s="26" t="s">
        <v>2411</v>
      </c>
      <c r="B2373" s="26"/>
      <c r="C2373" s="26"/>
    </row>
    <row r="2374" spans="1:3" ht="11.25" customHeight="1" x14ac:dyDescent="0.2">
      <c r="A2374" s="26" t="s">
        <v>2412</v>
      </c>
      <c r="B2374" s="26"/>
      <c r="C2374" s="26"/>
    </row>
    <row r="2375" spans="1:3" ht="11.25" customHeight="1" x14ac:dyDescent="0.2">
      <c r="A2375" s="26" t="s">
        <v>2413</v>
      </c>
      <c r="B2375" s="26"/>
      <c r="C2375" s="26"/>
    </row>
    <row r="2376" spans="1:3" ht="11.25" customHeight="1" x14ac:dyDescent="0.2">
      <c r="A2376" s="26" t="s">
        <v>2414</v>
      </c>
      <c r="B2376" s="26"/>
      <c r="C2376" s="26"/>
    </row>
    <row r="2377" spans="1:3" ht="11.25" customHeight="1" x14ac:dyDescent="0.2">
      <c r="A2377" s="26" t="s">
        <v>2415</v>
      </c>
      <c r="B2377" s="26"/>
      <c r="C2377" s="26"/>
    </row>
    <row r="2378" spans="1:3" ht="11.25" customHeight="1" x14ac:dyDescent="0.2">
      <c r="A2378" s="26" t="s">
        <v>2416</v>
      </c>
      <c r="B2378" s="26"/>
      <c r="C2378" s="26"/>
    </row>
    <row r="2379" spans="1:3" ht="11.25" customHeight="1" x14ac:dyDescent="0.2">
      <c r="A2379" s="26" t="s">
        <v>2417</v>
      </c>
      <c r="B2379" s="26"/>
      <c r="C2379" s="26"/>
    </row>
    <row r="2380" spans="1:3" ht="11.25" customHeight="1" x14ac:dyDescent="0.2">
      <c r="A2380" s="26" t="s">
        <v>2418</v>
      </c>
      <c r="B2380" s="26"/>
      <c r="C2380" s="26"/>
    </row>
    <row r="2381" spans="1:3" ht="11.25" customHeight="1" x14ac:dyDescent="0.2">
      <c r="A2381" s="26" t="s">
        <v>2419</v>
      </c>
      <c r="B2381" s="26"/>
      <c r="C2381" s="26"/>
    </row>
    <row r="2382" spans="1:3" ht="11.25" customHeight="1" x14ac:dyDescent="0.2">
      <c r="A2382" s="26" t="s">
        <v>2420</v>
      </c>
      <c r="B2382" s="26"/>
      <c r="C2382" s="26"/>
    </row>
    <row r="2383" spans="1:3" ht="11.25" customHeight="1" x14ac:dyDescent="0.2">
      <c r="A2383" s="26" t="s">
        <v>2421</v>
      </c>
      <c r="B2383" s="26"/>
      <c r="C2383" s="26"/>
    </row>
    <row r="2384" spans="1:3" ht="11.25" customHeight="1" x14ac:dyDescent="0.2">
      <c r="A2384" s="26" t="s">
        <v>2422</v>
      </c>
      <c r="B2384" s="26"/>
      <c r="C2384" s="26"/>
    </row>
    <row r="2385" spans="1:3" ht="11.25" customHeight="1" x14ac:dyDescent="0.2">
      <c r="A2385" s="26" t="s">
        <v>2423</v>
      </c>
      <c r="B2385" s="26"/>
      <c r="C2385" s="26"/>
    </row>
    <row r="2386" spans="1:3" ht="11.25" customHeight="1" x14ac:dyDescent="0.2">
      <c r="A2386" s="26" t="s">
        <v>2424</v>
      </c>
      <c r="B2386" s="26"/>
      <c r="C2386" s="26"/>
    </row>
    <row r="2387" spans="1:3" ht="11.25" customHeight="1" x14ac:dyDescent="0.2">
      <c r="A2387" s="26" t="s">
        <v>2425</v>
      </c>
      <c r="B2387" s="26"/>
      <c r="C2387" s="26"/>
    </row>
    <row r="2388" spans="1:3" ht="11.25" customHeight="1" x14ac:dyDescent="0.2">
      <c r="A2388" s="26" t="s">
        <v>2426</v>
      </c>
      <c r="B2388" s="26"/>
      <c r="C2388" s="26"/>
    </row>
    <row r="2389" spans="1:3" ht="11.25" customHeight="1" x14ac:dyDescent="0.2">
      <c r="A2389" s="26" t="s">
        <v>2427</v>
      </c>
      <c r="B2389" s="26"/>
      <c r="C2389" s="26"/>
    </row>
    <row r="2390" spans="1:3" ht="11.25" customHeight="1" x14ac:dyDescent="0.2">
      <c r="A2390" s="26" t="s">
        <v>2428</v>
      </c>
      <c r="B2390" s="26"/>
      <c r="C2390" s="26"/>
    </row>
    <row r="2391" spans="1:3" ht="11.25" customHeight="1" x14ac:dyDescent="0.2">
      <c r="A2391" s="26" t="s">
        <v>2429</v>
      </c>
      <c r="B2391" s="26"/>
      <c r="C2391" s="26"/>
    </row>
    <row r="2392" spans="1:3" ht="11.25" customHeight="1" x14ac:dyDescent="0.2">
      <c r="A2392" s="26" t="s">
        <v>2430</v>
      </c>
      <c r="B2392" s="26"/>
      <c r="C2392" s="26"/>
    </row>
    <row r="2393" spans="1:3" ht="11.25" customHeight="1" x14ac:dyDescent="0.2">
      <c r="A2393" s="26" t="s">
        <v>2431</v>
      </c>
      <c r="B2393" s="26"/>
      <c r="C2393" s="26"/>
    </row>
    <row r="2394" spans="1:3" ht="11.25" customHeight="1" x14ac:dyDescent="0.2">
      <c r="A2394" s="26" t="s">
        <v>2432</v>
      </c>
      <c r="B2394" s="26"/>
      <c r="C2394" s="26"/>
    </row>
    <row r="2395" spans="1:3" ht="11.25" customHeight="1" x14ac:dyDescent="0.2">
      <c r="A2395" s="26" t="s">
        <v>2433</v>
      </c>
      <c r="B2395" s="26"/>
      <c r="C2395" s="26"/>
    </row>
    <row r="2396" spans="1:3" ht="11.25" customHeight="1" x14ac:dyDescent="0.2">
      <c r="A2396" s="26" t="s">
        <v>2434</v>
      </c>
      <c r="B2396" s="26"/>
      <c r="C2396" s="26"/>
    </row>
    <row r="2397" spans="1:3" ht="11.25" customHeight="1" x14ac:dyDescent="0.2">
      <c r="A2397" s="26" t="s">
        <v>2435</v>
      </c>
      <c r="B2397" s="26"/>
      <c r="C2397" s="26"/>
    </row>
    <row r="2398" spans="1:3" ht="11.25" customHeight="1" x14ac:dyDescent="0.2">
      <c r="A2398" s="26" t="s">
        <v>2436</v>
      </c>
      <c r="B2398" s="26"/>
      <c r="C2398" s="26"/>
    </row>
    <row r="2399" spans="1:3" ht="11.25" customHeight="1" x14ac:dyDescent="0.2">
      <c r="A2399" s="26" t="s">
        <v>2437</v>
      </c>
      <c r="B2399" s="26"/>
      <c r="C2399" s="26"/>
    </row>
    <row r="2400" spans="1:3" ht="11.25" customHeight="1" x14ac:dyDescent="0.2">
      <c r="A2400" s="26" t="s">
        <v>2438</v>
      </c>
      <c r="B2400" s="26"/>
      <c r="C2400" s="26"/>
    </row>
    <row r="2401" spans="1:3" ht="11.25" customHeight="1" x14ac:dyDescent="0.2">
      <c r="A2401" s="26" t="s">
        <v>2439</v>
      </c>
      <c r="B2401" s="26"/>
      <c r="C2401" s="26"/>
    </row>
    <row r="2402" spans="1:3" ht="11.25" customHeight="1" x14ac:dyDescent="0.2">
      <c r="A2402" s="26" t="s">
        <v>2440</v>
      </c>
      <c r="B2402" s="26"/>
      <c r="C2402" s="26"/>
    </row>
    <row r="2403" spans="1:3" ht="11.25" customHeight="1" x14ac:dyDescent="0.2">
      <c r="A2403" s="26" t="s">
        <v>2441</v>
      </c>
      <c r="B2403" s="26"/>
      <c r="C2403" s="26"/>
    </row>
    <row r="2404" spans="1:3" ht="11.25" customHeight="1" x14ac:dyDescent="0.2">
      <c r="A2404" s="26" t="s">
        <v>2442</v>
      </c>
      <c r="B2404" s="26"/>
      <c r="C2404" s="26"/>
    </row>
    <row r="2405" spans="1:3" ht="11.25" customHeight="1" x14ac:dyDescent="0.2">
      <c r="A2405" s="26" t="s">
        <v>2443</v>
      </c>
      <c r="B2405" s="26"/>
      <c r="C2405" s="26"/>
    </row>
    <row r="2406" spans="1:3" ht="11.25" customHeight="1" x14ac:dyDescent="0.2">
      <c r="A2406" s="26" t="s">
        <v>2444</v>
      </c>
      <c r="B2406" s="26"/>
      <c r="C2406" s="26"/>
    </row>
    <row r="2407" spans="1:3" ht="11.25" customHeight="1" x14ac:dyDescent="0.2">
      <c r="A2407" s="26" t="s">
        <v>2445</v>
      </c>
      <c r="B2407" s="26"/>
      <c r="C2407" s="26"/>
    </row>
    <row r="2408" spans="1:3" ht="11.25" customHeight="1" x14ac:dyDescent="0.2">
      <c r="A2408" s="26" t="s">
        <v>2446</v>
      </c>
      <c r="B2408" s="26"/>
      <c r="C2408" s="26"/>
    </row>
    <row r="2409" spans="1:3" ht="11.25" customHeight="1" x14ac:dyDescent="0.2">
      <c r="A2409" s="26" t="s">
        <v>2447</v>
      </c>
      <c r="B2409" s="26"/>
      <c r="C2409" s="26"/>
    </row>
    <row r="2410" spans="1:3" ht="11.25" customHeight="1" x14ac:dyDescent="0.2">
      <c r="A2410" s="26" t="s">
        <v>2448</v>
      </c>
      <c r="B2410" s="26"/>
      <c r="C2410" s="26"/>
    </row>
    <row r="2411" spans="1:3" ht="11.25" customHeight="1" x14ac:dyDescent="0.2">
      <c r="A2411" s="26" t="s">
        <v>2449</v>
      </c>
      <c r="B2411" s="26"/>
      <c r="C2411" s="26"/>
    </row>
    <row r="2412" spans="1:3" ht="11.25" customHeight="1" x14ac:dyDescent="0.2">
      <c r="A2412" s="26" t="s">
        <v>2450</v>
      </c>
      <c r="B2412" s="26"/>
      <c r="C2412" s="26"/>
    </row>
    <row r="2413" spans="1:3" ht="11.25" customHeight="1" x14ac:dyDescent="0.2">
      <c r="A2413" s="26" t="s">
        <v>2451</v>
      </c>
      <c r="B2413" s="26"/>
      <c r="C2413" s="26"/>
    </row>
    <row r="2414" spans="1:3" ht="11.25" customHeight="1" x14ac:dyDescent="0.2">
      <c r="A2414" s="26" t="s">
        <v>2452</v>
      </c>
      <c r="B2414" s="26"/>
      <c r="C2414" s="26"/>
    </row>
    <row r="2415" spans="1:3" ht="11.25" customHeight="1" x14ac:dyDescent="0.2">
      <c r="A2415" s="26" t="s">
        <v>2453</v>
      </c>
      <c r="B2415" s="26"/>
      <c r="C2415" s="26"/>
    </row>
    <row r="2416" spans="1:3" ht="11.25" customHeight="1" x14ac:dyDescent="0.2">
      <c r="A2416" s="26" t="s">
        <v>2454</v>
      </c>
      <c r="B2416" s="26"/>
      <c r="C2416" s="26"/>
    </row>
    <row r="2417" spans="1:3" ht="11.25" customHeight="1" x14ac:dyDescent="0.2">
      <c r="A2417" s="26" t="s">
        <v>2455</v>
      </c>
      <c r="B2417" s="26"/>
      <c r="C2417" s="26"/>
    </row>
    <row r="2418" spans="1:3" ht="11.25" customHeight="1" x14ac:dyDescent="0.2">
      <c r="A2418" s="26" t="s">
        <v>2456</v>
      </c>
      <c r="B2418" s="26"/>
      <c r="C2418" s="26"/>
    </row>
    <row r="2419" spans="1:3" ht="11.25" customHeight="1" x14ac:dyDescent="0.2">
      <c r="A2419" s="26" t="s">
        <v>2457</v>
      </c>
      <c r="B2419" s="26"/>
      <c r="C2419" s="26"/>
    </row>
    <row r="2420" spans="1:3" ht="11.25" customHeight="1" x14ac:dyDescent="0.2">
      <c r="A2420" s="26" t="s">
        <v>2458</v>
      </c>
      <c r="B2420" s="26"/>
      <c r="C2420" s="26"/>
    </row>
    <row r="2421" spans="1:3" ht="11.25" customHeight="1" x14ac:dyDescent="0.2">
      <c r="A2421" s="26" t="s">
        <v>2459</v>
      </c>
      <c r="B2421" s="26"/>
      <c r="C2421" s="26"/>
    </row>
    <row r="2422" spans="1:3" ht="11.25" customHeight="1" x14ac:dyDescent="0.2">
      <c r="A2422" s="26" t="s">
        <v>2460</v>
      </c>
      <c r="B2422" s="26"/>
      <c r="C2422" s="26"/>
    </row>
    <row r="2423" spans="1:3" ht="11.25" customHeight="1" x14ac:dyDescent="0.2">
      <c r="A2423" s="26" t="s">
        <v>2461</v>
      </c>
      <c r="B2423" s="26"/>
      <c r="C2423" s="26"/>
    </row>
    <row r="2424" spans="1:3" ht="11.25" customHeight="1" x14ac:dyDescent="0.2">
      <c r="A2424" s="26" t="s">
        <v>2462</v>
      </c>
      <c r="B2424" s="26"/>
      <c r="C2424" s="26"/>
    </row>
    <row r="2425" spans="1:3" ht="11.25" customHeight="1" x14ac:dyDescent="0.2">
      <c r="A2425" s="26" t="s">
        <v>2463</v>
      </c>
      <c r="B2425" s="26"/>
      <c r="C2425" s="26"/>
    </row>
    <row r="2426" spans="1:3" ht="11.25" customHeight="1" x14ac:dyDescent="0.2">
      <c r="A2426" s="26" t="s">
        <v>2464</v>
      </c>
      <c r="B2426" s="26"/>
      <c r="C2426" s="26"/>
    </row>
    <row r="2427" spans="1:3" ht="11.25" customHeight="1" x14ac:dyDescent="0.2">
      <c r="A2427" s="26" t="s">
        <v>2465</v>
      </c>
      <c r="B2427" s="26"/>
      <c r="C2427" s="26"/>
    </row>
    <row r="2428" spans="1:3" ht="11.25" customHeight="1" x14ac:dyDescent="0.2">
      <c r="A2428" s="26" t="s">
        <v>2466</v>
      </c>
      <c r="B2428" s="26"/>
      <c r="C2428" s="26"/>
    </row>
    <row r="2429" spans="1:3" ht="11.25" customHeight="1" x14ac:dyDescent="0.2">
      <c r="A2429" s="26" t="s">
        <v>2467</v>
      </c>
      <c r="B2429" s="26"/>
      <c r="C2429" s="26"/>
    </row>
    <row r="2430" spans="1:3" ht="11.25" customHeight="1" x14ac:dyDescent="0.2">
      <c r="A2430" s="26" t="s">
        <v>2468</v>
      </c>
      <c r="B2430" s="26"/>
      <c r="C2430" s="26"/>
    </row>
    <row r="2431" spans="1:3" ht="11.25" customHeight="1" x14ac:dyDescent="0.2">
      <c r="A2431" s="26" t="s">
        <v>2469</v>
      </c>
      <c r="B2431" s="26"/>
      <c r="C2431" s="26"/>
    </row>
    <row r="2432" spans="1:3" ht="11.25" customHeight="1" x14ac:dyDescent="0.2">
      <c r="A2432" s="26" t="s">
        <v>2470</v>
      </c>
      <c r="B2432" s="26"/>
      <c r="C2432" s="26"/>
    </row>
    <row r="2433" spans="1:3" ht="11.25" customHeight="1" x14ac:dyDescent="0.2">
      <c r="A2433" s="26" t="s">
        <v>2471</v>
      </c>
      <c r="B2433" s="26"/>
      <c r="C2433" s="26"/>
    </row>
    <row r="2434" spans="1:3" ht="11.25" customHeight="1" x14ac:dyDescent="0.2">
      <c r="A2434" s="26" t="s">
        <v>2472</v>
      </c>
      <c r="B2434" s="26"/>
      <c r="C2434" s="26"/>
    </row>
    <row r="2435" spans="1:3" ht="11.25" customHeight="1" x14ac:dyDescent="0.2">
      <c r="A2435" s="26" t="s">
        <v>2473</v>
      </c>
      <c r="B2435" s="26"/>
      <c r="C2435" s="26"/>
    </row>
    <row r="2436" spans="1:3" ht="11.25" customHeight="1" x14ac:dyDescent="0.2">
      <c r="A2436" s="26" t="s">
        <v>2474</v>
      </c>
      <c r="B2436" s="26"/>
      <c r="C2436" s="26"/>
    </row>
    <row r="2437" spans="1:3" ht="11.25" customHeight="1" x14ac:dyDescent="0.2">
      <c r="A2437" s="26" t="s">
        <v>2475</v>
      </c>
      <c r="B2437" s="26"/>
      <c r="C2437" s="26"/>
    </row>
    <row r="2438" spans="1:3" ht="11.25" customHeight="1" x14ac:dyDescent="0.2">
      <c r="A2438" s="26" t="s">
        <v>2476</v>
      </c>
      <c r="B2438" s="26"/>
      <c r="C2438" s="26"/>
    </row>
    <row r="2439" spans="1:3" ht="11.25" customHeight="1" x14ac:dyDescent="0.2">
      <c r="A2439" s="26" t="s">
        <v>2477</v>
      </c>
      <c r="B2439" s="26"/>
      <c r="C2439" s="26"/>
    </row>
    <row r="2440" spans="1:3" ht="11.25" customHeight="1" x14ac:dyDescent="0.2">
      <c r="A2440" s="26" t="s">
        <v>2478</v>
      </c>
      <c r="B2440" s="26"/>
      <c r="C2440" s="26"/>
    </row>
    <row r="2441" spans="1:3" ht="11.25" customHeight="1" x14ac:dyDescent="0.2">
      <c r="A2441" s="26" t="s">
        <v>2479</v>
      </c>
      <c r="B2441" s="26"/>
      <c r="C2441" s="26"/>
    </row>
    <row r="2442" spans="1:3" ht="11.25" customHeight="1" x14ac:dyDescent="0.2">
      <c r="A2442" s="26" t="s">
        <v>2480</v>
      </c>
      <c r="B2442" s="26"/>
      <c r="C2442" s="26"/>
    </row>
    <row r="2443" spans="1:3" ht="11.25" customHeight="1" x14ac:dyDescent="0.2">
      <c r="A2443" s="26" t="s">
        <v>2481</v>
      </c>
      <c r="B2443" s="26"/>
      <c r="C2443" s="26"/>
    </row>
    <row r="2444" spans="1:3" ht="11.25" customHeight="1" x14ac:dyDescent="0.2">
      <c r="A2444" s="26" t="s">
        <v>2482</v>
      </c>
      <c r="B2444" s="26"/>
      <c r="C2444" s="26"/>
    </row>
    <row r="2445" spans="1:3" ht="11.25" customHeight="1" x14ac:dyDescent="0.2">
      <c r="A2445" s="26" t="s">
        <v>2483</v>
      </c>
      <c r="B2445" s="26"/>
      <c r="C2445" s="26"/>
    </row>
    <row r="2446" spans="1:3" ht="11.25" customHeight="1" x14ac:dyDescent="0.2">
      <c r="A2446" s="26" t="s">
        <v>2484</v>
      </c>
      <c r="B2446" s="26"/>
      <c r="C2446" s="26"/>
    </row>
    <row r="2447" spans="1:3" ht="11.25" customHeight="1" x14ac:dyDescent="0.2">
      <c r="A2447" s="26" t="s">
        <v>2485</v>
      </c>
      <c r="B2447" s="26"/>
      <c r="C2447" s="26"/>
    </row>
    <row r="2448" spans="1:3" ht="11.25" customHeight="1" x14ac:dyDescent="0.2">
      <c r="A2448" s="26" t="s">
        <v>2486</v>
      </c>
      <c r="B2448" s="26"/>
      <c r="C2448" s="26"/>
    </row>
    <row r="2449" spans="1:3" ht="11.25" customHeight="1" x14ac:dyDescent="0.2">
      <c r="A2449" s="26" t="s">
        <v>2487</v>
      </c>
      <c r="B2449" s="26"/>
      <c r="C2449" s="26"/>
    </row>
    <row r="2450" spans="1:3" ht="11.25" customHeight="1" x14ac:dyDescent="0.2">
      <c r="A2450" s="26" t="s">
        <v>2488</v>
      </c>
      <c r="B2450" s="26"/>
      <c r="C2450" s="26"/>
    </row>
    <row r="2451" spans="1:3" ht="11.25" customHeight="1" x14ac:dyDescent="0.2">
      <c r="A2451" s="26" t="s">
        <v>2489</v>
      </c>
      <c r="B2451" s="26"/>
      <c r="C2451" s="26"/>
    </row>
    <row r="2452" spans="1:3" ht="11.25" customHeight="1" x14ac:dyDescent="0.2">
      <c r="A2452" s="26" t="s">
        <v>2490</v>
      </c>
      <c r="B2452" s="26"/>
      <c r="C2452" s="26"/>
    </row>
    <row r="2453" spans="1:3" ht="11.25" customHeight="1" x14ac:dyDescent="0.2">
      <c r="A2453" s="26" t="s">
        <v>2491</v>
      </c>
      <c r="B2453" s="26"/>
      <c r="C2453" s="26"/>
    </row>
    <row r="2454" spans="1:3" ht="11.25" customHeight="1" x14ac:dyDescent="0.2">
      <c r="A2454" s="26" t="s">
        <v>2492</v>
      </c>
      <c r="B2454" s="26"/>
      <c r="C2454" s="26"/>
    </row>
    <row r="2455" spans="1:3" ht="11.25" customHeight="1" x14ac:dyDescent="0.2">
      <c r="A2455" s="26" t="s">
        <v>2493</v>
      </c>
      <c r="B2455" s="26"/>
      <c r="C2455" s="26"/>
    </row>
    <row r="2456" spans="1:3" ht="11.25" customHeight="1" x14ac:dyDescent="0.2">
      <c r="A2456" s="26" t="s">
        <v>2494</v>
      </c>
      <c r="B2456" s="26"/>
      <c r="C2456" s="26"/>
    </row>
    <row r="2457" spans="1:3" ht="11.25" customHeight="1" x14ac:dyDescent="0.2">
      <c r="A2457" s="26" t="s">
        <v>2495</v>
      </c>
      <c r="B2457" s="26"/>
      <c r="C2457" s="26"/>
    </row>
    <row r="2458" spans="1:3" ht="11.25" customHeight="1" x14ac:dyDescent="0.2">
      <c r="A2458" s="26" t="s">
        <v>2496</v>
      </c>
      <c r="B2458" s="26"/>
      <c r="C2458" s="26"/>
    </row>
    <row r="2459" spans="1:3" ht="11.25" customHeight="1" x14ac:dyDescent="0.2">
      <c r="A2459" s="26" t="s">
        <v>2497</v>
      </c>
      <c r="B2459" s="26"/>
      <c r="C2459" s="26"/>
    </row>
    <row r="2460" spans="1:3" ht="11.25" customHeight="1" x14ac:dyDescent="0.2">
      <c r="A2460" s="26" t="s">
        <v>2498</v>
      </c>
      <c r="B2460" s="26"/>
      <c r="C2460" s="26"/>
    </row>
    <row r="2461" spans="1:3" ht="11.25" customHeight="1" x14ac:dyDescent="0.2">
      <c r="A2461" s="26" t="s">
        <v>2499</v>
      </c>
      <c r="B2461" s="26"/>
      <c r="C2461" s="26"/>
    </row>
    <row r="2462" spans="1:3" ht="11.25" customHeight="1" x14ac:dyDescent="0.2">
      <c r="A2462" s="26" t="s">
        <v>2500</v>
      </c>
      <c r="B2462" s="26"/>
      <c r="C2462" s="26"/>
    </row>
    <row r="2463" spans="1:3" ht="11.25" customHeight="1" x14ac:dyDescent="0.2">
      <c r="A2463" s="26" t="s">
        <v>2501</v>
      </c>
      <c r="B2463" s="26"/>
      <c r="C2463" s="26"/>
    </row>
    <row r="2464" spans="1:3" ht="11.25" customHeight="1" x14ac:dyDescent="0.2">
      <c r="A2464" s="26" t="s">
        <v>2502</v>
      </c>
      <c r="B2464" s="26"/>
      <c r="C2464" s="26"/>
    </row>
    <row r="2465" spans="1:3" ht="11.25" customHeight="1" x14ac:dyDescent="0.2">
      <c r="A2465" s="26" t="s">
        <v>2503</v>
      </c>
      <c r="B2465" s="26"/>
      <c r="C2465" s="26"/>
    </row>
    <row r="2466" spans="1:3" ht="11.25" customHeight="1" x14ac:dyDescent="0.2">
      <c r="A2466" s="26" t="s">
        <v>2504</v>
      </c>
      <c r="B2466" s="26"/>
      <c r="C2466" s="26"/>
    </row>
    <row r="2467" spans="1:3" ht="11.25" customHeight="1" x14ac:dyDescent="0.2">
      <c r="A2467" s="26" t="s">
        <v>2505</v>
      </c>
      <c r="B2467" s="26"/>
      <c r="C2467" s="26"/>
    </row>
    <row r="2468" spans="1:3" ht="11.25" customHeight="1" x14ac:dyDescent="0.2">
      <c r="A2468" s="26" t="s">
        <v>2506</v>
      </c>
      <c r="B2468" s="26"/>
      <c r="C2468" s="26"/>
    </row>
    <row r="2469" spans="1:3" ht="11.25" customHeight="1" x14ac:dyDescent="0.2">
      <c r="A2469" s="26" t="s">
        <v>2507</v>
      </c>
      <c r="B2469" s="26"/>
      <c r="C2469" s="26"/>
    </row>
    <row r="2470" spans="1:3" ht="11.25" customHeight="1" x14ac:dyDescent="0.2">
      <c r="A2470" s="26" t="s">
        <v>2508</v>
      </c>
      <c r="B2470" s="26"/>
      <c r="C2470" s="26"/>
    </row>
    <row r="2471" spans="1:3" ht="11.25" customHeight="1" x14ac:dyDescent="0.2">
      <c r="A2471" s="26" t="s">
        <v>2509</v>
      </c>
      <c r="B2471" s="26"/>
      <c r="C2471" s="26"/>
    </row>
    <row r="2472" spans="1:3" ht="11.25" customHeight="1" x14ac:dyDescent="0.2">
      <c r="A2472" s="26" t="s">
        <v>2510</v>
      </c>
      <c r="B2472" s="26"/>
      <c r="C2472" s="26"/>
    </row>
    <row r="2473" spans="1:3" ht="11.25" customHeight="1" x14ac:dyDescent="0.2">
      <c r="A2473" s="26" t="s">
        <v>2511</v>
      </c>
      <c r="B2473" s="26"/>
      <c r="C2473" s="26"/>
    </row>
    <row r="2474" spans="1:3" ht="11.25" customHeight="1" x14ac:dyDescent="0.2">
      <c r="A2474" s="26" t="s">
        <v>2512</v>
      </c>
      <c r="B2474" s="26"/>
      <c r="C2474" s="26"/>
    </row>
    <row r="2475" spans="1:3" ht="11.25" customHeight="1" x14ac:dyDescent="0.2">
      <c r="A2475" s="26" t="s">
        <v>2513</v>
      </c>
      <c r="B2475" s="26"/>
      <c r="C2475" s="26"/>
    </row>
    <row r="2476" spans="1:3" ht="11.25" customHeight="1" x14ac:dyDescent="0.2">
      <c r="A2476" s="26" t="s">
        <v>2514</v>
      </c>
      <c r="B2476" s="26"/>
      <c r="C2476" s="26"/>
    </row>
    <row r="2477" spans="1:3" ht="11.25" customHeight="1" x14ac:dyDescent="0.2">
      <c r="A2477" s="26" t="s">
        <v>2515</v>
      </c>
      <c r="B2477" s="26"/>
      <c r="C2477" s="26"/>
    </row>
    <row r="2478" spans="1:3" ht="11.25" customHeight="1" x14ac:dyDescent="0.2">
      <c r="A2478" s="26" t="s">
        <v>2516</v>
      </c>
      <c r="B2478" s="26"/>
      <c r="C2478" s="26"/>
    </row>
    <row r="2479" spans="1:3" ht="11.25" customHeight="1" x14ac:dyDescent="0.2">
      <c r="A2479" s="26" t="s">
        <v>2517</v>
      </c>
      <c r="B2479" s="26"/>
      <c r="C2479" s="26"/>
    </row>
    <row r="2480" spans="1:3" ht="11.25" customHeight="1" x14ac:dyDescent="0.2">
      <c r="A2480" s="26" t="s">
        <v>2518</v>
      </c>
      <c r="B2480" s="26"/>
      <c r="C2480" s="26"/>
    </row>
    <row r="2481" spans="1:3" ht="11.25" customHeight="1" x14ac:dyDescent="0.2">
      <c r="A2481" s="26" t="s">
        <v>2519</v>
      </c>
      <c r="B2481" s="26"/>
      <c r="C2481" s="26"/>
    </row>
    <row r="2482" spans="1:3" ht="11.25" customHeight="1" x14ac:dyDescent="0.2">
      <c r="A2482" s="26" t="s">
        <v>2520</v>
      </c>
      <c r="B2482" s="26"/>
      <c r="C2482" s="26"/>
    </row>
    <row r="2483" spans="1:3" ht="11.25" customHeight="1" x14ac:dyDescent="0.2">
      <c r="A2483" s="26" t="s">
        <v>2521</v>
      </c>
      <c r="B2483" s="26"/>
      <c r="C2483" s="26"/>
    </row>
    <row r="2484" spans="1:3" ht="11.25" customHeight="1" x14ac:dyDescent="0.2">
      <c r="A2484" s="26" t="s">
        <v>2522</v>
      </c>
      <c r="B2484" s="26"/>
      <c r="C2484" s="26"/>
    </row>
    <row r="2485" spans="1:3" ht="11.25" customHeight="1" x14ac:dyDescent="0.2">
      <c r="A2485" s="26" t="s">
        <v>2523</v>
      </c>
      <c r="B2485" s="26"/>
      <c r="C2485" s="26"/>
    </row>
    <row r="2486" spans="1:3" ht="11.25" customHeight="1" x14ac:dyDescent="0.2">
      <c r="A2486" s="26" t="s">
        <v>2524</v>
      </c>
      <c r="B2486" s="26"/>
      <c r="C2486" s="26"/>
    </row>
    <row r="2487" spans="1:3" ht="11.25" customHeight="1" x14ac:dyDescent="0.2">
      <c r="A2487" s="26" t="s">
        <v>2525</v>
      </c>
      <c r="B2487" s="26"/>
      <c r="C2487" s="26"/>
    </row>
    <row r="2488" spans="1:3" ht="11.25" customHeight="1" x14ac:dyDescent="0.2">
      <c r="A2488" s="26" t="s">
        <v>2526</v>
      </c>
      <c r="B2488" s="26"/>
      <c r="C2488" s="26"/>
    </row>
    <row r="2489" spans="1:3" ht="11.25" customHeight="1" x14ac:dyDescent="0.2">
      <c r="A2489" s="26" t="s">
        <v>2527</v>
      </c>
      <c r="B2489" s="26"/>
      <c r="C2489" s="26"/>
    </row>
    <row r="2490" spans="1:3" ht="11.25" customHeight="1" x14ac:dyDescent="0.2">
      <c r="A2490" s="26" t="s">
        <v>2528</v>
      </c>
      <c r="B2490" s="26"/>
      <c r="C2490" s="26"/>
    </row>
    <row r="2491" spans="1:3" ht="11.25" customHeight="1" x14ac:dyDescent="0.2">
      <c r="A2491" s="26" t="s">
        <v>2529</v>
      </c>
      <c r="B2491" s="26"/>
      <c r="C2491" s="26"/>
    </row>
    <row r="2492" spans="1:3" ht="11.25" customHeight="1" x14ac:dyDescent="0.2">
      <c r="A2492" s="26" t="s">
        <v>2530</v>
      </c>
      <c r="B2492" s="26"/>
      <c r="C2492" s="26"/>
    </row>
    <row r="2493" spans="1:3" ht="11.25" customHeight="1" x14ac:dyDescent="0.2">
      <c r="A2493" s="26" t="s">
        <v>2531</v>
      </c>
      <c r="B2493" s="26"/>
      <c r="C2493" s="26"/>
    </row>
    <row r="2494" spans="1:3" ht="11.25" customHeight="1" x14ac:dyDescent="0.2">
      <c r="A2494" s="26" t="s">
        <v>2532</v>
      </c>
      <c r="B2494" s="26"/>
      <c r="C2494" s="26"/>
    </row>
    <row r="2495" spans="1:3" ht="11.25" customHeight="1" x14ac:dyDescent="0.2">
      <c r="A2495" s="26" t="s">
        <v>2533</v>
      </c>
      <c r="B2495" s="26"/>
      <c r="C2495" s="26"/>
    </row>
    <row r="2496" spans="1:3" ht="11.25" customHeight="1" x14ac:dyDescent="0.2">
      <c r="A2496" s="26" t="s">
        <v>2534</v>
      </c>
      <c r="B2496" s="26"/>
      <c r="C2496" s="26"/>
    </row>
    <row r="2497" spans="1:3" ht="11.25" customHeight="1" x14ac:dyDescent="0.2">
      <c r="A2497" s="26" t="s">
        <v>2535</v>
      </c>
      <c r="B2497" s="26"/>
      <c r="C2497" s="26"/>
    </row>
    <row r="2498" spans="1:3" ht="11.25" customHeight="1" x14ac:dyDescent="0.2">
      <c r="A2498" s="26" t="s">
        <v>2536</v>
      </c>
      <c r="B2498" s="26"/>
      <c r="C2498" s="26"/>
    </row>
    <row r="2499" spans="1:3" ht="11.25" customHeight="1" x14ac:dyDescent="0.2">
      <c r="A2499" s="26" t="s">
        <v>2537</v>
      </c>
      <c r="B2499" s="26"/>
      <c r="C2499" s="26"/>
    </row>
    <row r="2500" spans="1:3" ht="11.25" customHeight="1" x14ac:dyDescent="0.2">
      <c r="A2500" s="26" t="s">
        <v>2538</v>
      </c>
      <c r="B2500" s="26"/>
      <c r="C2500" s="26"/>
    </row>
    <row r="2501" spans="1:3" ht="11.25" customHeight="1" x14ac:dyDescent="0.2">
      <c r="A2501" s="26" t="s">
        <v>2539</v>
      </c>
      <c r="B2501" s="26"/>
      <c r="C2501" s="26"/>
    </row>
    <row r="2502" spans="1:3" ht="11.25" customHeight="1" x14ac:dyDescent="0.2">
      <c r="A2502" s="26" t="s">
        <v>2540</v>
      </c>
      <c r="B2502" s="26"/>
      <c r="C2502" s="26"/>
    </row>
    <row r="2503" spans="1:3" ht="11.25" customHeight="1" x14ac:dyDescent="0.2">
      <c r="A2503" s="26" t="s">
        <v>2541</v>
      </c>
      <c r="B2503" s="26"/>
      <c r="C2503" s="26"/>
    </row>
    <row r="2504" spans="1:3" ht="11.25" customHeight="1" x14ac:dyDescent="0.2">
      <c r="A2504" s="26" t="s">
        <v>2542</v>
      </c>
      <c r="B2504" s="26"/>
      <c r="C2504" s="26"/>
    </row>
    <row r="2505" spans="1:3" ht="11.25" customHeight="1" x14ac:dyDescent="0.2">
      <c r="A2505" s="26" t="s">
        <v>2543</v>
      </c>
      <c r="B2505" s="26"/>
      <c r="C2505" s="26"/>
    </row>
    <row r="2506" spans="1:3" ht="11.25" customHeight="1" x14ac:dyDescent="0.2">
      <c r="A2506" s="26" t="s">
        <v>2544</v>
      </c>
      <c r="B2506" s="26"/>
      <c r="C2506" s="26"/>
    </row>
    <row r="2507" spans="1:3" ht="11.25" customHeight="1" x14ac:dyDescent="0.2">
      <c r="A2507" s="26" t="s">
        <v>2545</v>
      </c>
      <c r="B2507" s="26"/>
      <c r="C2507" s="26"/>
    </row>
    <row r="2508" spans="1:3" ht="11.25" customHeight="1" x14ac:dyDescent="0.2">
      <c r="A2508" s="26" t="s">
        <v>2546</v>
      </c>
      <c r="B2508" s="26"/>
      <c r="C2508" s="26"/>
    </row>
    <row r="2509" spans="1:3" ht="11.25" customHeight="1" x14ac:dyDescent="0.2">
      <c r="A2509" s="26" t="s">
        <v>2547</v>
      </c>
      <c r="B2509" s="26"/>
      <c r="C2509" s="26"/>
    </row>
    <row r="2510" spans="1:3" ht="11.25" customHeight="1" x14ac:dyDescent="0.2">
      <c r="A2510" s="26" t="s">
        <v>2548</v>
      </c>
      <c r="B2510" s="26"/>
      <c r="C2510" s="26"/>
    </row>
    <row r="2511" spans="1:3" ht="11.25" customHeight="1" x14ac:dyDescent="0.2">
      <c r="A2511" s="26" t="s">
        <v>2549</v>
      </c>
      <c r="B2511" s="26"/>
      <c r="C2511" s="26"/>
    </row>
    <row r="2512" spans="1:3" ht="11.25" customHeight="1" x14ac:dyDescent="0.2">
      <c r="A2512" s="26" t="s">
        <v>2550</v>
      </c>
      <c r="B2512" s="26"/>
      <c r="C2512" s="26"/>
    </row>
    <row r="2513" spans="1:3" ht="11.25" customHeight="1" x14ac:dyDescent="0.2">
      <c r="A2513" s="26" t="s">
        <v>2551</v>
      </c>
      <c r="B2513" s="26"/>
      <c r="C2513" s="26"/>
    </row>
    <row r="2514" spans="1:3" ht="11.25" customHeight="1" x14ac:dyDescent="0.2">
      <c r="A2514" s="26" t="s">
        <v>2552</v>
      </c>
      <c r="B2514" s="26"/>
      <c r="C2514" s="26"/>
    </row>
    <row r="2515" spans="1:3" ht="11.25" customHeight="1" x14ac:dyDescent="0.2">
      <c r="A2515" s="26" t="s">
        <v>2553</v>
      </c>
      <c r="B2515" s="26"/>
      <c r="C2515" s="26"/>
    </row>
    <row r="2516" spans="1:3" ht="11.25" customHeight="1" x14ac:dyDescent="0.2">
      <c r="A2516" s="26" t="s">
        <v>2554</v>
      </c>
      <c r="B2516" s="26"/>
      <c r="C2516" s="26"/>
    </row>
    <row r="2517" spans="1:3" ht="11.25" customHeight="1" x14ac:dyDescent="0.2">
      <c r="A2517" s="26" t="s">
        <v>2555</v>
      </c>
      <c r="B2517" s="26"/>
      <c r="C2517" s="26"/>
    </row>
    <row r="2518" spans="1:3" ht="11.25" customHeight="1" x14ac:dyDescent="0.2">
      <c r="A2518" s="26" t="s">
        <v>2556</v>
      </c>
      <c r="B2518" s="26"/>
      <c r="C2518" s="26"/>
    </row>
    <row r="2519" spans="1:3" ht="11.25" customHeight="1" x14ac:dyDescent="0.2">
      <c r="A2519" s="26" t="s">
        <v>2557</v>
      </c>
      <c r="B2519" s="26"/>
      <c r="C2519" s="26"/>
    </row>
    <row r="2520" spans="1:3" ht="11.25" customHeight="1" x14ac:dyDescent="0.2">
      <c r="A2520" s="26" t="s">
        <v>2558</v>
      </c>
      <c r="B2520" s="26"/>
      <c r="C2520" s="26"/>
    </row>
    <row r="2521" spans="1:3" ht="11.25" customHeight="1" x14ac:dyDescent="0.2">
      <c r="A2521" s="26" t="s">
        <v>2559</v>
      </c>
      <c r="B2521" s="26"/>
      <c r="C2521" s="26"/>
    </row>
    <row r="2522" spans="1:3" ht="11.25" customHeight="1" x14ac:dyDescent="0.2">
      <c r="A2522" s="26" t="s">
        <v>2560</v>
      </c>
      <c r="B2522" s="26"/>
      <c r="C2522" s="26"/>
    </row>
    <row r="2523" spans="1:3" ht="11.25" customHeight="1" x14ac:dyDescent="0.2">
      <c r="A2523" s="26" t="s">
        <v>2561</v>
      </c>
      <c r="B2523" s="26"/>
      <c r="C2523" s="26"/>
    </row>
    <row r="2524" spans="1:3" ht="11.25" customHeight="1" x14ac:dyDescent="0.2">
      <c r="A2524" s="26" t="s">
        <v>2562</v>
      </c>
      <c r="B2524" s="26"/>
      <c r="C2524" s="26"/>
    </row>
    <row r="2525" spans="1:3" ht="11.25" customHeight="1" x14ac:dyDescent="0.2">
      <c r="A2525" s="26" t="s">
        <v>2563</v>
      </c>
      <c r="B2525" s="26"/>
      <c r="C2525" s="26"/>
    </row>
    <row r="2526" spans="1:3" ht="11.25" customHeight="1" x14ac:dyDescent="0.2">
      <c r="A2526" s="26" t="s">
        <v>2564</v>
      </c>
      <c r="B2526" s="26"/>
      <c r="C2526" s="26"/>
    </row>
    <row r="2527" spans="1:3" ht="11.25" customHeight="1" x14ac:dyDescent="0.2">
      <c r="A2527" s="26" t="s">
        <v>2565</v>
      </c>
      <c r="B2527" s="26"/>
      <c r="C2527" s="26"/>
    </row>
    <row r="2528" spans="1:3" ht="11.25" customHeight="1" x14ac:dyDescent="0.2">
      <c r="A2528" s="26" t="s">
        <v>2566</v>
      </c>
      <c r="B2528" s="26"/>
      <c r="C2528" s="26"/>
    </row>
    <row r="2529" spans="1:3" ht="11.25" customHeight="1" x14ac:dyDescent="0.2">
      <c r="A2529" s="26" t="s">
        <v>2567</v>
      </c>
      <c r="B2529" s="26"/>
      <c r="C2529" s="26"/>
    </row>
    <row r="2530" spans="1:3" ht="11.25" customHeight="1" x14ac:dyDescent="0.2">
      <c r="A2530" s="26" t="s">
        <v>2568</v>
      </c>
      <c r="B2530" s="26"/>
      <c r="C2530" s="26"/>
    </row>
    <row r="2531" spans="1:3" ht="11.25" customHeight="1" x14ac:dyDescent="0.2">
      <c r="A2531" s="26" t="s">
        <v>2569</v>
      </c>
      <c r="B2531" s="26"/>
      <c r="C2531" s="26"/>
    </row>
    <row r="2532" spans="1:3" ht="11.25" customHeight="1" x14ac:dyDescent="0.2">
      <c r="A2532" s="26" t="s">
        <v>2570</v>
      </c>
      <c r="B2532" s="26"/>
      <c r="C2532" s="26"/>
    </row>
    <row r="2533" spans="1:3" ht="11.25" customHeight="1" x14ac:dyDescent="0.2">
      <c r="A2533" s="26" t="s">
        <v>2571</v>
      </c>
      <c r="B2533" s="26"/>
      <c r="C2533" s="26"/>
    </row>
    <row r="2534" spans="1:3" ht="11.25" customHeight="1" x14ac:dyDescent="0.2">
      <c r="A2534" s="26" t="s">
        <v>2572</v>
      </c>
      <c r="B2534" s="26"/>
      <c r="C2534" s="26"/>
    </row>
    <row r="2535" spans="1:3" ht="11.25" customHeight="1" x14ac:dyDescent="0.2">
      <c r="A2535" s="26" t="s">
        <v>2573</v>
      </c>
      <c r="B2535" s="26"/>
      <c r="C2535" s="26"/>
    </row>
    <row r="2536" spans="1:3" ht="11.25" customHeight="1" x14ac:dyDescent="0.2">
      <c r="A2536" s="26" t="s">
        <v>2574</v>
      </c>
      <c r="B2536" s="26"/>
      <c r="C2536" s="26"/>
    </row>
    <row r="2537" spans="1:3" ht="11.25" customHeight="1" x14ac:dyDescent="0.2">
      <c r="A2537" s="26" t="s">
        <v>2575</v>
      </c>
      <c r="B2537" s="26"/>
      <c r="C2537" s="26"/>
    </row>
    <row r="2538" spans="1:3" ht="11.25" customHeight="1" x14ac:dyDescent="0.2">
      <c r="A2538" s="26" t="s">
        <v>2576</v>
      </c>
      <c r="B2538" s="26"/>
      <c r="C2538" s="26"/>
    </row>
    <row r="2539" spans="1:3" ht="11.25" customHeight="1" x14ac:dyDescent="0.2">
      <c r="A2539" s="26" t="s">
        <v>2577</v>
      </c>
      <c r="B2539" s="26"/>
      <c r="C2539" s="26"/>
    </row>
    <row r="2540" spans="1:3" ht="11.25" customHeight="1" x14ac:dyDescent="0.2">
      <c r="A2540" s="26" t="s">
        <v>2578</v>
      </c>
      <c r="B2540" s="26"/>
      <c r="C2540" s="26"/>
    </row>
    <row r="2541" spans="1:3" ht="11.25" customHeight="1" x14ac:dyDescent="0.2">
      <c r="A2541" s="26" t="s">
        <v>2579</v>
      </c>
      <c r="B2541" s="26"/>
      <c r="C2541" s="26"/>
    </row>
    <row r="2542" spans="1:3" ht="11.25" customHeight="1" x14ac:dyDescent="0.2">
      <c r="A2542" s="26" t="s">
        <v>2580</v>
      </c>
      <c r="B2542" s="26"/>
      <c r="C2542" s="26"/>
    </row>
    <row r="2543" spans="1:3" ht="11.25" customHeight="1" x14ac:dyDescent="0.2">
      <c r="A2543" s="26" t="s">
        <v>2581</v>
      </c>
      <c r="B2543" s="26"/>
      <c r="C2543" s="26"/>
    </row>
    <row r="2544" spans="1:3" ht="11.25" customHeight="1" x14ac:dyDescent="0.2">
      <c r="A2544" s="26" t="s">
        <v>2582</v>
      </c>
      <c r="B2544" s="26"/>
      <c r="C2544" s="26"/>
    </row>
    <row r="2545" spans="1:3" ht="11.25" customHeight="1" x14ac:dyDescent="0.2">
      <c r="A2545" s="26" t="s">
        <v>2583</v>
      </c>
      <c r="B2545" s="26"/>
      <c r="C2545" s="26"/>
    </row>
    <row r="2546" spans="1:3" ht="11.25" customHeight="1" x14ac:dyDescent="0.2">
      <c r="A2546" s="26" t="s">
        <v>2584</v>
      </c>
      <c r="B2546" s="26"/>
      <c r="C2546" s="26"/>
    </row>
    <row r="2547" spans="1:3" ht="11.25" customHeight="1" x14ac:dyDescent="0.2">
      <c r="A2547" s="26" t="s">
        <v>2585</v>
      </c>
      <c r="B2547" s="26"/>
      <c r="C2547" s="26"/>
    </row>
    <row r="2548" spans="1:3" ht="11.25" customHeight="1" x14ac:dyDescent="0.2">
      <c r="A2548" s="26" t="s">
        <v>2586</v>
      </c>
      <c r="B2548" s="26"/>
      <c r="C2548" s="26"/>
    </row>
    <row r="2549" spans="1:3" ht="11.25" customHeight="1" x14ac:dyDescent="0.2">
      <c r="A2549" s="26" t="s">
        <v>2587</v>
      </c>
      <c r="B2549" s="26"/>
      <c r="C2549" s="26"/>
    </row>
    <row r="2550" spans="1:3" ht="11.25" customHeight="1" x14ac:dyDescent="0.2">
      <c r="A2550" s="26" t="s">
        <v>2588</v>
      </c>
      <c r="B2550" s="26"/>
      <c r="C2550" s="26"/>
    </row>
    <row r="2551" spans="1:3" ht="11.25" customHeight="1" x14ac:dyDescent="0.2">
      <c r="A2551" s="26" t="s">
        <v>2589</v>
      </c>
      <c r="B2551" s="26"/>
      <c r="C2551" s="26"/>
    </row>
    <row r="2552" spans="1:3" ht="11.25" customHeight="1" x14ac:dyDescent="0.2">
      <c r="A2552" s="26" t="s">
        <v>2590</v>
      </c>
      <c r="B2552" s="26"/>
      <c r="C2552" s="26"/>
    </row>
    <row r="2553" spans="1:3" ht="11.25" customHeight="1" x14ac:dyDescent="0.2">
      <c r="A2553" s="26" t="s">
        <v>2591</v>
      </c>
      <c r="B2553" s="26"/>
      <c r="C2553" s="26"/>
    </row>
    <row r="2554" spans="1:3" ht="11.25" customHeight="1" x14ac:dyDescent="0.2">
      <c r="A2554" s="26" t="s">
        <v>2592</v>
      </c>
      <c r="B2554" s="26"/>
      <c r="C2554" s="26"/>
    </row>
    <row r="2555" spans="1:3" ht="11.25" customHeight="1" x14ac:dyDescent="0.2">
      <c r="A2555" s="26" t="s">
        <v>2593</v>
      </c>
      <c r="B2555" s="26"/>
      <c r="C2555" s="26"/>
    </row>
    <row r="2556" spans="1:3" ht="11.25" customHeight="1" x14ac:dyDescent="0.2">
      <c r="A2556" s="26" t="s">
        <v>2594</v>
      </c>
      <c r="B2556" s="26"/>
      <c r="C2556" s="26"/>
    </row>
    <row r="2557" spans="1:3" ht="11.25" customHeight="1" x14ac:dyDescent="0.2">
      <c r="A2557" s="26" t="s">
        <v>2595</v>
      </c>
      <c r="B2557" s="26"/>
      <c r="C2557" s="26"/>
    </row>
    <row r="2558" spans="1:3" ht="11.25" customHeight="1" x14ac:dyDescent="0.2">
      <c r="A2558" s="26" t="s">
        <v>2596</v>
      </c>
      <c r="B2558" s="26"/>
      <c r="C2558" s="26"/>
    </row>
    <row r="2559" spans="1:3" ht="11.25" customHeight="1" x14ac:dyDescent="0.2">
      <c r="A2559" s="26" t="s">
        <v>2597</v>
      </c>
      <c r="B2559" s="26"/>
      <c r="C2559" s="26"/>
    </row>
    <row r="2560" spans="1:3" ht="11.25" customHeight="1" x14ac:dyDescent="0.2">
      <c r="A2560" s="26" t="s">
        <v>2598</v>
      </c>
      <c r="B2560" s="26"/>
      <c r="C2560" s="26"/>
    </row>
    <row r="2561" spans="1:3" ht="11.25" customHeight="1" x14ac:dyDescent="0.2">
      <c r="A2561" s="26" t="s">
        <v>2599</v>
      </c>
      <c r="B2561" s="26"/>
      <c r="C2561" s="26"/>
    </row>
    <row r="2562" spans="1:3" ht="11.25" customHeight="1" x14ac:dyDescent="0.2">
      <c r="A2562" s="26" t="s">
        <v>2600</v>
      </c>
      <c r="B2562" s="26"/>
      <c r="C2562" s="26"/>
    </row>
    <row r="2563" spans="1:3" ht="11.25" customHeight="1" x14ac:dyDescent="0.2">
      <c r="A2563" s="26" t="s">
        <v>2601</v>
      </c>
      <c r="B2563" s="26"/>
      <c r="C2563" s="26"/>
    </row>
    <row r="2564" spans="1:3" ht="11.25" customHeight="1" x14ac:dyDescent="0.2">
      <c r="A2564" s="26" t="s">
        <v>2602</v>
      </c>
      <c r="B2564" s="26"/>
      <c r="C2564" s="26"/>
    </row>
    <row r="2565" spans="1:3" ht="11.25" customHeight="1" x14ac:dyDescent="0.2">
      <c r="A2565" s="26" t="s">
        <v>2603</v>
      </c>
      <c r="B2565" s="26"/>
      <c r="C2565" s="26"/>
    </row>
    <row r="2566" spans="1:3" ht="11.25" customHeight="1" x14ac:dyDescent="0.2">
      <c r="A2566" s="26" t="s">
        <v>2604</v>
      </c>
      <c r="B2566" s="26"/>
      <c r="C2566" s="26"/>
    </row>
    <row r="2567" spans="1:3" ht="11.25" customHeight="1" x14ac:dyDescent="0.2">
      <c r="A2567" s="26" t="s">
        <v>2605</v>
      </c>
      <c r="B2567" s="26"/>
      <c r="C2567" s="26"/>
    </row>
    <row r="2568" spans="1:3" ht="11.25" customHeight="1" x14ac:dyDescent="0.2">
      <c r="A2568" s="26" t="s">
        <v>2606</v>
      </c>
      <c r="B2568" s="26"/>
      <c r="C2568" s="26"/>
    </row>
    <row r="2569" spans="1:3" ht="11.25" customHeight="1" x14ac:dyDescent="0.2">
      <c r="A2569" s="26" t="s">
        <v>2607</v>
      </c>
      <c r="B2569" s="26"/>
      <c r="C2569" s="26"/>
    </row>
    <row r="2570" spans="1:3" ht="11.25" customHeight="1" x14ac:dyDescent="0.2">
      <c r="A2570" s="26" t="s">
        <v>2608</v>
      </c>
      <c r="B2570" s="26"/>
      <c r="C2570" s="26"/>
    </row>
    <row r="2571" spans="1:3" ht="11.25" customHeight="1" x14ac:dyDescent="0.2">
      <c r="A2571" s="26" t="s">
        <v>2609</v>
      </c>
      <c r="B2571" s="26"/>
      <c r="C2571" s="26"/>
    </row>
    <row r="2572" spans="1:3" ht="11.25" customHeight="1" x14ac:dyDescent="0.2">
      <c r="A2572" s="26" t="s">
        <v>2610</v>
      </c>
      <c r="B2572" s="26"/>
      <c r="C2572" s="26"/>
    </row>
    <row r="2573" spans="1:3" ht="11.25" customHeight="1" x14ac:dyDescent="0.2">
      <c r="A2573" s="26" t="s">
        <v>2611</v>
      </c>
      <c r="B2573" s="26"/>
      <c r="C2573" s="26"/>
    </row>
    <row r="2574" spans="1:3" ht="11.25" customHeight="1" x14ac:dyDescent="0.2">
      <c r="A2574" s="26" t="s">
        <v>2612</v>
      </c>
      <c r="B2574" s="26"/>
      <c r="C2574" s="26"/>
    </row>
    <row r="2575" spans="1:3" ht="11.25" customHeight="1" x14ac:dyDescent="0.2">
      <c r="A2575" s="26" t="s">
        <v>2613</v>
      </c>
      <c r="B2575" s="26"/>
      <c r="C2575" s="26"/>
    </row>
    <row r="2576" spans="1:3" ht="11.25" customHeight="1" x14ac:dyDescent="0.2">
      <c r="A2576" s="26" t="s">
        <v>2614</v>
      </c>
      <c r="B2576" s="26"/>
      <c r="C2576" s="26"/>
    </row>
    <row r="2577" spans="1:3" ht="11.25" customHeight="1" x14ac:dyDescent="0.2">
      <c r="A2577" s="26" t="s">
        <v>2615</v>
      </c>
      <c r="B2577" s="26"/>
      <c r="C2577" s="26"/>
    </row>
    <row r="2578" spans="1:3" ht="11.25" customHeight="1" x14ac:dyDescent="0.2">
      <c r="A2578" s="26" t="s">
        <v>2616</v>
      </c>
      <c r="B2578" s="26"/>
      <c r="C2578" s="26"/>
    </row>
    <row r="2579" spans="1:3" ht="11.25" customHeight="1" x14ac:dyDescent="0.2">
      <c r="A2579" s="26" t="s">
        <v>2617</v>
      </c>
      <c r="B2579" s="26"/>
      <c r="C2579" s="26"/>
    </row>
    <row r="2580" spans="1:3" ht="11.25" customHeight="1" x14ac:dyDescent="0.2">
      <c r="A2580" s="26" t="s">
        <v>2618</v>
      </c>
      <c r="B2580" s="26"/>
      <c r="C2580" s="26"/>
    </row>
    <row r="2581" spans="1:3" ht="11.25" customHeight="1" x14ac:dyDescent="0.2">
      <c r="A2581" s="26" t="s">
        <v>2619</v>
      </c>
      <c r="B2581" s="26"/>
      <c r="C2581" s="26"/>
    </row>
    <row r="2582" spans="1:3" ht="11.25" customHeight="1" x14ac:dyDescent="0.2">
      <c r="A2582" s="26" t="s">
        <v>2620</v>
      </c>
      <c r="B2582" s="26"/>
      <c r="C2582" s="26"/>
    </row>
    <row r="2583" spans="1:3" ht="11.25" customHeight="1" x14ac:dyDescent="0.2">
      <c r="A2583" s="26" t="s">
        <v>2621</v>
      </c>
      <c r="B2583" s="26"/>
      <c r="C2583" s="26"/>
    </row>
    <row r="2584" spans="1:3" ht="11.25" customHeight="1" x14ac:dyDescent="0.2">
      <c r="A2584" s="26" t="s">
        <v>2622</v>
      </c>
      <c r="B2584" s="26"/>
      <c r="C2584" s="26"/>
    </row>
    <row r="2585" spans="1:3" ht="11.25" customHeight="1" x14ac:dyDescent="0.2">
      <c r="A2585" s="26" t="s">
        <v>2623</v>
      </c>
      <c r="B2585" s="26"/>
      <c r="C2585" s="26"/>
    </row>
    <row r="2586" spans="1:3" ht="11.25" customHeight="1" x14ac:dyDescent="0.2">
      <c r="A2586" s="26" t="s">
        <v>2624</v>
      </c>
      <c r="B2586" s="26"/>
      <c r="C2586" s="26"/>
    </row>
    <row r="2587" spans="1:3" ht="11.25" customHeight="1" x14ac:dyDescent="0.2">
      <c r="A2587" s="26" t="s">
        <v>2625</v>
      </c>
      <c r="B2587" s="26"/>
      <c r="C2587" s="26"/>
    </row>
    <row r="2588" spans="1:3" ht="11.25" customHeight="1" x14ac:dyDescent="0.2">
      <c r="A2588" s="26" t="s">
        <v>2626</v>
      </c>
      <c r="B2588" s="26"/>
      <c r="C2588" s="26"/>
    </row>
    <row r="2589" spans="1:3" ht="11.25" customHeight="1" x14ac:dyDescent="0.2">
      <c r="A2589" s="26" t="s">
        <v>2627</v>
      </c>
      <c r="B2589" s="26"/>
      <c r="C2589" s="26"/>
    </row>
    <row r="2590" spans="1:3" ht="11.25" customHeight="1" x14ac:dyDescent="0.2">
      <c r="A2590" s="26" t="s">
        <v>2628</v>
      </c>
      <c r="B2590" s="26"/>
      <c r="C2590" s="26"/>
    </row>
    <row r="2591" spans="1:3" ht="11.25" customHeight="1" x14ac:dyDescent="0.2">
      <c r="A2591" s="26" t="s">
        <v>2629</v>
      </c>
      <c r="B2591" s="26"/>
      <c r="C2591" s="26"/>
    </row>
    <row r="2592" spans="1:3" ht="11.25" customHeight="1" x14ac:dyDescent="0.2">
      <c r="A2592" s="26" t="s">
        <v>2630</v>
      </c>
      <c r="B2592" s="26"/>
      <c r="C2592" s="26"/>
    </row>
    <row r="2593" spans="1:3" ht="11.25" customHeight="1" x14ac:dyDescent="0.2">
      <c r="A2593" s="26" t="s">
        <v>2631</v>
      </c>
      <c r="B2593" s="26"/>
      <c r="C2593" s="26"/>
    </row>
    <row r="2594" spans="1:3" ht="11.25" customHeight="1" x14ac:dyDescent="0.2">
      <c r="A2594" s="26" t="s">
        <v>2632</v>
      </c>
      <c r="B2594" s="26"/>
      <c r="C2594" s="26"/>
    </row>
    <row r="2595" spans="1:3" ht="11.25" customHeight="1" x14ac:dyDescent="0.2">
      <c r="A2595" s="26" t="s">
        <v>2633</v>
      </c>
      <c r="B2595" s="26"/>
      <c r="C2595" s="26"/>
    </row>
    <row r="2596" spans="1:3" ht="11.25" customHeight="1" x14ac:dyDescent="0.2">
      <c r="A2596" s="26" t="s">
        <v>2634</v>
      </c>
      <c r="B2596" s="26"/>
      <c r="C2596" s="26"/>
    </row>
    <row r="2597" spans="1:3" ht="11.25" customHeight="1" x14ac:dyDescent="0.2">
      <c r="A2597" s="26" t="s">
        <v>2635</v>
      </c>
      <c r="B2597" s="26"/>
      <c r="C2597" s="26"/>
    </row>
    <row r="2598" spans="1:3" ht="11.25" customHeight="1" x14ac:dyDescent="0.2">
      <c r="A2598" s="26" t="s">
        <v>2636</v>
      </c>
      <c r="B2598" s="26"/>
      <c r="C2598" s="26"/>
    </row>
    <row r="2599" spans="1:3" ht="11.25" customHeight="1" x14ac:dyDescent="0.2">
      <c r="A2599" s="26" t="s">
        <v>2637</v>
      </c>
      <c r="B2599" s="26"/>
      <c r="C2599" s="26"/>
    </row>
    <row r="2600" spans="1:3" ht="11.25" customHeight="1" x14ac:dyDescent="0.2">
      <c r="A2600" s="26" t="s">
        <v>2638</v>
      </c>
      <c r="B2600" s="26"/>
      <c r="C2600" s="26"/>
    </row>
    <row r="2601" spans="1:3" ht="11.25" customHeight="1" x14ac:dyDescent="0.2">
      <c r="A2601" s="26" t="s">
        <v>2639</v>
      </c>
      <c r="B2601" s="26"/>
      <c r="C2601" s="26"/>
    </row>
    <row r="2602" spans="1:3" ht="11.25" customHeight="1" x14ac:dyDescent="0.2">
      <c r="A2602" s="26" t="s">
        <v>2640</v>
      </c>
      <c r="B2602" s="26"/>
      <c r="C2602" s="26"/>
    </row>
    <row r="2603" spans="1:3" ht="11.25" customHeight="1" x14ac:dyDescent="0.2">
      <c r="A2603" s="26" t="s">
        <v>2641</v>
      </c>
      <c r="B2603" s="26"/>
      <c r="C2603" s="26"/>
    </row>
    <row r="2604" spans="1:3" ht="11.25" customHeight="1" x14ac:dyDescent="0.2">
      <c r="A2604" s="26" t="s">
        <v>2642</v>
      </c>
      <c r="B2604" s="26"/>
      <c r="C2604" s="26"/>
    </row>
    <row r="2605" spans="1:3" ht="11.25" customHeight="1" x14ac:dyDescent="0.2">
      <c r="A2605" s="26" t="s">
        <v>2643</v>
      </c>
      <c r="B2605" s="26"/>
      <c r="C2605" s="26"/>
    </row>
    <row r="2606" spans="1:3" ht="11.25" customHeight="1" x14ac:dyDescent="0.2">
      <c r="A2606" s="26" t="s">
        <v>2644</v>
      </c>
      <c r="B2606" s="26"/>
      <c r="C2606" s="26"/>
    </row>
    <row r="2607" spans="1:3" ht="11.25" customHeight="1" x14ac:dyDescent="0.2">
      <c r="A2607" s="26" t="s">
        <v>2645</v>
      </c>
      <c r="B2607" s="26"/>
      <c r="C2607" s="26"/>
    </row>
    <row r="2608" spans="1:3" ht="11.25" customHeight="1" x14ac:dyDescent="0.2">
      <c r="A2608" s="26" t="s">
        <v>2646</v>
      </c>
      <c r="B2608" s="26"/>
      <c r="C2608" s="26"/>
    </row>
    <row r="2609" spans="1:3" ht="11.25" customHeight="1" x14ac:dyDescent="0.2">
      <c r="A2609" s="26" t="s">
        <v>2647</v>
      </c>
      <c r="B2609" s="26"/>
      <c r="C2609" s="26"/>
    </row>
    <row r="2610" spans="1:3" ht="11.25" customHeight="1" x14ac:dyDescent="0.2">
      <c r="A2610" s="26" t="s">
        <v>2648</v>
      </c>
      <c r="B2610" s="26"/>
      <c r="C2610" s="26"/>
    </row>
    <row r="2611" spans="1:3" ht="11.25" customHeight="1" x14ac:dyDescent="0.2">
      <c r="A2611" s="26" t="s">
        <v>2649</v>
      </c>
      <c r="B2611" s="26"/>
      <c r="C2611" s="26"/>
    </row>
    <row r="2612" spans="1:3" ht="11.25" customHeight="1" x14ac:dyDescent="0.2">
      <c r="A2612" s="26" t="s">
        <v>2650</v>
      </c>
      <c r="B2612" s="26"/>
      <c r="C2612" s="26"/>
    </row>
    <row r="2613" spans="1:3" ht="11.25" customHeight="1" x14ac:dyDescent="0.2">
      <c r="A2613" s="26" t="s">
        <v>2651</v>
      </c>
      <c r="B2613" s="26"/>
      <c r="C2613" s="26"/>
    </row>
    <row r="2614" spans="1:3" ht="11.25" customHeight="1" x14ac:dyDescent="0.2">
      <c r="A2614" s="26" t="s">
        <v>2652</v>
      </c>
      <c r="B2614" s="26"/>
      <c r="C2614" s="26"/>
    </row>
    <row r="2615" spans="1:3" ht="11.25" customHeight="1" x14ac:dyDescent="0.2">
      <c r="A2615" s="26" t="s">
        <v>2653</v>
      </c>
      <c r="B2615" s="26"/>
      <c r="C2615" s="26"/>
    </row>
    <row r="2616" spans="1:3" ht="11.25" customHeight="1" x14ac:dyDescent="0.2">
      <c r="A2616" s="26" t="s">
        <v>2654</v>
      </c>
      <c r="B2616" s="26"/>
      <c r="C2616" s="26"/>
    </row>
    <row r="2617" spans="1:3" ht="11.25" customHeight="1" x14ac:dyDescent="0.2">
      <c r="A2617" s="26" t="s">
        <v>2655</v>
      </c>
      <c r="B2617" s="26"/>
      <c r="C2617" s="26"/>
    </row>
    <row r="2618" spans="1:3" ht="11.25" customHeight="1" x14ac:dyDescent="0.2">
      <c r="A2618" s="26" t="s">
        <v>2656</v>
      </c>
      <c r="B2618" s="26"/>
      <c r="C2618" s="26"/>
    </row>
    <row r="2619" spans="1:3" ht="11.25" customHeight="1" x14ac:dyDescent="0.2">
      <c r="A2619" s="26" t="s">
        <v>2657</v>
      </c>
      <c r="B2619" s="26"/>
      <c r="C2619" s="26"/>
    </row>
    <row r="2620" spans="1:3" ht="11.25" customHeight="1" x14ac:dyDescent="0.2">
      <c r="A2620" s="26" t="s">
        <v>2658</v>
      </c>
      <c r="B2620" s="26"/>
      <c r="C2620" s="26"/>
    </row>
    <row r="2621" spans="1:3" ht="11.25" customHeight="1" x14ac:dyDescent="0.2">
      <c r="A2621" s="26" t="s">
        <v>2659</v>
      </c>
      <c r="B2621" s="26"/>
      <c r="C2621" s="26"/>
    </row>
    <row r="2622" spans="1:3" ht="11.25" customHeight="1" x14ac:dyDescent="0.2">
      <c r="A2622" s="26" t="s">
        <v>2660</v>
      </c>
      <c r="B2622" s="26"/>
      <c r="C2622" s="26"/>
    </row>
    <row r="2623" spans="1:3" ht="11.25" customHeight="1" x14ac:dyDescent="0.2">
      <c r="A2623" s="26" t="s">
        <v>2661</v>
      </c>
      <c r="B2623" s="26"/>
      <c r="C2623" s="26"/>
    </row>
    <row r="2624" spans="1:3" ht="11.25" customHeight="1" x14ac:dyDescent="0.2">
      <c r="A2624" s="26" t="s">
        <v>2662</v>
      </c>
      <c r="B2624" s="26"/>
      <c r="C2624" s="26"/>
    </row>
    <row r="2625" spans="1:3" ht="11.25" customHeight="1" x14ac:dyDescent="0.2">
      <c r="A2625" s="26" t="s">
        <v>2663</v>
      </c>
      <c r="B2625" s="26"/>
      <c r="C2625" s="26"/>
    </row>
    <row r="2626" spans="1:3" ht="11.25" customHeight="1" x14ac:dyDescent="0.2">
      <c r="A2626" s="26" t="s">
        <v>2664</v>
      </c>
      <c r="B2626" s="26"/>
      <c r="C2626" s="26"/>
    </row>
    <row r="2627" spans="1:3" ht="11.25" customHeight="1" x14ac:dyDescent="0.2">
      <c r="A2627" s="26" t="s">
        <v>2665</v>
      </c>
      <c r="B2627" s="26"/>
      <c r="C2627" s="26"/>
    </row>
    <row r="2628" spans="1:3" ht="11.25" customHeight="1" x14ac:dyDescent="0.2">
      <c r="A2628" s="26" t="s">
        <v>2666</v>
      </c>
      <c r="B2628" s="26"/>
      <c r="C2628" s="26"/>
    </row>
    <row r="2629" spans="1:3" ht="11.25" customHeight="1" x14ac:dyDescent="0.2">
      <c r="A2629" s="26" t="s">
        <v>2667</v>
      </c>
      <c r="B2629" s="26"/>
      <c r="C2629" s="26"/>
    </row>
    <row r="2630" spans="1:3" ht="11.25" customHeight="1" x14ac:dyDescent="0.2">
      <c r="A2630" s="26" t="s">
        <v>2668</v>
      </c>
      <c r="B2630" s="26"/>
      <c r="C2630" s="26"/>
    </row>
    <row r="2631" spans="1:3" ht="11.25" customHeight="1" x14ac:dyDescent="0.2">
      <c r="A2631" s="26" t="s">
        <v>2669</v>
      </c>
      <c r="B2631" s="26"/>
      <c r="C2631" s="26"/>
    </row>
    <row r="2632" spans="1:3" ht="11.25" customHeight="1" x14ac:dyDescent="0.2">
      <c r="A2632" s="26" t="s">
        <v>2670</v>
      </c>
      <c r="B2632" s="26"/>
      <c r="C2632" s="26"/>
    </row>
    <row r="2633" spans="1:3" ht="11.25" customHeight="1" x14ac:dyDescent="0.2">
      <c r="A2633" s="26" t="s">
        <v>2671</v>
      </c>
      <c r="B2633" s="26"/>
      <c r="C2633" s="26"/>
    </row>
    <row r="2634" spans="1:3" ht="11.25" customHeight="1" x14ac:dyDescent="0.2">
      <c r="A2634" s="26" t="s">
        <v>2672</v>
      </c>
      <c r="B2634" s="26"/>
      <c r="C2634" s="26"/>
    </row>
    <row r="2635" spans="1:3" ht="11.25" customHeight="1" x14ac:dyDescent="0.2">
      <c r="A2635" s="26" t="s">
        <v>2673</v>
      </c>
      <c r="B2635" s="26"/>
      <c r="C2635" s="26"/>
    </row>
    <row r="2636" spans="1:3" ht="11.25" customHeight="1" x14ac:dyDescent="0.2">
      <c r="A2636" s="26" t="s">
        <v>2674</v>
      </c>
      <c r="B2636" s="26"/>
      <c r="C2636" s="26"/>
    </row>
    <row r="2637" spans="1:3" ht="11.25" customHeight="1" x14ac:dyDescent="0.2">
      <c r="A2637" s="26" t="s">
        <v>2675</v>
      </c>
      <c r="B2637" s="26"/>
      <c r="C2637" s="26"/>
    </row>
    <row r="2638" spans="1:3" ht="11.25" customHeight="1" x14ac:dyDescent="0.2">
      <c r="A2638" s="26" t="s">
        <v>2676</v>
      </c>
      <c r="B2638" s="26"/>
      <c r="C2638" s="26"/>
    </row>
    <row r="2639" spans="1:3" ht="11.25" customHeight="1" x14ac:dyDescent="0.2">
      <c r="A2639" s="26" t="s">
        <v>2677</v>
      </c>
      <c r="B2639" s="26"/>
      <c r="C2639" s="26"/>
    </row>
    <row r="2640" spans="1:3" ht="11.25" customHeight="1" x14ac:dyDescent="0.2">
      <c r="A2640" s="26" t="s">
        <v>2678</v>
      </c>
      <c r="B2640" s="26"/>
      <c r="C2640" s="26"/>
    </row>
    <row r="2641" spans="1:3" ht="11.25" customHeight="1" x14ac:dyDescent="0.2">
      <c r="A2641" s="26" t="s">
        <v>2679</v>
      </c>
      <c r="B2641" s="26"/>
      <c r="C2641" s="26"/>
    </row>
    <row r="2642" spans="1:3" ht="11.25" customHeight="1" x14ac:dyDescent="0.2">
      <c r="A2642" s="26" t="s">
        <v>2680</v>
      </c>
      <c r="B2642" s="26"/>
      <c r="C2642" s="26"/>
    </row>
    <row r="2643" spans="1:3" ht="11.25" customHeight="1" x14ac:dyDescent="0.2">
      <c r="A2643" s="26" t="s">
        <v>2681</v>
      </c>
      <c r="B2643" s="26"/>
      <c r="C2643" s="26"/>
    </row>
    <row r="2644" spans="1:3" ht="11.25" customHeight="1" x14ac:dyDescent="0.2">
      <c r="A2644" s="26" t="s">
        <v>2682</v>
      </c>
      <c r="B2644" s="26"/>
      <c r="C2644" s="26"/>
    </row>
    <row r="2645" spans="1:3" ht="11.25" customHeight="1" x14ac:dyDescent="0.2">
      <c r="A2645" s="26" t="s">
        <v>2683</v>
      </c>
      <c r="B2645" s="26"/>
      <c r="C2645" s="26"/>
    </row>
    <row r="2646" spans="1:3" ht="11.25" customHeight="1" x14ac:dyDescent="0.2">
      <c r="A2646" s="26" t="s">
        <v>2684</v>
      </c>
      <c r="B2646" s="26"/>
      <c r="C2646" s="26"/>
    </row>
    <row r="2647" spans="1:3" ht="11.25" customHeight="1" x14ac:dyDescent="0.2">
      <c r="A2647" s="26" t="s">
        <v>2685</v>
      </c>
      <c r="B2647" s="26"/>
      <c r="C2647" s="26"/>
    </row>
    <row r="2648" spans="1:3" ht="11.25" customHeight="1" x14ac:dyDescent="0.2">
      <c r="A2648" s="26" t="s">
        <v>2686</v>
      </c>
      <c r="B2648" s="26"/>
      <c r="C2648" s="26"/>
    </row>
    <row r="2649" spans="1:3" ht="11.25" customHeight="1" x14ac:dyDescent="0.2">
      <c r="A2649" s="26" t="s">
        <v>2687</v>
      </c>
      <c r="B2649" s="26"/>
      <c r="C2649" s="26"/>
    </row>
    <row r="2650" spans="1:3" ht="11.25" customHeight="1" x14ac:dyDescent="0.2">
      <c r="A2650" s="26" t="s">
        <v>2688</v>
      </c>
      <c r="B2650" s="26"/>
      <c r="C2650" s="26"/>
    </row>
    <row r="2651" spans="1:3" ht="11.25" customHeight="1" x14ac:dyDescent="0.2">
      <c r="A2651" s="26" t="s">
        <v>2689</v>
      </c>
      <c r="B2651" s="26"/>
      <c r="C2651" s="26"/>
    </row>
    <row r="2652" spans="1:3" ht="11.25" customHeight="1" x14ac:dyDescent="0.2">
      <c r="A2652" s="26" t="s">
        <v>2690</v>
      </c>
      <c r="B2652" s="26"/>
      <c r="C2652" s="26"/>
    </row>
    <row r="2653" spans="1:3" ht="11.25" customHeight="1" x14ac:dyDescent="0.2">
      <c r="A2653" s="26" t="s">
        <v>2691</v>
      </c>
      <c r="B2653" s="26"/>
      <c r="C2653" s="26"/>
    </row>
    <row r="2654" spans="1:3" ht="11.25" customHeight="1" x14ac:dyDescent="0.2">
      <c r="A2654" s="26" t="s">
        <v>2692</v>
      </c>
      <c r="B2654" s="26"/>
      <c r="C2654" s="26"/>
    </row>
    <row r="2655" spans="1:3" ht="11.25" customHeight="1" x14ac:dyDescent="0.2">
      <c r="A2655" s="26" t="s">
        <v>2693</v>
      </c>
      <c r="B2655" s="26"/>
      <c r="C2655" s="26"/>
    </row>
    <row r="2656" spans="1:3" ht="11.25" customHeight="1" x14ac:dyDescent="0.2">
      <c r="A2656" s="26" t="s">
        <v>2694</v>
      </c>
      <c r="B2656" s="26"/>
      <c r="C2656" s="26"/>
    </row>
    <row r="2657" spans="1:3" ht="11.25" customHeight="1" x14ac:dyDescent="0.2">
      <c r="A2657" s="26" t="s">
        <v>2695</v>
      </c>
      <c r="B2657" s="26"/>
      <c r="C2657" s="26"/>
    </row>
    <row r="2658" spans="1:3" ht="11.25" customHeight="1" x14ac:dyDescent="0.2">
      <c r="A2658" s="26" t="s">
        <v>2696</v>
      </c>
      <c r="B2658" s="26"/>
      <c r="C2658" s="26"/>
    </row>
    <row r="2659" spans="1:3" ht="11.25" customHeight="1" x14ac:dyDescent="0.2">
      <c r="A2659" s="26" t="s">
        <v>2697</v>
      </c>
      <c r="B2659" s="26"/>
      <c r="C2659" s="26"/>
    </row>
    <row r="2660" spans="1:3" ht="11.25" customHeight="1" x14ac:dyDescent="0.2">
      <c r="A2660" s="26" t="s">
        <v>2698</v>
      </c>
      <c r="B2660" s="26"/>
      <c r="C2660" s="26"/>
    </row>
    <row r="2661" spans="1:3" ht="11.25" customHeight="1" x14ac:dyDescent="0.2">
      <c r="A2661" s="26" t="s">
        <v>2699</v>
      </c>
      <c r="B2661" s="26"/>
      <c r="C2661" s="26"/>
    </row>
    <row r="2662" spans="1:3" ht="11.25" customHeight="1" x14ac:dyDescent="0.2">
      <c r="A2662" s="26" t="s">
        <v>2700</v>
      </c>
      <c r="B2662" s="26"/>
      <c r="C2662" s="26"/>
    </row>
    <row r="2663" spans="1:3" ht="11.25" customHeight="1" x14ac:dyDescent="0.2">
      <c r="A2663" s="26" t="s">
        <v>2701</v>
      </c>
      <c r="B2663" s="26"/>
      <c r="C2663" s="26"/>
    </row>
    <row r="2664" spans="1:3" ht="11.25" customHeight="1" x14ac:dyDescent="0.2">
      <c r="A2664" s="26" t="s">
        <v>2702</v>
      </c>
      <c r="B2664" s="26"/>
      <c r="C2664" s="26"/>
    </row>
    <row r="2665" spans="1:3" ht="11.25" customHeight="1" x14ac:dyDescent="0.2">
      <c r="A2665" s="26" t="s">
        <v>2703</v>
      </c>
      <c r="B2665" s="26"/>
      <c r="C2665" s="26"/>
    </row>
    <row r="2666" spans="1:3" ht="11.25" customHeight="1" x14ac:dyDescent="0.2">
      <c r="A2666" s="26" t="s">
        <v>2704</v>
      </c>
      <c r="B2666" s="26"/>
      <c r="C2666" s="26"/>
    </row>
    <row r="2667" spans="1:3" ht="11.25" customHeight="1" x14ac:dyDescent="0.2">
      <c r="A2667" s="26" t="s">
        <v>2705</v>
      </c>
      <c r="B2667" s="26"/>
      <c r="C2667" s="26"/>
    </row>
    <row r="2668" spans="1:3" ht="11.25" customHeight="1" x14ac:dyDescent="0.2">
      <c r="A2668" s="26" t="s">
        <v>2706</v>
      </c>
      <c r="B2668" s="26"/>
      <c r="C2668" s="26"/>
    </row>
    <row r="2669" spans="1:3" ht="11.25" customHeight="1" x14ac:dyDescent="0.2">
      <c r="A2669" s="26" t="s">
        <v>2707</v>
      </c>
      <c r="B2669" s="26"/>
      <c r="C2669" s="26"/>
    </row>
    <row r="2670" spans="1:3" ht="11.25" customHeight="1" x14ac:dyDescent="0.2">
      <c r="A2670" s="26" t="s">
        <v>2708</v>
      </c>
      <c r="B2670" s="26"/>
      <c r="C2670" s="26"/>
    </row>
    <row r="2671" spans="1:3" ht="11.25" customHeight="1" x14ac:dyDescent="0.2">
      <c r="A2671" s="26" t="s">
        <v>2709</v>
      </c>
      <c r="B2671" s="26"/>
      <c r="C2671" s="26"/>
    </row>
    <row r="2672" spans="1:3" ht="11.25" customHeight="1" x14ac:dyDescent="0.2">
      <c r="A2672" s="26" t="s">
        <v>2710</v>
      </c>
      <c r="B2672" s="26"/>
      <c r="C2672" s="26"/>
    </row>
    <row r="2673" spans="1:3" ht="11.25" customHeight="1" x14ac:dyDescent="0.2">
      <c r="A2673" s="26" t="s">
        <v>2711</v>
      </c>
      <c r="B2673" s="26"/>
      <c r="C2673" s="26"/>
    </row>
    <row r="2674" spans="1:3" ht="11.25" customHeight="1" x14ac:dyDescent="0.2">
      <c r="A2674" s="26" t="s">
        <v>2712</v>
      </c>
      <c r="B2674" s="26"/>
      <c r="C2674" s="26"/>
    </row>
    <row r="2675" spans="1:3" ht="11.25" customHeight="1" x14ac:dyDescent="0.2">
      <c r="A2675" s="26" t="s">
        <v>2713</v>
      </c>
      <c r="B2675" s="26"/>
      <c r="C2675" s="26"/>
    </row>
    <row r="2676" spans="1:3" ht="11.25" customHeight="1" x14ac:dyDescent="0.2">
      <c r="A2676" s="26" t="s">
        <v>2714</v>
      </c>
      <c r="B2676" s="26"/>
      <c r="C2676" s="26"/>
    </row>
    <row r="2677" spans="1:3" ht="11.25" customHeight="1" x14ac:dyDescent="0.2">
      <c r="A2677" s="26" t="s">
        <v>2715</v>
      </c>
      <c r="B2677" s="26"/>
      <c r="C2677" s="26"/>
    </row>
    <row r="2678" spans="1:3" ht="11.25" customHeight="1" x14ac:dyDescent="0.2">
      <c r="A2678" s="26" t="s">
        <v>2716</v>
      </c>
      <c r="B2678" s="26"/>
      <c r="C2678" s="26"/>
    </row>
    <row r="2679" spans="1:3" ht="11.25" customHeight="1" x14ac:dyDescent="0.2">
      <c r="A2679" s="26" t="s">
        <v>2717</v>
      </c>
      <c r="B2679" s="26"/>
      <c r="C2679" s="26"/>
    </row>
    <row r="2680" spans="1:3" ht="11.25" customHeight="1" x14ac:dyDescent="0.2">
      <c r="A2680" s="26" t="s">
        <v>2718</v>
      </c>
      <c r="B2680" s="26"/>
      <c r="C2680" s="26"/>
    </row>
    <row r="2681" spans="1:3" ht="11.25" customHeight="1" x14ac:dyDescent="0.2">
      <c r="A2681" s="26" t="s">
        <v>2719</v>
      </c>
      <c r="B2681" s="26"/>
      <c r="C2681" s="26"/>
    </row>
    <row r="2682" spans="1:3" ht="11.25" customHeight="1" x14ac:dyDescent="0.2">
      <c r="A2682" s="26" t="s">
        <v>2720</v>
      </c>
      <c r="B2682" s="26"/>
      <c r="C2682" s="26"/>
    </row>
    <row r="2683" spans="1:3" ht="11.25" customHeight="1" x14ac:dyDescent="0.2">
      <c r="A2683" s="26" t="s">
        <v>2721</v>
      </c>
      <c r="B2683" s="26"/>
      <c r="C2683" s="26"/>
    </row>
    <row r="2684" spans="1:3" ht="11.25" customHeight="1" x14ac:dyDescent="0.2">
      <c r="A2684" s="26" t="s">
        <v>2722</v>
      </c>
      <c r="B2684" s="26"/>
      <c r="C2684" s="26"/>
    </row>
    <row r="2685" spans="1:3" ht="11.25" customHeight="1" x14ac:dyDescent="0.2">
      <c r="A2685" s="26" t="s">
        <v>2723</v>
      </c>
      <c r="B2685" s="26"/>
      <c r="C2685" s="26"/>
    </row>
    <row r="2686" spans="1:3" ht="11.25" customHeight="1" x14ac:dyDescent="0.2">
      <c r="A2686" s="26" t="s">
        <v>2724</v>
      </c>
      <c r="B2686" s="26"/>
      <c r="C2686" s="26"/>
    </row>
    <row r="2687" spans="1:3" ht="11.25" customHeight="1" x14ac:dyDescent="0.2">
      <c r="A2687" s="26" t="s">
        <v>2725</v>
      </c>
      <c r="B2687" s="26"/>
      <c r="C2687" s="26"/>
    </row>
    <row r="2688" spans="1:3" ht="11.25" customHeight="1" x14ac:dyDescent="0.2">
      <c r="A2688" s="26" t="s">
        <v>2726</v>
      </c>
      <c r="B2688" s="26"/>
      <c r="C2688" s="26"/>
    </row>
    <row r="2689" spans="1:3" ht="11.25" customHeight="1" x14ac:dyDescent="0.2">
      <c r="A2689" s="26" t="s">
        <v>2727</v>
      </c>
      <c r="B2689" s="26"/>
      <c r="C2689" s="26"/>
    </row>
    <row r="2690" spans="1:3" ht="11.25" customHeight="1" x14ac:dyDescent="0.2">
      <c r="A2690" s="26" t="s">
        <v>2728</v>
      </c>
      <c r="B2690" s="26"/>
      <c r="C2690" s="26"/>
    </row>
    <row r="2691" spans="1:3" ht="11.25" customHeight="1" x14ac:dyDescent="0.2">
      <c r="A2691" s="26" t="s">
        <v>2729</v>
      </c>
      <c r="B2691" s="26"/>
      <c r="C2691" s="26"/>
    </row>
    <row r="2692" spans="1:3" ht="11.25" customHeight="1" x14ac:dyDescent="0.2">
      <c r="A2692" s="26" t="s">
        <v>2730</v>
      </c>
      <c r="B2692" s="26"/>
      <c r="C2692" s="26"/>
    </row>
    <row r="2693" spans="1:3" ht="11.25" customHeight="1" x14ac:dyDescent="0.2">
      <c r="A2693" s="26" t="s">
        <v>2731</v>
      </c>
      <c r="B2693" s="26"/>
      <c r="C2693" s="26"/>
    </row>
    <row r="2694" spans="1:3" ht="11.25" customHeight="1" x14ac:dyDescent="0.2">
      <c r="A2694" s="26" t="s">
        <v>2732</v>
      </c>
      <c r="B2694" s="26"/>
      <c r="C2694" s="26"/>
    </row>
    <row r="2695" spans="1:3" ht="11.25" customHeight="1" x14ac:dyDescent="0.2">
      <c r="A2695" s="26" t="s">
        <v>2733</v>
      </c>
      <c r="B2695" s="26"/>
      <c r="C2695" s="26"/>
    </row>
    <row r="2696" spans="1:3" ht="11.25" customHeight="1" x14ac:dyDescent="0.2">
      <c r="A2696" s="26" t="s">
        <v>2734</v>
      </c>
      <c r="B2696" s="26"/>
      <c r="C2696" s="26"/>
    </row>
    <row r="2697" spans="1:3" ht="11.25" customHeight="1" x14ac:dyDescent="0.2">
      <c r="A2697" s="26" t="s">
        <v>2735</v>
      </c>
      <c r="B2697" s="26"/>
      <c r="C2697" s="26"/>
    </row>
    <row r="2698" spans="1:3" ht="11.25" customHeight="1" x14ac:dyDescent="0.2">
      <c r="A2698" s="26" t="s">
        <v>2736</v>
      </c>
      <c r="B2698" s="26"/>
      <c r="C2698" s="26"/>
    </row>
    <row r="2699" spans="1:3" ht="11.25" customHeight="1" x14ac:dyDescent="0.2">
      <c r="A2699" s="26" t="s">
        <v>2737</v>
      </c>
      <c r="B2699" s="26"/>
      <c r="C2699" s="26"/>
    </row>
    <row r="2700" spans="1:3" ht="11.25" customHeight="1" x14ac:dyDescent="0.2">
      <c r="A2700" s="26" t="s">
        <v>2738</v>
      </c>
      <c r="B2700" s="26"/>
      <c r="C2700" s="26"/>
    </row>
    <row r="2701" spans="1:3" ht="11.25" customHeight="1" x14ac:dyDescent="0.2">
      <c r="A2701" s="26" t="s">
        <v>2739</v>
      </c>
      <c r="B2701" s="26"/>
      <c r="C2701" s="26"/>
    </row>
    <row r="2702" spans="1:3" ht="11.25" customHeight="1" x14ac:dyDescent="0.2">
      <c r="A2702" s="26" t="s">
        <v>2740</v>
      </c>
      <c r="B2702" s="26"/>
      <c r="C2702" s="26"/>
    </row>
    <row r="2703" spans="1:3" ht="11.25" customHeight="1" x14ac:dyDescent="0.2">
      <c r="A2703" s="26" t="s">
        <v>2741</v>
      </c>
      <c r="B2703" s="26"/>
      <c r="C2703" s="26"/>
    </row>
    <row r="2704" spans="1:3" ht="11.25" customHeight="1" x14ac:dyDescent="0.2">
      <c r="A2704" s="26" t="s">
        <v>2742</v>
      </c>
      <c r="B2704" s="26"/>
      <c r="C2704" s="26"/>
    </row>
    <row r="2705" spans="1:3" ht="11.25" customHeight="1" x14ac:dyDescent="0.2">
      <c r="A2705" s="26" t="s">
        <v>2743</v>
      </c>
      <c r="B2705" s="26"/>
      <c r="C2705" s="26"/>
    </row>
    <row r="2706" spans="1:3" ht="11.25" customHeight="1" x14ac:dyDescent="0.2">
      <c r="A2706" s="26" t="s">
        <v>2744</v>
      </c>
      <c r="B2706" s="26"/>
      <c r="C2706" s="26"/>
    </row>
    <row r="2707" spans="1:3" ht="11.25" customHeight="1" x14ac:dyDescent="0.2">
      <c r="A2707" s="26" t="s">
        <v>2745</v>
      </c>
      <c r="B2707" s="26"/>
      <c r="C2707" s="26"/>
    </row>
    <row r="2708" spans="1:3" ht="11.25" customHeight="1" x14ac:dyDescent="0.2">
      <c r="A2708" s="26" t="s">
        <v>2746</v>
      </c>
      <c r="B2708" s="26"/>
      <c r="C2708" s="26"/>
    </row>
    <row r="2709" spans="1:3" ht="11.25" customHeight="1" x14ac:dyDescent="0.2">
      <c r="A2709" s="26" t="s">
        <v>2747</v>
      </c>
      <c r="B2709" s="26"/>
      <c r="C2709" s="26"/>
    </row>
    <row r="2710" spans="1:3" ht="11.25" customHeight="1" x14ac:dyDescent="0.2">
      <c r="A2710" s="26" t="s">
        <v>2748</v>
      </c>
      <c r="B2710" s="26"/>
      <c r="C2710" s="26"/>
    </row>
    <row r="2711" spans="1:3" ht="11.25" customHeight="1" x14ac:dyDescent="0.2">
      <c r="A2711" s="26" t="s">
        <v>2749</v>
      </c>
      <c r="B2711" s="26"/>
      <c r="C2711" s="26"/>
    </row>
    <row r="2712" spans="1:3" ht="11.25" customHeight="1" x14ac:dyDescent="0.2">
      <c r="A2712" s="26" t="s">
        <v>2750</v>
      </c>
      <c r="B2712" s="26"/>
      <c r="C2712" s="26"/>
    </row>
    <row r="2713" spans="1:3" ht="11.25" customHeight="1" x14ac:dyDescent="0.2">
      <c r="A2713" s="26" t="s">
        <v>2751</v>
      </c>
      <c r="B2713" s="26"/>
      <c r="C2713" s="26"/>
    </row>
    <row r="2714" spans="1:3" ht="11.25" customHeight="1" x14ac:dyDescent="0.2">
      <c r="A2714" s="26" t="s">
        <v>2752</v>
      </c>
      <c r="B2714" s="26"/>
      <c r="C2714" s="26"/>
    </row>
    <row r="2715" spans="1:3" ht="11.25" customHeight="1" x14ac:dyDescent="0.2">
      <c r="A2715" s="26" t="s">
        <v>2753</v>
      </c>
      <c r="B2715" s="26"/>
      <c r="C2715" s="26"/>
    </row>
    <row r="2716" spans="1:3" ht="11.25" customHeight="1" x14ac:dyDescent="0.2">
      <c r="A2716" s="26" t="s">
        <v>2754</v>
      </c>
      <c r="B2716" s="26"/>
      <c r="C2716" s="26"/>
    </row>
    <row r="2717" spans="1:3" ht="11.25" customHeight="1" x14ac:dyDescent="0.2">
      <c r="A2717" s="26" t="s">
        <v>2755</v>
      </c>
      <c r="B2717" s="26"/>
      <c r="C2717" s="26"/>
    </row>
    <row r="2718" spans="1:3" ht="11.25" customHeight="1" x14ac:dyDescent="0.2">
      <c r="A2718" s="26" t="s">
        <v>2756</v>
      </c>
      <c r="B2718" s="26"/>
      <c r="C2718" s="26"/>
    </row>
    <row r="2719" spans="1:3" ht="11.25" customHeight="1" x14ac:dyDescent="0.2">
      <c r="A2719" s="26" t="s">
        <v>2757</v>
      </c>
      <c r="B2719" s="26"/>
      <c r="C2719" s="26"/>
    </row>
    <row r="2720" spans="1:3" ht="11.25" customHeight="1" x14ac:dyDescent="0.2">
      <c r="A2720" s="26" t="s">
        <v>2758</v>
      </c>
      <c r="B2720" s="26"/>
      <c r="C2720" s="26"/>
    </row>
    <row r="2721" spans="1:3" ht="11.25" customHeight="1" x14ac:dyDescent="0.2">
      <c r="A2721" s="26" t="s">
        <v>2759</v>
      </c>
      <c r="B2721" s="26"/>
      <c r="C2721" s="26"/>
    </row>
    <row r="2722" spans="1:3" ht="11.25" customHeight="1" x14ac:dyDescent="0.2">
      <c r="A2722" s="26" t="s">
        <v>2760</v>
      </c>
      <c r="B2722" s="26"/>
      <c r="C2722" s="26"/>
    </row>
    <row r="2723" spans="1:3" ht="11.25" customHeight="1" x14ac:dyDescent="0.2">
      <c r="A2723" s="26" t="s">
        <v>2761</v>
      </c>
      <c r="B2723" s="26"/>
      <c r="C2723" s="26"/>
    </row>
    <row r="2724" spans="1:3" ht="11.25" customHeight="1" x14ac:dyDescent="0.2">
      <c r="A2724" s="26" t="s">
        <v>2762</v>
      </c>
      <c r="B2724" s="26"/>
      <c r="C2724" s="26"/>
    </row>
    <row r="2725" spans="1:3" ht="11.25" customHeight="1" x14ac:dyDescent="0.2">
      <c r="A2725" s="26" t="s">
        <v>2763</v>
      </c>
      <c r="B2725" s="26"/>
      <c r="C2725" s="26"/>
    </row>
    <row r="2726" spans="1:3" ht="11.25" customHeight="1" x14ac:dyDescent="0.2">
      <c r="A2726" s="26" t="s">
        <v>2764</v>
      </c>
      <c r="B2726" s="26"/>
      <c r="C2726" s="26"/>
    </row>
    <row r="2727" spans="1:3" ht="11.25" customHeight="1" x14ac:dyDescent="0.2">
      <c r="A2727" s="26" t="s">
        <v>2765</v>
      </c>
      <c r="B2727" s="26"/>
      <c r="C2727" s="26"/>
    </row>
    <row r="2728" spans="1:3" ht="11.25" customHeight="1" x14ac:dyDescent="0.2">
      <c r="A2728" s="26" t="s">
        <v>2766</v>
      </c>
      <c r="B2728" s="26"/>
      <c r="C2728" s="26"/>
    </row>
    <row r="2729" spans="1:3" ht="11.25" customHeight="1" x14ac:dyDescent="0.2">
      <c r="A2729" s="26" t="s">
        <v>2767</v>
      </c>
      <c r="B2729" s="26"/>
      <c r="C2729" s="26"/>
    </row>
    <row r="2730" spans="1:3" ht="11.25" customHeight="1" x14ac:dyDescent="0.2">
      <c r="A2730" s="26" t="s">
        <v>2768</v>
      </c>
      <c r="B2730" s="26"/>
      <c r="C2730" s="26"/>
    </row>
    <row r="2731" spans="1:3" ht="11.25" customHeight="1" x14ac:dyDescent="0.2">
      <c r="A2731" s="26" t="s">
        <v>2769</v>
      </c>
      <c r="B2731" s="26"/>
      <c r="C2731" s="26"/>
    </row>
    <row r="2732" spans="1:3" ht="11.25" customHeight="1" x14ac:dyDescent="0.2">
      <c r="A2732" s="26" t="s">
        <v>2770</v>
      </c>
      <c r="B2732" s="26"/>
      <c r="C2732" s="26"/>
    </row>
    <row r="2733" spans="1:3" ht="11.25" customHeight="1" x14ac:dyDescent="0.2">
      <c r="A2733" s="26" t="s">
        <v>2771</v>
      </c>
      <c r="B2733" s="26"/>
      <c r="C2733" s="26"/>
    </row>
    <row r="2734" spans="1:3" ht="11.25" customHeight="1" x14ac:dyDescent="0.2">
      <c r="A2734" s="26" t="s">
        <v>2772</v>
      </c>
      <c r="B2734" s="26"/>
      <c r="C2734" s="26"/>
    </row>
    <row r="2735" spans="1:3" ht="11.25" customHeight="1" x14ac:dyDescent="0.2">
      <c r="A2735" s="26" t="s">
        <v>2773</v>
      </c>
      <c r="B2735" s="26"/>
      <c r="C2735" s="26"/>
    </row>
    <row r="2736" spans="1:3" ht="11.25" customHeight="1" x14ac:dyDescent="0.2">
      <c r="A2736" s="26" t="s">
        <v>2774</v>
      </c>
      <c r="B2736" s="26"/>
      <c r="C2736" s="26"/>
    </row>
    <row r="2737" spans="1:3" ht="11.25" customHeight="1" x14ac:dyDescent="0.2">
      <c r="A2737" s="26" t="s">
        <v>2775</v>
      </c>
      <c r="B2737" s="26"/>
      <c r="C2737" s="26"/>
    </row>
    <row r="2738" spans="1:3" ht="11.25" customHeight="1" x14ac:dyDescent="0.2">
      <c r="A2738" s="26" t="s">
        <v>2776</v>
      </c>
      <c r="B2738" s="26"/>
      <c r="C2738" s="26"/>
    </row>
    <row r="2739" spans="1:3" ht="11.25" customHeight="1" x14ac:dyDescent="0.2">
      <c r="A2739" s="26" t="s">
        <v>2777</v>
      </c>
      <c r="B2739" s="26"/>
      <c r="C2739" s="26"/>
    </row>
    <row r="2740" spans="1:3" ht="11.25" customHeight="1" x14ac:dyDescent="0.2">
      <c r="A2740" s="26" t="s">
        <v>2778</v>
      </c>
      <c r="B2740" s="26"/>
      <c r="C2740" s="26"/>
    </row>
    <row r="2741" spans="1:3" ht="11.25" customHeight="1" x14ac:dyDescent="0.2">
      <c r="A2741" s="26" t="s">
        <v>2779</v>
      </c>
      <c r="B2741" s="26"/>
      <c r="C2741" s="26"/>
    </row>
    <row r="2742" spans="1:3" ht="11.25" customHeight="1" x14ac:dyDescent="0.2">
      <c r="A2742" s="26" t="s">
        <v>2780</v>
      </c>
      <c r="B2742" s="26"/>
      <c r="C2742" s="26"/>
    </row>
    <row r="2743" spans="1:3" ht="11.25" customHeight="1" x14ac:dyDescent="0.2">
      <c r="A2743" s="26" t="s">
        <v>2781</v>
      </c>
      <c r="B2743" s="26"/>
      <c r="C2743" s="26"/>
    </row>
    <row r="2744" spans="1:3" ht="11.25" customHeight="1" x14ac:dyDescent="0.2">
      <c r="A2744" s="26" t="s">
        <v>2782</v>
      </c>
      <c r="B2744" s="26"/>
      <c r="C2744" s="26"/>
    </row>
    <row r="2745" spans="1:3" ht="11.25" customHeight="1" x14ac:dyDescent="0.2">
      <c r="A2745" s="26" t="s">
        <v>2783</v>
      </c>
      <c r="B2745" s="26"/>
      <c r="C2745" s="26"/>
    </row>
  </sheetData>
  <pageMargins left="0.7" right="0.7" top="0.75" bottom="0.75"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F8"/>
  <sheetViews>
    <sheetView zoomScaleNormal="100" workbookViewId="0">
      <selection activeCell="A2" sqref="A2"/>
    </sheetView>
  </sheetViews>
  <sheetFormatPr defaultColWidth="8.7109375" defaultRowHeight="15" x14ac:dyDescent="0.25"/>
  <sheetData>
    <row r="2" spans="1:6" ht="15" customHeight="1" x14ac:dyDescent="0.25">
      <c r="A2" s="27" t="s">
        <v>2784</v>
      </c>
      <c r="B2" s="27" t="s">
        <v>2785</v>
      </c>
      <c r="C2" s="27"/>
      <c r="D2" s="27" t="s">
        <v>2784</v>
      </c>
      <c r="E2" s="27" t="s">
        <v>2785</v>
      </c>
      <c r="F2" s="27" t="s">
        <v>2786</v>
      </c>
    </row>
    <row r="3" spans="1:6" ht="15" customHeight="1" x14ac:dyDescent="0.25">
      <c r="A3" s="21" t="s">
        <v>2787</v>
      </c>
      <c r="B3" s="21">
        <v>45</v>
      </c>
      <c r="D3" s="21" t="s">
        <v>2787</v>
      </c>
      <c r="E3" s="21">
        <v>45</v>
      </c>
      <c r="F3" s="28">
        <f>SUM($E$3:$E3)/SUM($E$3:$E$8)</f>
        <v>0.28662420382165604</v>
      </c>
    </row>
    <row r="4" spans="1:6" ht="15" customHeight="1" x14ac:dyDescent="0.25">
      <c r="A4" s="21" t="s">
        <v>2788</v>
      </c>
      <c r="B4" s="21">
        <v>37</v>
      </c>
      <c r="D4" s="21" t="s">
        <v>2788</v>
      </c>
      <c r="E4" s="21">
        <v>37</v>
      </c>
      <c r="F4" s="28">
        <f>SUM($E$3:$E4)/SUM($E$3:$E$8)</f>
        <v>0.52229299363057324</v>
      </c>
    </row>
    <row r="5" spans="1:6" ht="15" customHeight="1" x14ac:dyDescent="0.25">
      <c r="A5" s="21" t="s">
        <v>2789</v>
      </c>
      <c r="B5" s="21">
        <v>29</v>
      </c>
      <c r="D5" s="21" t="s">
        <v>2789</v>
      </c>
      <c r="E5" s="21">
        <v>29</v>
      </c>
      <c r="F5" s="28">
        <f>SUM($E$3:$E5)/SUM($E$3:$E$8)</f>
        <v>0.70700636942675155</v>
      </c>
    </row>
    <row r="6" spans="1:6" ht="15" customHeight="1" x14ac:dyDescent="0.25">
      <c r="A6" s="21" t="s">
        <v>2790</v>
      </c>
      <c r="B6" s="21">
        <v>19</v>
      </c>
      <c r="D6" s="21" t="s">
        <v>2790</v>
      </c>
      <c r="E6" s="21">
        <v>19</v>
      </c>
      <c r="F6" s="28">
        <f>SUM($E$3:$E6)/SUM($E$3:$E$8)</f>
        <v>0.82802547770700641</v>
      </c>
    </row>
    <row r="7" spans="1:6" ht="15" customHeight="1" x14ac:dyDescent="0.25">
      <c r="A7" s="21" t="s">
        <v>2791</v>
      </c>
      <c r="B7" s="21">
        <v>19</v>
      </c>
      <c r="D7" s="21" t="s">
        <v>2791</v>
      </c>
      <c r="E7" s="21">
        <v>19</v>
      </c>
      <c r="F7" s="28">
        <f>SUM($E$3:$E7)/SUM($E$3:$E$8)</f>
        <v>0.94904458598726116</v>
      </c>
    </row>
    <row r="8" spans="1:6" ht="15" customHeight="1" x14ac:dyDescent="0.25">
      <c r="A8" s="21" t="s">
        <v>2792</v>
      </c>
      <c r="B8" s="21">
        <v>8</v>
      </c>
      <c r="D8" s="21" t="s">
        <v>2792</v>
      </c>
      <c r="E8" s="21">
        <v>8</v>
      </c>
      <c r="F8" s="28">
        <f>SUM($E$3:$E8)/SUM($E$3:$E$8)</f>
        <v>1</v>
      </c>
    </row>
  </sheetData>
  <sheetProtection sheet="1" objects="1" scenarios="1"/>
  <pageMargins left="0.7" right="0.7" top="0.75" bottom="0.75"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58"/>
  <sheetViews>
    <sheetView showGridLines="0" zoomScaleNormal="100" workbookViewId="0">
      <pane ySplit="1" topLeftCell="A2" activePane="bottomLeft" state="frozen"/>
      <selection pane="bottomLeft" activeCell="N17" sqref="N17"/>
    </sheetView>
  </sheetViews>
  <sheetFormatPr defaultColWidth="9.140625" defaultRowHeight="11.25" x14ac:dyDescent="0.2"/>
  <cols>
    <col min="1" max="1" width="25.5703125" style="2" customWidth="1"/>
    <col min="2" max="2" width="9.140625" style="2"/>
    <col min="3" max="3" width="26.7109375" style="2" customWidth="1"/>
    <col min="4" max="16384" width="9.140625" style="2"/>
  </cols>
  <sheetData>
    <row r="1" spans="1:5" ht="15" customHeight="1" x14ac:dyDescent="0.25">
      <c r="A1" s="1" t="s">
        <v>2793</v>
      </c>
      <c r="B1" s="1"/>
      <c r="C1" s="1"/>
      <c r="D1" s="1"/>
      <c r="E1" s="1"/>
    </row>
    <row r="2" spans="1:5" ht="11.25" customHeight="1" x14ac:dyDescent="0.2">
      <c r="A2" s="29"/>
    </row>
    <row r="3" spans="1:5" ht="11.25" customHeight="1" x14ac:dyDescent="0.2">
      <c r="A3" s="29"/>
      <c r="C3" s="30"/>
    </row>
    <row r="4" spans="1:5" ht="11.25" customHeight="1" x14ac:dyDescent="0.2">
      <c r="A4" s="29"/>
    </row>
    <row r="5" spans="1:5" ht="11.25" customHeight="1" x14ac:dyDescent="0.2">
      <c r="A5" s="29"/>
    </row>
    <row r="6" spans="1:5" ht="11.25" customHeight="1" x14ac:dyDescent="0.2">
      <c r="A6" s="29"/>
    </row>
    <row r="7" spans="1:5" ht="11.25" customHeight="1" x14ac:dyDescent="0.2">
      <c r="A7" s="29"/>
    </row>
    <row r="8" spans="1:5" ht="11.25" customHeight="1" x14ac:dyDescent="0.2">
      <c r="A8" s="29"/>
    </row>
    <row r="9" spans="1:5" ht="11.25" customHeight="1" x14ac:dyDescent="0.2">
      <c r="A9" s="29"/>
    </row>
    <row r="10" spans="1:5" ht="11.25" customHeight="1" x14ac:dyDescent="0.2">
      <c r="A10" s="29"/>
    </row>
    <row r="11" spans="1:5" ht="11.25" customHeight="1" x14ac:dyDescent="0.2">
      <c r="A11" s="29"/>
    </row>
    <row r="12" spans="1:5" ht="11.25" customHeight="1" x14ac:dyDescent="0.2">
      <c r="A12" s="29"/>
    </row>
    <row r="13" spans="1:5" ht="11.25" customHeight="1" x14ac:dyDescent="0.2">
      <c r="A13" s="29"/>
    </row>
    <row r="14" spans="1:5" ht="11.25" customHeight="1" x14ac:dyDescent="0.2">
      <c r="A14" s="29"/>
    </row>
    <row r="15" spans="1:5" ht="11.25" customHeight="1" x14ac:dyDescent="0.2">
      <c r="A15" s="29"/>
    </row>
    <row r="16" spans="1:5" ht="11.25" customHeight="1" x14ac:dyDescent="0.2">
      <c r="A16" s="29"/>
    </row>
    <row r="17" spans="1:1" ht="11.25" customHeight="1" x14ac:dyDescent="0.2">
      <c r="A17" s="29"/>
    </row>
    <row r="18" spans="1:1" ht="11.25" customHeight="1" x14ac:dyDescent="0.2">
      <c r="A18" s="29"/>
    </row>
    <row r="19" spans="1:1" ht="11.25" customHeight="1" x14ac:dyDescent="0.2">
      <c r="A19" s="29"/>
    </row>
    <row r="20" spans="1:1" ht="11.25" customHeight="1" x14ac:dyDescent="0.2">
      <c r="A20" s="29"/>
    </row>
    <row r="21" spans="1:1" ht="11.25" customHeight="1" x14ac:dyDescent="0.2">
      <c r="A21" s="29"/>
    </row>
    <row r="22" spans="1:1" ht="11.25" customHeight="1" x14ac:dyDescent="0.2">
      <c r="A22" s="29"/>
    </row>
    <row r="23" spans="1:1" ht="11.25" customHeight="1" x14ac:dyDescent="0.2">
      <c r="A23" s="29"/>
    </row>
    <row r="24" spans="1:1" ht="11.25" customHeight="1" x14ac:dyDescent="0.2">
      <c r="A24" s="29"/>
    </row>
    <row r="25" spans="1:1" ht="11.25" customHeight="1" x14ac:dyDescent="0.2">
      <c r="A25" s="29"/>
    </row>
    <row r="26" spans="1:1" ht="11.25" customHeight="1" x14ac:dyDescent="0.2">
      <c r="A26" s="29"/>
    </row>
    <row r="27" spans="1:1" ht="11.25" customHeight="1" x14ac:dyDescent="0.2">
      <c r="A27" s="29"/>
    </row>
    <row r="28" spans="1:1" ht="11.25" customHeight="1" x14ac:dyDescent="0.2">
      <c r="A28" s="29"/>
    </row>
    <row r="29" spans="1:1" ht="11.25" customHeight="1" x14ac:dyDescent="0.2">
      <c r="A29" s="29"/>
    </row>
    <row r="30" spans="1:1" ht="11.25" customHeight="1" x14ac:dyDescent="0.2">
      <c r="A30" s="29"/>
    </row>
    <row r="31" spans="1:1" ht="11.25" customHeight="1" x14ac:dyDescent="0.2">
      <c r="A31" s="29"/>
    </row>
    <row r="32" spans="1:1" ht="11.25" customHeight="1" x14ac:dyDescent="0.2">
      <c r="A32" s="29"/>
    </row>
    <row r="33" spans="1:1" ht="11.25" customHeight="1" x14ac:dyDescent="0.2">
      <c r="A33" s="29"/>
    </row>
    <row r="34" spans="1:1" ht="11.25" customHeight="1" x14ac:dyDescent="0.2">
      <c r="A34" s="29"/>
    </row>
    <row r="35" spans="1:1" ht="11.25" customHeight="1" x14ac:dyDescent="0.2">
      <c r="A35" s="29"/>
    </row>
    <row r="36" spans="1:1" ht="11.25" customHeight="1" x14ac:dyDescent="0.2">
      <c r="A36" s="29"/>
    </row>
    <row r="37" spans="1:1" ht="11.25" customHeight="1" x14ac:dyDescent="0.2">
      <c r="A37" s="29"/>
    </row>
    <row r="38" spans="1:1" ht="11.25" customHeight="1" x14ac:dyDescent="0.2">
      <c r="A38" s="29"/>
    </row>
    <row r="39" spans="1:1" ht="11.25" customHeight="1" x14ac:dyDescent="0.2">
      <c r="A39" s="29"/>
    </row>
    <row r="40" spans="1:1" ht="11.25" customHeight="1" x14ac:dyDescent="0.2">
      <c r="A40" s="29"/>
    </row>
    <row r="41" spans="1:1" ht="11.25" customHeight="1" x14ac:dyDescent="0.2">
      <c r="A41" s="29"/>
    </row>
    <row r="42" spans="1:1" ht="11.25" customHeight="1" x14ac:dyDescent="0.2">
      <c r="A42" s="29"/>
    </row>
    <row r="43" spans="1:1" ht="11.25" customHeight="1" x14ac:dyDescent="0.2">
      <c r="A43" s="29"/>
    </row>
    <row r="44" spans="1:1" ht="11.25" customHeight="1" x14ac:dyDescent="0.2">
      <c r="A44" s="29"/>
    </row>
    <row r="45" spans="1:1" ht="11.25" customHeight="1" x14ac:dyDescent="0.2">
      <c r="A45" s="29"/>
    </row>
    <row r="46" spans="1:1" ht="11.25" customHeight="1" x14ac:dyDescent="0.2">
      <c r="A46" s="29"/>
    </row>
    <row r="47" spans="1:1" ht="11.25" customHeight="1" x14ac:dyDescent="0.2">
      <c r="A47" s="29"/>
    </row>
    <row r="48" spans="1:1" ht="11.25" customHeight="1" x14ac:dyDescent="0.2">
      <c r="A48" s="29"/>
    </row>
    <row r="49" spans="1:1" ht="11.25" customHeight="1" x14ac:dyDescent="0.2">
      <c r="A49" s="29"/>
    </row>
    <row r="50" spans="1:1" ht="11.25" customHeight="1" x14ac:dyDescent="0.2">
      <c r="A50" s="29"/>
    </row>
    <row r="51" spans="1:1" ht="11.25" customHeight="1" x14ac:dyDescent="0.2">
      <c r="A51" s="29"/>
    </row>
    <row r="52" spans="1:1" ht="11.25" customHeight="1" x14ac:dyDescent="0.2">
      <c r="A52" s="29"/>
    </row>
    <row r="53" spans="1:1" ht="11.25" customHeight="1" x14ac:dyDescent="0.2">
      <c r="A53" s="29"/>
    </row>
    <row r="54" spans="1:1" ht="11.25" customHeight="1" x14ac:dyDescent="0.2">
      <c r="A54" s="29"/>
    </row>
    <row r="55" spans="1:1" ht="11.25" customHeight="1" x14ac:dyDescent="0.2">
      <c r="A55" s="29"/>
    </row>
    <row r="56" spans="1:1" ht="11.25" customHeight="1" x14ac:dyDescent="0.2">
      <c r="A56" s="29"/>
    </row>
    <row r="57" spans="1:1" ht="11.25" customHeight="1" x14ac:dyDescent="0.2">
      <c r="A57" s="29"/>
    </row>
    <row r="58" spans="1:1" ht="11.25" customHeight="1" x14ac:dyDescent="0.2">
      <c r="A58" s="29"/>
    </row>
    <row r="59" spans="1:1" ht="11.25" customHeight="1" x14ac:dyDescent="0.2">
      <c r="A59" s="29"/>
    </row>
    <row r="60" spans="1:1" ht="11.25" customHeight="1" x14ac:dyDescent="0.2">
      <c r="A60" s="29"/>
    </row>
    <row r="61" spans="1:1" ht="11.25" customHeight="1" x14ac:dyDescent="0.2">
      <c r="A61" s="29"/>
    </row>
    <row r="62" spans="1:1" ht="11.25" customHeight="1" x14ac:dyDescent="0.2">
      <c r="A62" s="29"/>
    </row>
    <row r="63" spans="1:1" ht="11.25" customHeight="1" x14ac:dyDescent="0.2">
      <c r="A63" s="29"/>
    </row>
    <row r="64" spans="1:1" ht="11.25" customHeight="1" x14ac:dyDescent="0.2">
      <c r="A64" s="29"/>
    </row>
    <row r="65" spans="1:1" ht="11.25" customHeight="1" x14ac:dyDescent="0.2">
      <c r="A65" s="29"/>
    </row>
    <row r="66" spans="1:1" ht="11.25" customHeight="1" x14ac:dyDescent="0.2">
      <c r="A66" s="29"/>
    </row>
    <row r="67" spans="1:1" ht="11.25" customHeight="1" x14ac:dyDescent="0.2">
      <c r="A67" s="29"/>
    </row>
    <row r="68" spans="1:1" ht="11.25" customHeight="1" x14ac:dyDescent="0.2">
      <c r="A68" s="29"/>
    </row>
    <row r="69" spans="1:1" ht="11.25" customHeight="1" x14ac:dyDescent="0.2">
      <c r="A69" s="29"/>
    </row>
    <row r="70" spans="1:1" ht="11.25" customHeight="1" x14ac:dyDescent="0.2">
      <c r="A70" s="29"/>
    </row>
    <row r="71" spans="1:1" ht="11.25" customHeight="1" x14ac:dyDescent="0.2">
      <c r="A71" s="29"/>
    </row>
    <row r="72" spans="1:1" ht="11.25" customHeight="1" x14ac:dyDescent="0.2">
      <c r="A72" s="29"/>
    </row>
    <row r="73" spans="1:1" ht="11.25" customHeight="1" x14ac:dyDescent="0.2">
      <c r="A73" s="29"/>
    </row>
    <row r="74" spans="1:1" ht="11.25" customHeight="1" x14ac:dyDescent="0.2">
      <c r="A74" s="29"/>
    </row>
    <row r="75" spans="1:1" ht="11.25" customHeight="1" x14ac:dyDescent="0.2">
      <c r="A75" s="29"/>
    </row>
    <row r="76" spans="1:1" ht="11.25" customHeight="1" x14ac:dyDescent="0.2">
      <c r="A76" s="29"/>
    </row>
    <row r="77" spans="1:1" ht="11.25" customHeight="1" x14ac:dyDescent="0.2">
      <c r="A77" s="29"/>
    </row>
    <row r="78" spans="1:1" ht="11.25" customHeight="1" x14ac:dyDescent="0.2">
      <c r="A78" s="29"/>
    </row>
    <row r="79" spans="1:1" ht="11.25" customHeight="1" x14ac:dyDescent="0.2">
      <c r="A79" s="29"/>
    </row>
    <row r="80" spans="1:1" ht="11.25" customHeight="1" x14ac:dyDescent="0.2">
      <c r="A80" s="29"/>
    </row>
    <row r="81" spans="1:1" ht="11.25" customHeight="1" x14ac:dyDescent="0.2">
      <c r="A81" s="29"/>
    </row>
    <row r="82" spans="1:1" ht="11.25" customHeight="1" x14ac:dyDescent="0.2">
      <c r="A82" s="29"/>
    </row>
    <row r="83" spans="1:1" ht="11.25" customHeight="1" x14ac:dyDescent="0.2">
      <c r="A83" s="29"/>
    </row>
    <row r="84" spans="1:1" ht="11.25" customHeight="1" x14ac:dyDescent="0.2">
      <c r="A84" s="29"/>
    </row>
    <row r="85" spans="1:1" ht="11.25" customHeight="1" x14ac:dyDescent="0.2">
      <c r="A85" s="29"/>
    </row>
    <row r="86" spans="1:1" ht="11.25" customHeight="1" x14ac:dyDescent="0.2">
      <c r="A86" s="29"/>
    </row>
    <row r="87" spans="1:1" ht="11.25" customHeight="1" x14ac:dyDescent="0.2">
      <c r="A87" s="29"/>
    </row>
    <row r="88" spans="1:1" ht="11.25" customHeight="1" x14ac:dyDescent="0.2">
      <c r="A88" s="29"/>
    </row>
    <row r="89" spans="1:1" ht="11.25" customHeight="1" x14ac:dyDescent="0.2">
      <c r="A89" s="29"/>
    </row>
    <row r="90" spans="1:1" ht="11.25" customHeight="1" x14ac:dyDescent="0.2">
      <c r="A90" s="29"/>
    </row>
    <row r="91" spans="1:1" ht="11.25" customHeight="1" x14ac:dyDescent="0.2">
      <c r="A91" s="29"/>
    </row>
    <row r="92" spans="1:1" ht="11.25" customHeight="1" x14ac:dyDescent="0.2">
      <c r="A92" s="29"/>
    </row>
    <row r="93" spans="1:1" ht="11.25" customHeight="1" x14ac:dyDescent="0.2">
      <c r="A93" s="29"/>
    </row>
    <row r="94" spans="1:1" ht="11.25" customHeight="1" x14ac:dyDescent="0.2">
      <c r="A94" s="29"/>
    </row>
    <row r="95" spans="1:1" ht="11.25" customHeight="1" x14ac:dyDescent="0.2">
      <c r="A95" s="29"/>
    </row>
    <row r="96" spans="1:1" ht="11.25" customHeight="1" x14ac:dyDescent="0.2">
      <c r="A96" s="29"/>
    </row>
    <row r="97" spans="1:1" ht="11.25" customHeight="1" x14ac:dyDescent="0.2">
      <c r="A97" s="29"/>
    </row>
    <row r="98" spans="1:1" ht="11.25" customHeight="1" x14ac:dyDescent="0.2">
      <c r="A98" s="29"/>
    </row>
    <row r="99" spans="1:1" ht="11.25" customHeight="1" x14ac:dyDescent="0.2">
      <c r="A99" s="29"/>
    </row>
    <row r="100" spans="1:1" ht="11.25" customHeight="1" x14ac:dyDescent="0.2">
      <c r="A100" s="29"/>
    </row>
    <row r="101" spans="1:1" ht="11.25" customHeight="1" x14ac:dyDescent="0.2">
      <c r="A101" s="29"/>
    </row>
    <row r="102" spans="1:1" ht="11.25" customHeight="1" x14ac:dyDescent="0.2">
      <c r="A102" s="29"/>
    </row>
    <row r="103" spans="1:1" ht="11.25" customHeight="1" x14ac:dyDescent="0.2">
      <c r="A103" s="29"/>
    </row>
    <row r="104" spans="1:1" ht="11.25" customHeight="1" x14ac:dyDescent="0.2">
      <c r="A104" s="29"/>
    </row>
    <row r="105" spans="1:1" ht="11.25" customHeight="1" x14ac:dyDescent="0.2">
      <c r="A105" s="29"/>
    </row>
    <row r="106" spans="1:1" ht="11.25" customHeight="1" x14ac:dyDescent="0.2">
      <c r="A106" s="29"/>
    </row>
    <row r="107" spans="1:1" ht="11.25" customHeight="1" x14ac:dyDescent="0.2">
      <c r="A107" s="29"/>
    </row>
    <row r="108" spans="1:1" ht="11.25" customHeight="1" x14ac:dyDescent="0.2">
      <c r="A108" s="29"/>
    </row>
    <row r="109" spans="1:1" ht="11.25" customHeight="1" x14ac:dyDescent="0.2">
      <c r="A109" s="29"/>
    </row>
    <row r="110" spans="1:1" ht="11.25" customHeight="1" x14ac:dyDescent="0.2">
      <c r="A110" s="29"/>
    </row>
    <row r="111" spans="1:1" ht="11.25" customHeight="1" x14ac:dyDescent="0.2">
      <c r="A111" s="29"/>
    </row>
    <row r="112" spans="1:1" ht="11.25" customHeight="1" x14ac:dyDescent="0.2">
      <c r="A112" s="29"/>
    </row>
    <row r="113" spans="1:1" ht="11.25" customHeight="1" x14ac:dyDescent="0.2">
      <c r="A113" s="29"/>
    </row>
    <row r="114" spans="1:1" ht="11.25" customHeight="1" x14ac:dyDescent="0.2">
      <c r="A114" s="29"/>
    </row>
    <row r="115" spans="1:1" ht="11.25" customHeight="1" x14ac:dyDescent="0.2">
      <c r="A115" s="29"/>
    </row>
    <row r="116" spans="1:1" ht="11.25" customHeight="1" x14ac:dyDescent="0.2">
      <c r="A116" s="29"/>
    </row>
    <row r="117" spans="1:1" ht="11.25" customHeight="1" x14ac:dyDescent="0.2">
      <c r="A117" s="29"/>
    </row>
    <row r="118" spans="1:1" ht="11.25" customHeight="1" x14ac:dyDescent="0.2">
      <c r="A118" s="29"/>
    </row>
    <row r="119" spans="1:1" ht="11.25" customHeight="1" x14ac:dyDescent="0.2">
      <c r="A119" s="29"/>
    </row>
    <row r="120" spans="1:1" ht="11.25" customHeight="1" x14ac:dyDescent="0.2">
      <c r="A120" s="29"/>
    </row>
    <row r="121" spans="1:1" ht="11.25" customHeight="1" x14ac:dyDescent="0.2">
      <c r="A121" s="29"/>
    </row>
    <row r="122" spans="1:1" ht="11.25" customHeight="1" x14ac:dyDescent="0.2">
      <c r="A122" s="29"/>
    </row>
    <row r="123" spans="1:1" ht="11.25" customHeight="1" x14ac:dyDescent="0.2">
      <c r="A123" s="29"/>
    </row>
    <row r="124" spans="1:1" ht="11.25" customHeight="1" x14ac:dyDescent="0.2">
      <c r="A124" s="29"/>
    </row>
    <row r="125" spans="1:1" ht="11.25" customHeight="1" x14ac:dyDescent="0.2">
      <c r="A125" s="29"/>
    </row>
    <row r="126" spans="1:1" ht="11.25" customHeight="1" x14ac:dyDescent="0.2">
      <c r="A126" s="29"/>
    </row>
    <row r="127" spans="1:1" ht="11.25" customHeight="1" x14ac:dyDescent="0.2">
      <c r="A127" s="29"/>
    </row>
    <row r="128" spans="1:1" ht="11.25" customHeight="1" x14ac:dyDescent="0.2">
      <c r="A128" s="29"/>
    </row>
    <row r="129" spans="1:1" ht="11.25" customHeight="1" x14ac:dyDescent="0.2">
      <c r="A129" s="29"/>
    </row>
    <row r="130" spans="1:1" ht="11.25" customHeight="1" x14ac:dyDescent="0.2">
      <c r="A130" s="29"/>
    </row>
    <row r="131" spans="1:1" ht="11.25" customHeight="1" x14ac:dyDescent="0.2">
      <c r="A131" s="29"/>
    </row>
    <row r="132" spans="1:1" ht="11.25" customHeight="1" x14ac:dyDescent="0.2">
      <c r="A132" s="29"/>
    </row>
    <row r="133" spans="1:1" ht="11.25" customHeight="1" x14ac:dyDescent="0.2">
      <c r="A133" s="29"/>
    </row>
    <row r="134" spans="1:1" ht="11.25" customHeight="1" x14ac:dyDescent="0.2">
      <c r="A134" s="29"/>
    </row>
    <row r="135" spans="1:1" ht="11.25" customHeight="1" x14ac:dyDescent="0.2">
      <c r="A135" s="29"/>
    </row>
    <row r="136" spans="1:1" ht="11.25" customHeight="1" x14ac:dyDescent="0.2">
      <c r="A136" s="29"/>
    </row>
    <row r="137" spans="1:1" ht="11.25" customHeight="1" x14ac:dyDescent="0.2">
      <c r="A137" s="29"/>
    </row>
    <row r="138" spans="1:1" ht="11.25" customHeight="1" x14ac:dyDescent="0.2">
      <c r="A138" s="29"/>
    </row>
    <row r="139" spans="1:1" ht="11.25" customHeight="1" x14ac:dyDescent="0.2">
      <c r="A139" s="29"/>
    </row>
    <row r="140" spans="1:1" ht="11.25" customHeight="1" x14ac:dyDescent="0.2">
      <c r="A140" s="29"/>
    </row>
    <row r="141" spans="1:1" ht="11.25" customHeight="1" x14ac:dyDescent="0.2">
      <c r="A141" s="29"/>
    </row>
    <row r="142" spans="1:1" ht="11.25" customHeight="1" x14ac:dyDescent="0.2">
      <c r="A142" s="29"/>
    </row>
    <row r="143" spans="1:1" ht="11.25" customHeight="1" x14ac:dyDescent="0.2">
      <c r="A143" s="29"/>
    </row>
    <row r="144" spans="1:1" ht="11.25" customHeight="1" x14ac:dyDescent="0.2">
      <c r="A144" s="29"/>
    </row>
    <row r="145" spans="1:1" ht="11.25" customHeight="1" x14ac:dyDescent="0.2">
      <c r="A145" s="29"/>
    </row>
    <row r="146" spans="1:1" ht="11.25" customHeight="1" x14ac:dyDescent="0.2">
      <c r="A146" s="29"/>
    </row>
    <row r="147" spans="1:1" ht="11.25" customHeight="1" x14ac:dyDescent="0.2">
      <c r="A147" s="29"/>
    </row>
    <row r="148" spans="1:1" ht="11.25" customHeight="1" x14ac:dyDescent="0.2">
      <c r="A148" s="29"/>
    </row>
    <row r="149" spans="1:1" ht="11.25" customHeight="1" x14ac:dyDescent="0.2">
      <c r="A149" s="29"/>
    </row>
    <row r="150" spans="1:1" ht="11.25" customHeight="1" x14ac:dyDescent="0.2">
      <c r="A150" s="29"/>
    </row>
    <row r="151" spans="1:1" ht="11.25" customHeight="1" x14ac:dyDescent="0.2">
      <c r="A151" s="29"/>
    </row>
    <row r="152" spans="1:1" ht="11.25" customHeight="1" x14ac:dyDescent="0.2">
      <c r="A152" s="29"/>
    </row>
    <row r="153" spans="1:1" ht="11.25" customHeight="1" x14ac:dyDescent="0.2">
      <c r="A153" s="29"/>
    </row>
    <row r="154" spans="1:1" ht="11.25" customHeight="1" x14ac:dyDescent="0.2">
      <c r="A154" s="29"/>
    </row>
    <row r="155" spans="1:1" ht="11.25" customHeight="1" x14ac:dyDescent="0.2">
      <c r="A155" s="29"/>
    </row>
    <row r="156" spans="1:1" ht="11.25" customHeight="1" x14ac:dyDescent="0.2">
      <c r="A156" s="29"/>
    </row>
    <row r="157" spans="1:1" ht="11.25" customHeight="1" x14ac:dyDescent="0.2">
      <c r="A157" s="29"/>
    </row>
    <row r="158" spans="1:1" ht="11.25" customHeight="1" x14ac:dyDescent="0.2">
      <c r="A158" s="29"/>
    </row>
  </sheetData>
  <mergeCells count="1">
    <mergeCell ref="A1:E1"/>
  </mergeCells>
  <pageMargins left="0.7" right="0.7" top="0.75" bottom="0.75" header="0.511811023622047" footer="0.511811023622047"/>
  <pageSetup paperSize="9"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D14"/>
  <sheetViews>
    <sheetView showGridLines="0" zoomScaleNormal="100" workbookViewId="0">
      <selection activeCell="N8" sqref="N8"/>
    </sheetView>
  </sheetViews>
  <sheetFormatPr defaultColWidth="9.140625" defaultRowHeight="11.25" x14ac:dyDescent="0.2"/>
  <cols>
    <col min="1" max="1" width="9.140625" style="2"/>
    <col min="2" max="2" width="5.5703125" style="2" customWidth="1"/>
    <col min="3" max="3" width="5.85546875" style="2" customWidth="1"/>
    <col min="4" max="4" width="5.140625" style="2" customWidth="1"/>
    <col min="5" max="16384" width="9.140625" style="2"/>
  </cols>
  <sheetData>
    <row r="2" spans="2:4" ht="20.25" customHeight="1" x14ac:dyDescent="0.2">
      <c r="B2" s="31" t="s">
        <v>2794</v>
      </c>
      <c r="C2" s="32" t="s">
        <v>2795</v>
      </c>
      <c r="D2" s="32" t="s">
        <v>2796</v>
      </c>
    </row>
    <row r="3" spans="2:4" ht="11.25" customHeight="1" x14ac:dyDescent="0.2">
      <c r="B3" s="33" t="s">
        <v>2797</v>
      </c>
      <c r="C3" s="34">
        <v>0.63</v>
      </c>
      <c r="D3" s="34">
        <v>0.75</v>
      </c>
    </row>
    <row r="4" spans="2:4" ht="11.25" customHeight="1" x14ac:dyDescent="0.2">
      <c r="B4" s="35" t="s">
        <v>2798</v>
      </c>
      <c r="C4" s="36">
        <v>0.45</v>
      </c>
      <c r="D4" s="36">
        <v>0.75</v>
      </c>
    </row>
    <row r="5" spans="2:4" ht="11.25" customHeight="1" x14ac:dyDescent="0.2">
      <c r="B5" s="35" t="s">
        <v>2799</v>
      </c>
      <c r="C5" s="36">
        <v>0.48982232829488198</v>
      </c>
      <c r="D5" s="36">
        <v>0.75</v>
      </c>
    </row>
    <row r="6" spans="2:4" ht="11.25" customHeight="1" x14ac:dyDescent="0.2">
      <c r="B6" s="35" t="s">
        <v>2800</v>
      </c>
      <c r="C6" s="36">
        <v>0.60159596856495501</v>
      </c>
      <c r="D6" s="36">
        <v>0.75</v>
      </c>
    </row>
    <row r="7" spans="2:4" ht="11.25" customHeight="1" x14ac:dyDescent="0.2">
      <c r="B7" s="35" t="s">
        <v>2801</v>
      </c>
      <c r="C7" s="36">
        <v>0.958623558151388</v>
      </c>
      <c r="D7" s="36">
        <v>0.75</v>
      </c>
    </row>
    <row r="8" spans="2:4" ht="11.25" customHeight="1" x14ac:dyDescent="0.2">
      <c r="B8" s="35" t="s">
        <v>2802</v>
      </c>
      <c r="C8" s="36">
        <v>0.90662135795062104</v>
      </c>
      <c r="D8" s="36">
        <v>0.75</v>
      </c>
    </row>
    <row r="9" spans="2:4" ht="11.25" customHeight="1" x14ac:dyDescent="0.2">
      <c r="B9" s="35" t="s">
        <v>2803</v>
      </c>
      <c r="C9" s="36">
        <v>0.79126155197933101</v>
      </c>
      <c r="D9" s="36">
        <v>0.75</v>
      </c>
    </row>
    <row r="10" spans="2:4" ht="11.25" customHeight="1" x14ac:dyDescent="0.2">
      <c r="B10" s="35" t="s">
        <v>2804</v>
      </c>
      <c r="C10" s="36">
        <v>0.69318143882490402</v>
      </c>
      <c r="D10" s="36">
        <v>0.75</v>
      </c>
    </row>
    <row r="11" spans="2:4" ht="11.25" customHeight="1" x14ac:dyDescent="0.2">
      <c r="B11" s="35" t="s">
        <v>2805</v>
      </c>
      <c r="C11" s="36">
        <v>0.78169972214237804</v>
      </c>
      <c r="D11" s="36">
        <v>0.75</v>
      </c>
    </row>
    <row r="12" spans="2:4" ht="11.25" customHeight="1" x14ac:dyDescent="0.2">
      <c r="B12" s="35" t="s">
        <v>2806</v>
      </c>
      <c r="C12" s="36">
        <v>0.71798778773600802</v>
      </c>
      <c r="D12" s="36">
        <v>0.75</v>
      </c>
    </row>
    <row r="13" spans="2:4" ht="11.25" customHeight="1" x14ac:dyDescent="0.2">
      <c r="B13" s="35" t="s">
        <v>2807</v>
      </c>
      <c r="C13" s="36">
        <v>0.7056</v>
      </c>
      <c r="D13" s="36">
        <v>0.75</v>
      </c>
    </row>
    <row r="14" spans="2:4" ht="11.25" customHeight="1" x14ac:dyDescent="0.2">
      <c r="B14" s="37" t="s">
        <v>2808</v>
      </c>
      <c r="C14" s="38">
        <v>0.823484154888942</v>
      </c>
      <c r="D14" s="38">
        <v>0.75</v>
      </c>
    </row>
  </sheetData>
  <pageMargins left="0.7" right="0.7" top="0.75" bottom="0.75" header="0.511811023622047" footer="0.511811023622047"/>
  <pageSetup paperSize="9"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F101"/>
  <sheetViews>
    <sheetView showGridLines="0" zoomScaleNormal="100" workbookViewId="0">
      <selection activeCell="K7" sqref="K7"/>
    </sheetView>
  </sheetViews>
  <sheetFormatPr defaultColWidth="8.7109375" defaultRowHeight="15" x14ac:dyDescent="0.25"/>
  <cols>
    <col min="1" max="1" width="25.28515625" style="21" customWidth="1"/>
    <col min="2" max="2" width="5.5703125" style="21" customWidth="1"/>
    <col min="3" max="3" width="10.85546875" style="21" customWidth="1"/>
  </cols>
  <sheetData>
    <row r="2" spans="1:6" ht="15" customHeight="1" x14ac:dyDescent="0.25">
      <c r="A2" s="39" t="s">
        <v>2809</v>
      </c>
      <c r="B2" s="40" t="s">
        <v>2810</v>
      </c>
      <c r="C2" s="40" t="s">
        <v>2811</v>
      </c>
      <c r="E2" s="21" t="s">
        <v>2812</v>
      </c>
      <c r="F2" s="21" t="s">
        <v>2813</v>
      </c>
    </row>
    <row r="3" spans="1:6" ht="15" customHeight="1" x14ac:dyDescent="0.25">
      <c r="A3" s="41" t="s">
        <v>2814</v>
      </c>
      <c r="B3" s="42">
        <v>6.5781762993178701</v>
      </c>
      <c r="C3" s="42">
        <v>7.5</v>
      </c>
      <c r="E3" s="21" t="s">
        <v>2815</v>
      </c>
      <c r="F3" s="21">
        <v>5</v>
      </c>
    </row>
    <row r="4" spans="1:6" ht="15" customHeight="1" x14ac:dyDescent="0.25">
      <c r="A4" s="41" t="s">
        <v>2816</v>
      </c>
      <c r="B4" s="42">
        <v>0.77165621001052498</v>
      </c>
      <c r="C4" s="42">
        <v>7.5</v>
      </c>
      <c r="E4" s="21" t="s">
        <v>2817</v>
      </c>
      <c r="F4" s="21">
        <v>2</v>
      </c>
    </row>
    <row r="5" spans="1:6" ht="15" customHeight="1" x14ac:dyDescent="0.25">
      <c r="A5" s="41" t="s">
        <v>2818</v>
      </c>
      <c r="B5" s="42">
        <v>2.16355593755326</v>
      </c>
      <c r="C5" s="42">
        <v>7.5</v>
      </c>
      <c r="E5" s="21" t="s">
        <v>2819</v>
      </c>
      <c r="F5" s="21">
        <v>1</v>
      </c>
    </row>
    <row r="6" spans="1:6" ht="15" customHeight="1" x14ac:dyDescent="0.25">
      <c r="A6" s="41" t="s">
        <v>2820</v>
      </c>
      <c r="B6" s="42">
        <v>4.9935877120868097</v>
      </c>
      <c r="C6" s="42">
        <v>7.5</v>
      </c>
      <c r="E6" s="21" t="s">
        <v>2821</v>
      </c>
      <c r="F6" s="21">
        <v>7</v>
      </c>
    </row>
    <row r="7" spans="1:6" ht="15" customHeight="1" x14ac:dyDescent="0.25">
      <c r="A7" s="41" t="s">
        <v>2822</v>
      </c>
      <c r="B7" s="42">
        <v>1.11382895081681</v>
      </c>
      <c r="C7" s="42">
        <v>7.5</v>
      </c>
      <c r="E7" s="21" t="s">
        <v>2823</v>
      </c>
      <c r="F7" s="21">
        <v>19</v>
      </c>
    </row>
    <row r="8" spans="1:6" ht="15" customHeight="1" x14ac:dyDescent="0.25">
      <c r="A8" s="41" t="s">
        <v>2824</v>
      </c>
      <c r="B8" s="42">
        <v>1.55878113371996</v>
      </c>
      <c r="C8" s="42">
        <v>7.5</v>
      </c>
      <c r="E8" s="21" t="s">
        <v>2825</v>
      </c>
      <c r="F8" s="21">
        <v>31</v>
      </c>
    </row>
    <row r="9" spans="1:6" ht="15" customHeight="1" x14ac:dyDescent="0.25">
      <c r="A9" s="41" t="s">
        <v>2826</v>
      </c>
      <c r="B9" s="42">
        <v>12.0653797398863</v>
      </c>
      <c r="C9" s="42">
        <v>7.5</v>
      </c>
      <c r="E9" s="21" t="s">
        <v>2827</v>
      </c>
      <c r="F9" s="21">
        <v>21</v>
      </c>
    </row>
    <row r="10" spans="1:6" ht="15" customHeight="1" x14ac:dyDescent="0.25">
      <c r="A10" s="41" t="s">
        <v>2828</v>
      </c>
      <c r="B10" s="42">
        <v>12.4444169960154</v>
      </c>
      <c r="C10" s="42">
        <v>7.5</v>
      </c>
      <c r="E10" s="21" t="s">
        <v>2829</v>
      </c>
      <c r="F10" s="21">
        <v>10</v>
      </c>
    </row>
    <row r="11" spans="1:6" ht="15" customHeight="1" x14ac:dyDescent="0.25">
      <c r="A11" s="41" t="s">
        <v>2830</v>
      </c>
      <c r="B11" s="42">
        <v>7.26238557230959</v>
      </c>
      <c r="C11" s="42">
        <v>7.5</v>
      </c>
    </row>
    <row r="12" spans="1:6" ht="15" customHeight="1" x14ac:dyDescent="0.25">
      <c r="A12" s="41" t="s">
        <v>2831</v>
      </c>
      <c r="B12" s="42">
        <v>5.5797001615670796</v>
      </c>
      <c r="C12" s="42">
        <v>7.5</v>
      </c>
    </row>
    <row r="13" spans="1:6" ht="15" customHeight="1" x14ac:dyDescent="0.25">
      <c r="A13" s="41" t="s">
        <v>2832</v>
      </c>
      <c r="B13" s="42">
        <v>8.61427561936706</v>
      </c>
      <c r="C13" s="42">
        <v>7.5</v>
      </c>
    </row>
    <row r="14" spans="1:6" ht="15" customHeight="1" x14ac:dyDescent="0.25">
      <c r="A14" s="41" t="s">
        <v>2833</v>
      </c>
      <c r="B14" s="42">
        <v>4.6251909467742696</v>
      </c>
      <c r="C14" s="42">
        <v>7.5</v>
      </c>
    </row>
    <row r="15" spans="1:6" ht="15" customHeight="1" x14ac:dyDescent="0.25">
      <c r="A15" s="41" t="s">
        <v>2834</v>
      </c>
      <c r="B15" s="42">
        <v>7.0531375308707602</v>
      </c>
      <c r="C15" s="42">
        <v>7.5</v>
      </c>
    </row>
    <row r="16" spans="1:6" ht="15" customHeight="1" x14ac:dyDescent="0.25">
      <c r="A16" s="41" t="s">
        <v>2835</v>
      </c>
      <c r="B16" s="42">
        <v>8.9117734429151394</v>
      </c>
      <c r="C16" s="42">
        <v>7.5</v>
      </c>
    </row>
    <row r="17" spans="1:3" ht="15" customHeight="1" x14ac:dyDescent="0.25">
      <c r="A17" s="41" t="s">
        <v>2836</v>
      </c>
      <c r="B17" s="42">
        <v>9.0289662441584806</v>
      </c>
      <c r="C17" s="42">
        <v>7.5</v>
      </c>
    </row>
    <row r="18" spans="1:3" ht="15" customHeight="1" x14ac:dyDescent="0.25">
      <c r="A18" s="41" t="s">
        <v>2837</v>
      </c>
      <c r="B18" s="42">
        <v>9.8840163444238698</v>
      </c>
      <c r="C18" s="42">
        <v>7.5</v>
      </c>
    </row>
    <row r="19" spans="1:3" ht="15" customHeight="1" x14ac:dyDescent="0.25">
      <c r="A19" s="41" t="s">
        <v>2838</v>
      </c>
      <c r="B19" s="42">
        <v>9.6676718200388407</v>
      </c>
      <c r="C19" s="42">
        <v>7.5</v>
      </c>
    </row>
    <row r="20" spans="1:3" ht="15" customHeight="1" x14ac:dyDescent="0.25">
      <c r="A20" s="41" t="s">
        <v>2839</v>
      </c>
      <c r="B20" s="42">
        <v>9.3939422655147702</v>
      </c>
      <c r="C20" s="42">
        <v>7.5</v>
      </c>
    </row>
    <row r="21" spans="1:3" ht="15" customHeight="1" x14ac:dyDescent="0.25">
      <c r="A21" s="41" t="s">
        <v>2840</v>
      </c>
      <c r="B21" s="42">
        <v>8.8602120372815794</v>
      </c>
      <c r="C21" s="42">
        <v>7.5</v>
      </c>
    </row>
    <row r="22" spans="1:3" ht="15" customHeight="1" x14ac:dyDescent="0.25">
      <c r="A22" s="41" t="s">
        <v>2841</v>
      </c>
      <c r="B22" s="42"/>
      <c r="C22" s="42">
        <v>7.5</v>
      </c>
    </row>
    <row r="23" spans="1:3" ht="15" customHeight="1" x14ac:dyDescent="0.25">
      <c r="A23" s="41" t="s">
        <v>2842</v>
      </c>
      <c r="B23" s="42">
        <v>11.858295451840901</v>
      </c>
      <c r="C23" s="42">
        <v>7.5</v>
      </c>
    </row>
    <row r="24" spans="1:3" ht="15" customHeight="1" x14ac:dyDescent="0.25">
      <c r="A24" s="41" t="s">
        <v>2843</v>
      </c>
      <c r="B24" s="42">
        <v>9.5729890366863</v>
      </c>
      <c r="C24" s="42">
        <v>7.5</v>
      </c>
    </row>
    <row r="25" spans="1:3" ht="15" customHeight="1" x14ac:dyDescent="0.25">
      <c r="A25" s="41" t="s">
        <v>2844</v>
      </c>
      <c r="B25" s="42">
        <v>7.6970698799364099</v>
      </c>
      <c r="C25" s="42">
        <v>7.5</v>
      </c>
    </row>
    <row r="26" spans="1:3" ht="15" customHeight="1" x14ac:dyDescent="0.25">
      <c r="A26" s="41" t="s">
        <v>2845</v>
      </c>
      <c r="B26" s="42">
        <v>9.1128493216231803</v>
      </c>
      <c r="C26" s="42">
        <v>7.5</v>
      </c>
    </row>
    <row r="27" spans="1:3" ht="15" customHeight="1" x14ac:dyDescent="0.25">
      <c r="A27" s="41" t="s">
        <v>2846</v>
      </c>
      <c r="B27" s="42">
        <v>7.38709395814627</v>
      </c>
      <c r="C27" s="42">
        <v>7.5</v>
      </c>
    </row>
    <row r="28" spans="1:3" ht="15" customHeight="1" x14ac:dyDescent="0.25">
      <c r="A28" s="41" t="s">
        <v>2847</v>
      </c>
      <c r="B28" s="42">
        <v>9.9681373208636508</v>
      </c>
      <c r="C28" s="42">
        <v>7.5</v>
      </c>
    </row>
    <row r="29" spans="1:3" ht="15" customHeight="1" x14ac:dyDescent="0.25">
      <c r="A29" s="41" t="s">
        <v>2848</v>
      </c>
      <c r="B29" s="42">
        <v>8.5295720426397796</v>
      </c>
      <c r="C29" s="42">
        <v>7.5</v>
      </c>
    </row>
    <row r="30" spans="1:3" ht="15" customHeight="1" x14ac:dyDescent="0.25">
      <c r="A30" s="41" t="s">
        <v>2849</v>
      </c>
      <c r="B30" s="42">
        <v>9.6764763204053796</v>
      </c>
      <c r="C30" s="42">
        <v>7.5</v>
      </c>
    </row>
    <row r="31" spans="1:3" ht="15" customHeight="1" x14ac:dyDescent="0.25">
      <c r="A31" s="41" t="s">
        <v>2850</v>
      </c>
      <c r="B31" s="42">
        <v>9.9832032657530299</v>
      </c>
      <c r="C31" s="42">
        <v>7.5</v>
      </c>
    </row>
    <row r="32" spans="1:3" ht="15" customHeight="1" x14ac:dyDescent="0.25">
      <c r="A32" s="41" t="s">
        <v>2851</v>
      </c>
      <c r="B32" s="42">
        <v>10.009876661417801</v>
      </c>
      <c r="C32" s="42">
        <v>7.5</v>
      </c>
    </row>
    <row r="33" spans="1:3" ht="15" customHeight="1" x14ac:dyDescent="0.25">
      <c r="A33" s="41" t="s">
        <v>2852</v>
      </c>
      <c r="B33" s="42">
        <v>9.6312522281626691</v>
      </c>
      <c r="C33" s="42">
        <v>7.5</v>
      </c>
    </row>
    <row r="34" spans="1:3" ht="15" customHeight="1" x14ac:dyDescent="0.25">
      <c r="A34" s="41" t="s">
        <v>2853</v>
      </c>
      <c r="B34" s="42">
        <v>9.81507634684686</v>
      </c>
      <c r="C34" s="42">
        <v>7.5</v>
      </c>
    </row>
    <row r="35" spans="1:3" ht="15" customHeight="1" x14ac:dyDescent="0.25">
      <c r="A35" s="41" t="s">
        <v>2854</v>
      </c>
      <c r="B35" s="42">
        <v>5.9600687860100496</v>
      </c>
      <c r="C35" s="42">
        <v>7.5</v>
      </c>
    </row>
    <row r="36" spans="1:3" ht="15" customHeight="1" x14ac:dyDescent="0.25">
      <c r="A36" s="41" t="s">
        <v>2855</v>
      </c>
      <c r="B36" s="42">
        <v>11.072899739192399</v>
      </c>
      <c r="C36" s="42">
        <v>7.5</v>
      </c>
    </row>
    <row r="37" spans="1:3" ht="15" customHeight="1" x14ac:dyDescent="0.25">
      <c r="A37" s="41" t="s">
        <v>2856</v>
      </c>
      <c r="B37" s="42">
        <v>10.059519812949</v>
      </c>
      <c r="C37" s="42">
        <v>7.5</v>
      </c>
    </row>
    <row r="38" spans="1:3" ht="15" customHeight="1" x14ac:dyDescent="0.25">
      <c r="A38" s="41" t="s">
        <v>2857</v>
      </c>
      <c r="B38" s="42">
        <v>7.1195242482619996</v>
      </c>
      <c r="C38" s="42">
        <v>7.5</v>
      </c>
    </row>
    <row r="39" spans="1:3" ht="15" customHeight="1" x14ac:dyDescent="0.25">
      <c r="A39" s="41" t="s">
        <v>2858</v>
      </c>
      <c r="B39" s="42">
        <v>11.1554179917678</v>
      </c>
      <c r="C39" s="42">
        <v>7.5</v>
      </c>
    </row>
    <row r="40" spans="1:3" ht="15" customHeight="1" x14ac:dyDescent="0.25">
      <c r="A40" s="41" t="s">
        <v>2859</v>
      </c>
      <c r="B40" s="42">
        <v>9.4013351491734198</v>
      </c>
      <c r="C40" s="42">
        <v>7.5</v>
      </c>
    </row>
    <row r="41" spans="1:3" ht="15" customHeight="1" x14ac:dyDescent="0.25">
      <c r="A41" s="41" t="s">
        <v>2860</v>
      </c>
      <c r="B41" s="42">
        <v>10.276720502006</v>
      </c>
      <c r="C41" s="42">
        <v>7.5</v>
      </c>
    </row>
    <row r="42" spans="1:3" ht="15" customHeight="1" x14ac:dyDescent="0.25">
      <c r="A42" s="41" t="s">
        <v>2861</v>
      </c>
      <c r="B42" s="42">
        <v>9.36842548346646</v>
      </c>
      <c r="C42" s="42">
        <v>7.5</v>
      </c>
    </row>
    <row r="43" spans="1:3" ht="15" customHeight="1" x14ac:dyDescent="0.25">
      <c r="A43" s="41" t="s">
        <v>2862</v>
      </c>
      <c r="B43" s="42">
        <v>9.3382287380502405</v>
      </c>
      <c r="C43" s="42">
        <v>7.5</v>
      </c>
    </row>
    <row r="44" spans="1:3" ht="15" customHeight="1" x14ac:dyDescent="0.25">
      <c r="A44" s="41" t="s">
        <v>2863</v>
      </c>
      <c r="B44" s="42">
        <v>11.187390060059901</v>
      </c>
      <c r="C44" s="42">
        <v>7.5</v>
      </c>
    </row>
    <row r="45" spans="1:3" ht="15" customHeight="1" x14ac:dyDescent="0.25">
      <c r="A45" s="41" t="s">
        <v>2864</v>
      </c>
      <c r="B45" s="42"/>
      <c r="C45" s="42">
        <v>7.5</v>
      </c>
    </row>
    <row r="46" spans="1:3" ht="15" customHeight="1" x14ac:dyDescent="0.25">
      <c r="A46" s="41" t="s">
        <v>2865</v>
      </c>
      <c r="B46" s="42">
        <v>11.5562639134919</v>
      </c>
      <c r="C46" s="42">
        <v>7.5</v>
      </c>
    </row>
    <row r="47" spans="1:3" ht="15" customHeight="1" x14ac:dyDescent="0.25">
      <c r="A47" s="41" t="s">
        <v>2866</v>
      </c>
      <c r="B47" s="42">
        <v>11.093199336912599</v>
      </c>
      <c r="C47" s="42">
        <v>7.5</v>
      </c>
    </row>
    <row r="48" spans="1:3" ht="15" customHeight="1" x14ac:dyDescent="0.25">
      <c r="A48" s="41" t="s">
        <v>2867</v>
      </c>
      <c r="B48" s="42">
        <v>10.5352971473874</v>
      </c>
      <c r="C48" s="42">
        <v>7.5</v>
      </c>
    </row>
    <row r="49" spans="1:3" ht="15" customHeight="1" x14ac:dyDescent="0.25">
      <c r="A49" s="41" t="s">
        <v>2868</v>
      </c>
      <c r="B49" s="42">
        <v>10.0811363554545</v>
      </c>
      <c r="C49" s="42">
        <v>7.5</v>
      </c>
    </row>
    <row r="50" spans="1:3" ht="15" customHeight="1" x14ac:dyDescent="0.25">
      <c r="A50" s="41" t="s">
        <v>2869</v>
      </c>
      <c r="B50" s="42">
        <v>10.459192715275501</v>
      </c>
      <c r="C50" s="42">
        <v>7.5</v>
      </c>
    </row>
    <row r="51" spans="1:3" ht="15" customHeight="1" x14ac:dyDescent="0.25">
      <c r="A51" s="41" t="s">
        <v>2870</v>
      </c>
      <c r="B51" s="42">
        <v>9.3215115012929104</v>
      </c>
      <c r="C51" s="42">
        <v>7.5</v>
      </c>
    </row>
    <row r="52" spans="1:3" ht="15" customHeight="1" x14ac:dyDescent="0.25">
      <c r="A52" s="41" t="s">
        <v>2871</v>
      </c>
      <c r="B52" s="42">
        <v>11.1764153189502</v>
      </c>
      <c r="C52" s="42">
        <v>7.5</v>
      </c>
    </row>
    <row r="53" spans="1:3" ht="15" customHeight="1" x14ac:dyDescent="0.25">
      <c r="A53" s="41" t="s">
        <v>2872</v>
      </c>
      <c r="B53" s="42">
        <v>10.2993734146603</v>
      </c>
      <c r="C53" s="42">
        <v>7.5</v>
      </c>
    </row>
    <row r="54" spans="1:3" ht="15" customHeight="1" x14ac:dyDescent="0.25">
      <c r="A54" s="41" t="s">
        <v>2873</v>
      </c>
      <c r="B54" s="42">
        <v>9.3573421324685295</v>
      </c>
      <c r="C54" s="42">
        <v>7.5</v>
      </c>
    </row>
    <row r="55" spans="1:3" ht="15" customHeight="1" x14ac:dyDescent="0.25">
      <c r="A55" s="41" t="s">
        <v>2874</v>
      </c>
      <c r="B55" s="42">
        <v>9.7462935176135392</v>
      </c>
      <c r="C55" s="42">
        <v>7.5</v>
      </c>
    </row>
    <row r="56" spans="1:3" ht="15" customHeight="1" x14ac:dyDescent="0.25">
      <c r="A56" s="41" t="s">
        <v>2875</v>
      </c>
      <c r="B56" s="42">
        <v>7.5807305050305498</v>
      </c>
      <c r="C56" s="42">
        <v>7.5</v>
      </c>
    </row>
    <row r="57" spans="1:3" ht="15" customHeight="1" x14ac:dyDescent="0.25">
      <c r="A57" s="41" t="s">
        <v>2876</v>
      </c>
      <c r="B57" s="42">
        <v>11.562706062994099</v>
      </c>
      <c r="C57" s="42">
        <v>7.5</v>
      </c>
    </row>
    <row r="58" spans="1:3" ht="15" customHeight="1" x14ac:dyDescent="0.25">
      <c r="A58" s="41" t="s">
        <v>2877</v>
      </c>
      <c r="B58" s="42">
        <v>10.5037793240023</v>
      </c>
      <c r="C58" s="42">
        <v>7.5</v>
      </c>
    </row>
    <row r="59" spans="1:3" ht="15" customHeight="1" x14ac:dyDescent="0.25">
      <c r="A59" s="41" t="s">
        <v>2878</v>
      </c>
      <c r="B59" s="42">
        <v>5.5450214311891504</v>
      </c>
      <c r="C59" s="42">
        <v>7.5</v>
      </c>
    </row>
    <row r="60" spans="1:3" ht="15" customHeight="1" x14ac:dyDescent="0.25">
      <c r="A60" s="41" t="s">
        <v>2879</v>
      </c>
      <c r="B60" s="42">
        <v>2.8432168968318399</v>
      </c>
      <c r="C60" s="42">
        <v>7.5</v>
      </c>
    </row>
    <row r="61" spans="1:3" ht="15" customHeight="1" x14ac:dyDescent="0.25">
      <c r="A61" s="41" t="s">
        <v>2880</v>
      </c>
      <c r="B61" s="42">
        <v>7.7345705724787299</v>
      </c>
      <c r="C61" s="42">
        <v>7.5</v>
      </c>
    </row>
    <row r="62" spans="1:3" ht="15" customHeight="1" x14ac:dyDescent="0.25">
      <c r="A62" s="41" t="s">
        <v>2881</v>
      </c>
      <c r="B62" s="42">
        <v>6.7698388324138801</v>
      </c>
      <c r="C62" s="42">
        <v>7.5</v>
      </c>
    </row>
    <row r="63" spans="1:3" ht="15" customHeight="1" x14ac:dyDescent="0.25">
      <c r="A63" s="41" t="s">
        <v>2882</v>
      </c>
      <c r="B63" s="42">
        <v>6.5144789104053</v>
      </c>
      <c r="C63" s="42">
        <v>7.5</v>
      </c>
    </row>
    <row r="64" spans="1:3" ht="15" customHeight="1" x14ac:dyDescent="0.25">
      <c r="A64" s="41" t="s">
        <v>2883</v>
      </c>
      <c r="B64" s="42">
        <v>11.6739493616396</v>
      </c>
      <c r="C64" s="42">
        <v>7.5</v>
      </c>
    </row>
    <row r="65" spans="1:3" ht="15" customHeight="1" x14ac:dyDescent="0.25">
      <c r="A65" s="41" t="s">
        <v>2884</v>
      </c>
      <c r="B65" s="42">
        <v>11.0232611435774</v>
      </c>
      <c r="C65" s="42">
        <v>7.5</v>
      </c>
    </row>
    <row r="66" spans="1:3" ht="15" customHeight="1" x14ac:dyDescent="0.25">
      <c r="A66" s="41" t="s">
        <v>2885</v>
      </c>
      <c r="B66" s="42">
        <v>9.5481317684598395</v>
      </c>
      <c r="C66" s="42">
        <v>7.5</v>
      </c>
    </row>
    <row r="67" spans="1:3" ht="15" customHeight="1" x14ac:dyDescent="0.25">
      <c r="A67" s="41" t="s">
        <v>2886</v>
      </c>
      <c r="B67" s="42">
        <v>13.043800348391301</v>
      </c>
      <c r="C67" s="42">
        <v>7.5</v>
      </c>
    </row>
    <row r="68" spans="1:3" ht="15" customHeight="1" x14ac:dyDescent="0.25">
      <c r="A68" s="41" t="s">
        <v>2887</v>
      </c>
      <c r="B68" s="42">
        <v>9.5016423397689902</v>
      </c>
      <c r="C68" s="42">
        <v>7.5</v>
      </c>
    </row>
    <row r="69" spans="1:3" ht="15" customHeight="1" x14ac:dyDescent="0.25">
      <c r="A69" s="41" t="s">
        <v>2888</v>
      </c>
      <c r="B69" s="42">
        <v>10.4488560552912</v>
      </c>
      <c r="C69" s="42">
        <v>7.5</v>
      </c>
    </row>
    <row r="70" spans="1:3" ht="15" customHeight="1" x14ac:dyDescent="0.25">
      <c r="A70" s="41" t="s">
        <v>2889</v>
      </c>
      <c r="B70" s="42">
        <v>10.4724256821768</v>
      </c>
      <c r="C70" s="42">
        <v>7.5</v>
      </c>
    </row>
    <row r="71" spans="1:3" ht="15" customHeight="1" x14ac:dyDescent="0.25">
      <c r="A71" s="41" t="s">
        <v>2890</v>
      </c>
      <c r="B71" s="42">
        <v>9.5397506159571801</v>
      </c>
      <c r="C71" s="42">
        <v>7.5</v>
      </c>
    </row>
    <row r="72" spans="1:3" ht="15" customHeight="1" x14ac:dyDescent="0.25">
      <c r="A72" s="41" t="s">
        <v>2891</v>
      </c>
      <c r="B72" s="42">
        <v>9.5983767116234908</v>
      </c>
      <c r="C72" s="42">
        <v>7.5</v>
      </c>
    </row>
    <row r="73" spans="1:3" ht="15" customHeight="1" x14ac:dyDescent="0.25">
      <c r="A73" s="41" t="s">
        <v>2892</v>
      </c>
      <c r="B73" s="42">
        <v>11.9234066530425</v>
      </c>
      <c r="C73" s="42">
        <v>7.5</v>
      </c>
    </row>
    <row r="74" spans="1:3" ht="15" customHeight="1" x14ac:dyDescent="0.25">
      <c r="A74" s="41" t="s">
        <v>2893</v>
      </c>
      <c r="B74" s="42">
        <v>12.0473867140772</v>
      </c>
      <c r="C74" s="42">
        <v>7.5</v>
      </c>
    </row>
    <row r="75" spans="1:3" ht="15" customHeight="1" x14ac:dyDescent="0.25">
      <c r="A75" s="41" t="s">
        <v>2894</v>
      </c>
      <c r="B75" s="42">
        <v>6.1480740812841201</v>
      </c>
      <c r="C75" s="42">
        <v>7.5</v>
      </c>
    </row>
    <row r="76" spans="1:3" ht="15" customHeight="1" x14ac:dyDescent="0.25">
      <c r="A76" s="41" t="s">
        <v>2895</v>
      </c>
      <c r="B76" s="42">
        <v>8.6465713942596398</v>
      </c>
      <c r="C76" s="42">
        <v>7.5</v>
      </c>
    </row>
    <row r="77" spans="1:3" ht="15" customHeight="1" x14ac:dyDescent="0.25">
      <c r="A77" s="41" t="s">
        <v>2896</v>
      </c>
      <c r="B77" s="42">
        <v>12.017587176175599</v>
      </c>
      <c r="C77" s="42">
        <v>7.5</v>
      </c>
    </row>
    <row r="78" spans="1:3" ht="15" customHeight="1" x14ac:dyDescent="0.25">
      <c r="A78" s="41" t="s">
        <v>2897</v>
      </c>
      <c r="B78" s="42">
        <v>9.6655540883042903</v>
      </c>
      <c r="C78" s="42">
        <v>7.5</v>
      </c>
    </row>
    <row r="79" spans="1:3" ht="15" customHeight="1" x14ac:dyDescent="0.25">
      <c r="A79" s="41" t="s">
        <v>2898</v>
      </c>
      <c r="B79" s="42">
        <v>8.9569329089324707</v>
      </c>
      <c r="C79" s="42">
        <v>7.5</v>
      </c>
    </row>
    <row r="80" spans="1:3" ht="15" customHeight="1" x14ac:dyDescent="0.25">
      <c r="A80" s="41" t="s">
        <v>2899</v>
      </c>
      <c r="B80" s="42">
        <v>9.29276573284249</v>
      </c>
      <c r="C80" s="42">
        <v>7.5</v>
      </c>
    </row>
    <row r="81" spans="1:3" ht="15" customHeight="1" x14ac:dyDescent="0.25">
      <c r="A81" s="41" t="s">
        <v>2900</v>
      </c>
      <c r="B81" s="42">
        <v>10.4719074335096</v>
      </c>
      <c r="C81" s="42">
        <v>7.5</v>
      </c>
    </row>
    <row r="82" spans="1:3" ht="15" customHeight="1" x14ac:dyDescent="0.25">
      <c r="A82" s="41" t="s">
        <v>2901</v>
      </c>
      <c r="B82" s="42">
        <v>9.48146440122669</v>
      </c>
      <c r="C82" s="42">
        <v>7.5</v>
      </c>
    </row>
    <row r="83" spans="1:3" ht="15" customHeight="1" x14ac:dyDescent="0.25">
      <c r="A83" s="41" t="s">
        <v>2902</v>
      </c>
      <c r="B83" s="42">
        <v>5.95467853432217</v>
      </c>
      <c r="C83" s="42">
        <v>7.5</v>
      </c>
    </row>
    <row r="84" spans="1:3" ht="15" customHeight="1" x14ac:dyDescent="0.25">
      <c r="A84" s="41" t="s">
        <v>2903</v>
      </c>
      <c r="B84" s="42"/>
      <c r="C84" s="42">
        <v>7.5</v>
      </c>
    </row>
    <row r="85" spans="1:3" ht="15" customHeight="1" x14ac:dyDescent="0.25">
      <c r="A85" s="41" t="s">
        <v>2904</v>
      </c>
      <c r="B85" s="42">
        <v>0</v>
      </c>
      <c r="C85" s="42">
        <v>7.5</v>
      </c>
    </row>
    <row r="86" spans="1:3" ht="15" customHeight="1" x14ac:dyDescent="0.25">
      <c r="A86" s="41" t="s">
        <v>2905</v>
      </c>
      <c r="B86" s="42">
        <v>0</v>
      </c>
      <c r="C86" s="42">
        <v>7.5</v>
      </c>
    </row>
    <row r="87" spans="1:3" ht="15" customHeight="1" x14ac:dyDescent="0.25">
      <c r="A87" s="41" t="s">
        <v>2906</v>
      </c>
      <c r="B87" s="42">
        <v>8.0816502656902394</v>
      </c>
      <c r="C87" s="42">
        <v>7.5</v>
      </c>
    </row>
    <row r="88" spans="1:3" ht="15" customHeight="1" x14ac:dyDescent="0.25">
      <c r="A88" s="41" t="s">
        <v>2907</v>
      </c>
      <c r="B88" s="42">
        <v>6.8274894420103296</v>
      </c>
      <c r="C88" s="42">
        <v>7.5</v>
      </c>
    </row>
    <row r="89" spans="1:3" ht="15" customHeight="1" x14ac:dyDescent="0.25">
      <c r="A89" s="41" t="s">
        <v>2908</v>
      </c>
      <c r="B89" s="42">
        <v>8.6223489316255897</v>
      </c>
      <c r="C89" s="42">
        <v>7.5</v>
      </c>
    </row>
    <row r="90" spans="1:3" ht="15" customHeight="1" x14ac:dyDescent="0.25">
      <c r="A90" s="41" t="s">
        <v>2909</v>
      </c>
      <c r="B90" s="42">
        <v>7.8740806565950301</v>
      </c>
      <c r="C90" s="42">
        <v>7.5</v>
      </c>
    </row>
    <row r="91" spans="1:3" ht="15" customHeight="1" x14ac:dyDescent="0.25">
      <c r="A91" s="41" t="s">
        <v>2910</v>
      </c>
      <c r="B91" s="42">
        <v>7.7199873327877997</v>
      </c>
      <c r="C91" s="42">
        <v>7.5</v>
      </c>
    </row>
    <row r="92" spans="1:3" ht="15" customHeight="1" x14ac:dyDescent="0.25">
      <c r="A92" s="41" t="s">
        <v>2911</v>
      </c>
      <c r="B92" s="42">
        <v>7.7279799036396097</v>
      </c>
      <c r="C92" s="42">
        <v>7.5</v>
      </c>
    </row>
    <row r="93" spans="1:3" ht="15" customHeight="1" x14ac:dyDescent="0.25">
      <c r="A93" s="41" t="s">
        <v>2912</v>
      </c>
      <c r="B93" s="42">
        <v>8.5247288334797506</v>
      </c>
      <c r="C93" s="42">
        <v>7.5</v>
      </c>
    </row>
    <row r="94" spans="1:3" ht="15" customHeight="1" x14ac:dyDescent="0.25">
      <c r="A94" s="41" t="s">
        <v>2913</v>
      </c>
      <c r="B94" s="42">
        <v>7.7304209312763499</v>
      </c>
      <c r="C94" s="42">
        <v>7.5</v>
      </c>
    </row>
    <row r="95" spans="1:3" ht="15" customHeight="1" x14ac:dyDescent="0.25">
      <c r="A95" s="41" t="s">
        <v>2914</v>
      </c>
      <c r="B95" s="42">
        <v>9.5356925822214507</v>
      </c>
      <c r="C95" s="42">
        <v>7.5</v>
      </c>
    </row>
    <row r="96" spans="1:3" ht="15" customHeight="1" x14ac:dyDescent="0.25">
      <c r="A96" s="41" t="s">
        <v>2915</v>
      </c>
      <c r="B96" s="42">
        <v>9.0973849992637703</v>
      </c>
      <c r="C96" s="42">
        <v>7.5</v>
      </c>
    </row>
    <row r="97" spans="1:3" ht="15" customHeight="1" x14ac:dyDescent="0.25">
      <c r="A97" s="41" t="s">
        <v>2916</v>
      </c>
      <c r="B97" s="42">
        <v>7.6350710772113404</v>
      </c>
      <c r="C97" s="42">
        <v>7.5</v>
      </c>
    </row>
    <row r="98" spans="1:3" ht="15" customHeight="1" x14ac:dyDescent="0.25">
      <c r="A98" s="41" t="s">
        <v>2917</v>
      </c>
      <c r="B98" s="42">
        <v>9.55029500068418</v>
      </c>
      <c r="C98" s="42">
        <v>7.5</v>
      </c>
    </row>
    <row r="99" spans="1:3" ht="15" customHeight="1" x14ac:dyDescent="0.25">
      <c r="A99" s="41" t="s">
        <v>2918</v>
      </c>
      <c r="B99" s="42">
        <v>7.5006606654025001</v>
      </c>
      <c r="C99" s="42">
        <v>7.5</v>
      </c>
    </row>
    <row r="100" spans="1:3" ht="15" customHeight="1" x14ac:dyDescent="0.25">
      <c r="A100" s="41" t="s">
        <v>2919</v>
      </c>
      <c r="B100" s="42">
        <v>7.5170197856564203</v>
      </c>
      <c r="C100" s="42">
        <v>7.5</v>
      </c>
    </row>
    <row r="101" spans="1:3" ht="15" customHeight="1" x14ac:dyDescent="0.25">
      <c r="A101" s="41" t="s">
        <v>2920</v>
      </c>
      <c r="B101" s="42">
        <v>7.1069607929342</v>
      </c>
      <c r="C101" s="42">
        <v>7.5</v>
      </c>
    </row>
  </sheetData>
  <pageMargins left="0.7" right="0.7" top="0.75" bottom="0.75" header="0.511811023622047" footer="0.511811023622047"/>
  <pageSetup paperSize="9" orientation="portrait" horizontalDpi="300" verticalDpi="30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39"/>
  <sheetViews>
    <sheetView showGridLines="0" zoomScale="83" zoomScaleNormal="83" workbookViewId="0">
      <selection activeCell="I6" sqref="I6"/>
    </sheetView>
  </sheetViews>
  <sheetFormatPr defaultColWidth="8.7109375" defaultRowHeight="15" x14ac:dyDescent="0.25"/>
  <cols>
    <col min="1" max="1" width="12.7109375" style="21" customWidth="1"/>
    <col min="2" max="2" width="20.5703125" style="21" customWidth="1"/>
    <col min="3" max="3" width="13.5703125" style="21" customWidth="1"/>
    <col min="4" max="4" width="8" style="21" customWidth="1"/>
    <col min="5" max="5" width="10.140625" style="21" customWidth="1"/>
    <col min="6" max="6" width="10.140625" style="43" customWidth="1"/>
    <col min="8" max="8" width="14" style="21" customWidth="1"/>
    <col min="9" max="9" width="20.85546875" style="21" customWidth="1"/>
    <col min="10" max="10" width="19" style="21" customWidth="1"/>
  </cols>
  <sheetData>
    <row r="1" spans="1:10" ht="15" customHeight="1" x14ac:dyDescent="0.25">
      <c r="A1" s="44" t="s">
        <v>2921</v>
      </c>
      <c r="B1" s="44" t="s">
        <v>2922</v>
      </c>
      <c r="C1" s="44" t="s">
        <v>2923</v>
      </c>
      <c r="D1" s="44" t="s">
        <v>2810</v>
      </c>
      <c r="E1" s="45" t="s">
        <v>2924</v>
      </c>
      <c r="F1" s="45" t="s">
        <v>2924</v>
      </c>
      <c r="H1" s="46" t="s">
        <v>2925</v>
      </c>
      <c r="I1" s="47" t="s">
        <v>2929</v>
      </c>
    </row>
    <row r="2" spans="1:10" ht="15" customHeight="1" x14ac:dyDescent="0.25">
      <c r="A2" s="48">
        <v>45012</v>
      </c>
      <c r="B2" s="48" t="s">
        <v>2926</v>
      </c>
      <c r="C2" s="49" t="s">
        <v>2927</v>
      </c>
      <c r="D2" s="50">
        <v>9.1701374191285598</v>
      </c>
      <c r="E2" s="21">
        <v>7.0000000000000001E-3</v>
      </c>
      <c r="F2" s="51">
        <v>7.0000000000000001E-3</v>
      </c>
      <c r="H2" s="21" t="s">
        <v>2928</v>
      </c>
      <c r="I2" s="52" t="s">
        <v>2926</v>
      </c>
      <c r="J2" s="52" t="s">
        <v>2929</v>
      </c>
    </row>
    <row r="3" spans="1:10" ht="15" customHeight="1" x14ac:dyDescent="0.25">
      <c r="A3" s="48">
        <v>45019</v>
      </c>
      <c r="B3" s="48" t="s">
        <v>2926</v>
      </c>
      <c r="C3" s="49" t="s">
        <v>2927</v>
      </c>
      <c r="D3" s="50">
        <v>10.4000504504793</v>
      </c>
      <c r="E3" s="21">
        <v>5.0000000000000001E-3</v>
      </c>
      <c r="F3" s="51">
        <v>5.0000000000000001E-3</v>
      </c>
    </row>
    <row r="4" spans="1:10" ht="15" customHeight="1" x14ac:dyDescent="0.25">
      <c r="A4" s="48">
        <v>45026</v>
      </c>
      <c r="B4" s="48" t="s">
        <v>2926</v>
      </c>
      <c r="C4" s="49" t="s">
        <v>2927</v>
      </c>
      <c r="D4" s="50">
        <v>9.0536222981429706</v>
      </c>
      <c r="E4" s="21">
        <v>1.5E-3</v>
      </c>
      <c r="F4" s="51">
        <v>1.5E-3</v>
      </c>
      <c r="H4" s="53"/>
    </row>
    <row r="5" spans="1:10" ht="15" customHeight="1" x14ac:dyDescent="0.25">
      <c r="A5" s="48">
        <v>45033</v>
      </c>
      <c r="B5" s="48" t="s">
        <v>2926</v>
      </c>
      <c r="C5" s="49" t="s">
        <v>2930</v>
      </c>
      <c r="D5" s="50">
        <v>8.5693682381306395</v>
      </c>
      <c r="E5" s="21">
        <v>4.4999999999999997E-3</v>
      </c>
      <c r="F5" s="51">
        <v>4.4999999999999997E-3</v>
      </c>
      <c r="H5" s="53"/>
    </row>
    <row r="6" spans="1:10" ht="15" customHeight="1" x14ac:dyDescent="0.25">
      <c r="A6" s="48">
        <v>45040</v>
      </c>
      <c r="B6" s="48" t="s">
        <v>2926</v>
      </c>
      <c r="C6" s="49" t="s">
        <v>2930</v>
      </c>
      <c r="D6" s="50">
        <v>9.6882250112939001</v>
      </c>
      <c r="E6" s="21">
        <v>1.4E-3</v>
      </c>
      <c r="F6" s="51">
        <v>1.4E-3</v>
      </c>
    </row>
    <row r="7" spans="1:10" ht="15" customHeight="1" x14ac:dyDescent="0.25">
      <c r="A7" s="48">
        <v>45047</v>
      </c>
      <c r="B7" s="48" t="s">
        <v>2926</v>
      </c>
      <c r="C7" s="49" t="s">
        <v>2930</v>
      </c>
      <c r="D7" s="50">
        <v>10.2285793232668</v>
      </c>
      <c r="E7" s="21">
        <v>5.7999999999999996E-3</v>
      </c>
      <c r="F7" s="51">
        <v>5.7999999999999996E-3</v>
      </c>
    </row>
    <row r="8" spans="1:10" ht="15" customHeight="1" x14ac:dyDescent="0.25">
      <c r="A8" s="48">
        <v>45054</v>
      </c>
      <c r="B8" s="48" t="s">
        <v>2926</v>
      </c>
      <c r="C8" s="49" t="s">
        <v>2931</v>
      </c>
      <c r="D8" s="50">
        <v>10.7569600386516</v>
      </c>
      <c r="E8" s="21">
        <v>5.1999999999999998E-3</v>
      </c>
      <c r="F8" s="51">
        <v>5.1999999999999998E-3</v>
      </c>
    </row>
    <row r="9" spans="1:10" ht="15" customHeight="1" x14ac:dyDescent="0.25">
      <c r="A9" s="48">
        <v>45061</v>
      </c>
      <c r="B9" s="48" t="s">
        <v>2926</v>
      </c>
      <c r="C9" s="49" t="s">
        <v>2931</v>
      </c>
      <c r="D9" s="50">
        <v>11.0940710197419</v>
      </c>
      <c r="E9" s="21">
        <v>5.0000000000000001E-4</v>
      </c>
      <c r="F9" s="51">
        <v>5.0000000000000001E-4</v>
      </c>
    </row>
    <row r="10" spans="1:10" ht="15" customHeight="1" x14ac:dyDescent="0.25">
      <c r="A10" s="48">
        <v>45068</v>
      </c>
      <c r="B10" s="48" t="s">
        <v>2926</v>
      </c>
      <c r="C10" s="49" t="s">
        <v>2931</v>
      </c>
      <c r="D10" s="50">
        <v>9.9115208096220293</v>
      </c>
      <c r="E10" s="21">
        <v>6.9999999999999999E-4</v>
      </c>
      <c r="F10" s="51">
        <v>6.9999999999999999E-4</v>
      </c>
    </row>
    <row r="11" spans="1:10" ht="15" customHeight="1" x14ac:dyDescent="0.25">
      <c r="A11" s="48">
        <v>45075</v>
      </c>
      <c r="B11" s="48" t="s">
        <v>2926</v>
      </c>
      <c r="C11" s="49" t="s">
        <v>2927</v>
      </c>
      <c r="D11" s="50">
        <v>9.9824649433390693</v>
      </c>
      <c r="E11" s="21">
        <v>1.5E-3</v>
      </c>
      <c r="F11" s="51">
        <v>1.5E-3</v>
      </c>
    </row>
    <row r="12" spans="1:10" ht="15" customHeight="1" x14ac:dyDescent="0.25">
      <c r="A12" s="48">
        <v>45082</v>
      </c>
      <c r="B12" s="48" t="s">
        <v>2926</v>
      </c>
      <c r="C12" s="49" t="s">
        <v>2927</v>
      </c>
      <c r="D12" s="50">
        <v>10.564528086837701</v>
      </c>
      <c r="E12" s="21">
        <v>3.5000000000000001E-3</v>
      </c>
      <c r="F12" s="51">
        <v>3.5000000000000001E-3</v>
      </c>
    </row>
    <row r="13" spans="1:10" ht="15" customHeight="1" x14ac:dyDescent="0.25">
      <c r="A13" s="48">
        <v>45012</v>
      </c>
      <c r="B13" s="54" t="s">
        <v>2929</v>
      </c>
      <c r="C13" s="49" t="s">
        <v>2927</v>
      </c>
      <c r="D13" s="50">
        <v>8.5693682381306395</v>
      </c>
      <c r="E13" s="21">
        <v>1.5E-3</v>
      </c>
      <c r="F13" s="51">
        <v>1.5E-3</v>
      </c>
    </row>
    <row r="14" spans="1:10" ht="15" customHeight="1" x14ac:dyDescent="0.25">
      <c r="A14" s="48">
        <v>45019</v>
      </c>
      <c r="B14" s="54" t="s">
        <v>2929</v>
      </c>
      <c r="C14" s="49" t="s">
        <v>2930</v>
      </c>
      <c r="D14" s="50">
        <v>9.6882250112939001</v>
      </c>
      <c r="E14" s="21">
        <v>4.4999999999999997E-3</v>
      </c>
      <c r="F14" s="51">
        <v>4.4999999999999997E-3</v>
      </c>
    </row>
    <row r="15" spans="1:10" ht="15" customHeight="1" x14ac:dyDescent="0.25">
      <c r="A15" s="48">
        <v>45026</v>
      </c>
      <c r="B15" s="54" t="s">
        <v>2929</v>
      </c>
      <c r="C15" s="49" t="s">
        <v>2930</v>
      </c>
      <c r="D15" s="50">
        <v>10.2285793232668</v>
      </c>
      <c r="E15" s="21">
        <v>1.4E-3</v>
      </c>
      <c r="F15" s="51">
        <v>1.4E-3</v>
      </c>
    </row>
    <row r="16" spans="1:10" ht="15" customHeight="1" x14ac:dyDescent="0.25">
      <c r="A16" s="48">
        <v>45033</v>
      </c>
      <c r="B16" s="54" t="s">
        <v>2929</v>
      </c>
      <c r="C16" s="49" t="s">
        <v>2930</v>
      </c>
      <c r="D16" s="50">
        <v>10.7569600386516</v>
      </c>
      <c r="E16" s="21">
        <v>5.0000000000000001E-4</v>
      </c>
      <c r="F16" s="51">
        <v>5.0000000000000001E-4</v>
      </c>
    </row>
    <row r="17" spans="1:6" ht="15" customHeight="1" x14ac:dyDescent="0.25">
      <c r="A17" s="48">
        <v>45040</v>
      </c>
      <c r="B17" s="54" t="s">
        <v>2929</v>
      </c>
      <c r="C17" s="49" t="s">
        <v>2931</v>
      </c>
      <c r="D17" s="50">
        <v>11.0940710197419</v>
      </c>
      <c r="E17" s="21">
        <v>6.9999999999999999E-4</v>
      </c>
      <c r="F17" s="51">
        <v>6.9999999999999999E-4</v>
      </c>
    </row>
    <row r="18" spans="1:6" ht="15" customHeight="1" x14ac:dyDescent="0.25">
      <c r="A18" s="48">
        <v>45047</v>
      </c>
      <c r="B18" s="54" t="s">
        <v>2929</v>
      </c>
      <c r="C18" s="49" t="s">
        <v>2931</v>
      </c>
      <c r="D18" s="50">
        <v>10.2285793232668</v>
      </c>
      <c r="E18" s="21">
        <v>5.0000000000000001E-3</v>
      </c>
      <c r="F18" s="51">
        <v>5.0000000000000001E-3</v>
      </c>
    </row>
    <row r="19" spans="1:6" ht="15" customHeight="1" x14ac:dyDescent="0.25">
      <c r="A19" s="48">
        <v>45054</v>
      </c>
      <c r="B19" s="54" t="s">
        <v>2929</v>
      </c>
      <c r="C19" s="49" t="s">
        <v>2931</v>
      </c>
      <c r="D19" s="50">
        <v>10.7569600386516</v>
      </c>
      <c r="E19" s="21">
        <v>5.0000000000000001E-3</v>
      </c>
      <c r="F19" s="51">
        <v>5.0000000000000001E-3</v>
      </c>
    </row>
    <row r="20" spans="1:6" ht="15" customHeight="1" x14ac:dyDescent="0.25">
      <c r="A20" s="48">
        <v>45061</v>
      </c>
      <c r="B20" s="54" t="s">
        <v>2929</v>
      </c>
      <c r="C20" s="49" t="s">
        <v>2930</v>
      </c>
      <c r="D20" s="50">
        <v>11.0940710197419</v>
      </c>
      <c r="E20" s="21">
        <v>1.5E-3</v>
      </c>
      <c r="F20" s="51">
        <v>1.5E-3</v>
      </c>
    </row>
    <row r="21" spans="1:6" ht="15" customHeight="1" x14ac:dyDescent="0.25">
      <c r="A21" s="48">
        <v>45068</v>
      </c>
      <c r="B21" s="54" t="s">
        <v>2929</v>
      </c>
      <c r="C21" s="49" t="s">
        <v>2930</v>
      </c>
      <c r="D21" s="50">
        <v>9.1701374191285598</v>
      </c>
      <c r="E21" s="21">
        <v>4.4999999999999997E-3</v>
      </c>
      <c r="F21" s="51">
        <v>4.4999999999999997E-3</v>
      </c>
    </row>
    <row r="22" spans="1:6" ht="15" customHeight="1" x14ac:dyDescent="0.25">
      <c r="A22" s="48">
        <v>45075</v>
      </c>
      <c r="B22" s="54" t="s">
        <v>2929</v>
      </c>
      <c r="C22" s="49" t="s">
        <v>2927</v>
      </c>
      <c r="D22" s="50">
        <v>10.4000504504793</v>
      </c>
      <c r="E22" s="21">
        <v>1.4E-3</v>
      </c>
      <c r="F22" s="51">
        <v>1.4E-3</v>
      </c>
    </row>
    <row r="23" spans="1:6" ht="15" customHeight="1" x14ac:dyDescent="0.25">
      <c r="A23" s="48">
        <v>45082</v>
      </c>
      <c r="B23" s="54" t="s">
        <v>2929</v>
      </c>
      <c r="C23" s="49" t="s">
        <v>2927</v>
      </c>
      <c r="D23" s="50">
        <v>9.0536222981429706</v>
      </c>
      <c r="E23" s="21">
        <v>5.0000000000000001E-4</v>
      </c>
      <c r="F23" s="51">
        <v>5.0000000000000001E-4</v>
      </c>
    </row>
    <row r="27" spans="1:6" ht="15" customHeight="1" x14ac:dyDescent="0.25">
      <c r="A27" s="46" t="s">
        <v>2932</v>
      </c>
    </row>
    <row r="28" spans="1:6" ht="15" customHeight="1" x14ac:dyDescent="0.25">
      <c r="A28" s="46" t="s">
        <v>2921</v>
      </c>
      <c r="B28" s="46" t="s">
        <v>2933</v>
      </c>
      <c r="C28" s="46" t="s">
        <v>2924</v>
      </c>
      <c r="E28" s="46" t="s">
        <v>2934</v>
      </c>
      <c r="F28" s="46" t="s">
        <v>2935</v>
      </c>
    </row>
    <row r="29" spans="1:6" ht="15" customHeight="1" x14ac:dyDescent="0.25">
      <c r="A29" s="21" t="str">
        <f t="shared" ref="A29:A39" si="0">TEXT(A2,"dd-mmm-yy")</f>
        <v>27-Mar-23</v>
      </c>
      <c r="B29" s="21">
        <f t="shared" ref="B29:B39" si="1">AVERAGEIFS($D$2:$D$23,$A$2:$A$23,$A29,$B$2:$B$23,$I$1)</f>
        <v>8.5693682381306395</v>
      </c>
      <c r="C29" s="21">
        <f t="shared" ref="C29:C39" si="2">AVERAGEIFS($E$2:$E$23,$A$2:$A$23,$A29,$B$2:$B$23,$I$1)</f>
        <v>1.5E-3</v>
      </c>
      <c r="E29" s="21" t="s">
        <v>2927</v>
      </c>
      <c r="F29" s="21">
        <f>IFERROR(AVERAGEIFS($D$2:$D$23,$B$2:$B$23,$I$1,$C$2:$C$23,E29),0)</f>
        <v>9.3410136622509707</v>
      </c>
    </row>
    <row r="30" spans="1:6" ht="15" customHeight="1" x14ac:dyDescent="0.25">
      <c r="A30" s="21" t="str">
        <f t="shared" si="0"/>
        <v>03-Apr-23</v>
      </c>
      <c r="B30" s="21">
        <f t="shared" si="1"/>
        <v>9.6882250112939001</v>
      </c>
      <c r="C30" s="21">
        <f t="shared" si="2"/>
        <v>4.4999999999999997E-3</v>
      </c>
      <c r="E30" s="21" t="s">
        <v>2930</v>
      </c>
      <c r="F30" s="21">
        <f>IFERROR(AVERAGEIFS($D$2:$D$23,$B$2:$B$23,$I$1,$C$2:$C$23,E30),0)</f>
        <v>10.187594562416551</v>
      </c>
    </row>
    <row r="31" spans="1:6" ht="15" customHeight="1" x14ac:dyDescent="0.25">
      <c r="A31" s="21" t="str">
        <f t="shared" si="0"/>
        <v>10-Apr-23</v>
      </c>
      <c r="B31" s="21">
        <f t="shared" si="1"/>
        <v>10.2285793232668</v>
      </c>
      <c r="C31" s="21">
        <f t="shared" si="2"/>
        <v>1.4E-3</v>
      </c>
      <c r="E31" s="21" t="s">
        <v>2931</v>
      </c>
      <c r="F31" s="21">
        <f>IFERROR(AVERAGEIFS($D$2:$D$23,$B$2:$B$23,$I$1,$C$2:$C$23,E31),0)</f>
        <v>10.693203460553434</v>
      </c>
    </row>
    <row r="32" spans="1:6" ht="15" customHeight="1" x14ac:dyDescent="0.25">
      <c r="A32" s="21" t="str">
        <f t="shared" si="0"/>
        <v>17-Apr-23</v>
      </c>
      <c r="B32" s="21">
        <f t="shared" si="1"/>
        <v>10.7569600386516</v>
      </c>
      <c r="C32" s="21">
        <f t="shared" si="2"/>
        <v>5.0000000000000001E-4</v>
      </c>
    </row>
    <row r="33" spans="1:3" ht="15" customHeight="1" x14ac:dyDescent="0.25">
      <c r="A33" s="21" t="str">
        <f t="shared" si="0"/>
        <v>24-Apr-23</v>
      </c>
      <c r="B33" s="21">
        <f t="shared" si="1"/>
        <v>11.0940710197419</v>
      </c>
      <c r="C33" s="21">
        <f t="shared" si="2"/>
        <v>6.9999999999999999E-4</v>
      </c>
    </row>
    <row r="34" spans="1:3" ht="15" customHeight="1" x14ac:dyDescent="0.25">
      <c r="A34" s="21" t="str">
        <f t="shared" si="0"/>
        <v>01-May-23</v>
      </c>
      <c r="B34" s="21">
        <f t="shared" si="1"/>
        <v>10.2285793232668</v>
      </c>
      <c r="C34" s="21">
        <f t="shared" si="2"/>
        <v>5.0000000000000001E-3</v>
      </c>
    </row>
    <row r="35" spans="1:3" ht="15" customHeight="1" x14ac:dyDescent="0.25">
      <c r="A35" s="21" t="str">
        <f t="shared" si="0"/>
        <v>08-May-23</v>
      </c>
      <c r="B35" s="21">
        <f t="shared" si="1"/>
        <v>10.7569600386516</v>
      </c>
      <c r="C35" s="21">
        <f t="shared" si="2"/>
        <v>5.0000000000000001E-3</v>
      </c>
    </row>
    <row r="36" spans="1:3" ht="15" customHeight="1" x14ac:dyDescent="0.25">
      <c r="A36" s="21" t="str">
        <f t="shared" si="0"/>
        <v>15-May-23</v>
      </c>
      <c r="B36" s="21">
        <f t="shared" si="1"/>
        <v>11.0940710197419</v>
      </c>
      <c r="C36" s="21">
        <f t="shared" si="2"/>
        <v>1.5E-3</v>
      </c>
    </row>
    <row r="37" spans="1:3" ht="15" customHeight="1" x14ac:dyDescent="0.25">
      <c r="A37" s="21" t="str">
        <f t="shared" si="0"/>
        <v>22-May-23</v>
      </c>
      <c r="B37" s="21">
        <f t="shared" si="1"/>
        <v>9.1701374191285598</v>
      </c>
      <c r="C37" s="21">
        <f t="shared" si="2"/>
        <v>4.4999999999999997E-3</v>
      </c>
    </row>
    <row r="38" spans="1:3" ht="15" customHeight="1" x14ac:dyDescent="0.25">
      <c r="A38" s="21" t="str">
        <f t="shared" si="0"/>
        <v>29-May-23</v>
      </c>
      <c r="B38" s="21">
        <f t="shared" si="1"/>
        <v>10.4000504504793</v>
      </c>
      <c r="C38" s="21">
        <f t="shared" si="2"/>
        <v>1.4E-3</v>
      </c>
    </row>
    <row r="39" spans="1:3" ht="15" customHeight="1" x14ac:dyDescent="0.25">
      <c r="A39" s="21" t="str">
        <f t="shared" si="0"/>
        <v>05-Jun-23</v>
      </c>
      <c r="B39" s="21">
        <f t="shared" si="1"/>
        <v>9.0536222981429706</v>
      </c>
      <c r="C39" s="21">
        <f t="shared" si="2"/>
        <v>5.0000000000000001E-4</v>
      </c>
    </row>
  </sheetData>
  <dataValidations count="1">
    <dataValidation type="list" error="Pick a LOB from the list" prompt="Choose LOB to filter the dashboard" sqref="I1" xr:uid="{00000000-0002-0000-0700-000000000000}">
      <formula1>"Consumer|Acc_EM,Rider|Eats Trip_EM"</formula1>
      <formula2>0</formula2>
    </dataValidation>
  </dataValidations>
  <pageMargins left="0.7" right="0.7" top="0.75" bottom="0.75"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autoPict="0" macro="Module1.SetLOB_Consumer">
                <anchor moveWithCells="1" sizeWithCells="1">
                  <from>
                    <xdr:col>11</xdr:col>
                    <xdr:colOff>180975</xdr:colOff>
                    <xdr:row>6</xdr:row>
                    <xdr:rowOff>76200</xdr:rowOff>
                  </from>
                  <to>
                    <xdr:col>13</xdr:col>
                    <xdr:colOff>180975</xdr:colOff>
                    <xdr:row>8</xdr:row>
                    <xdr:rowOff>9525</xdr:rowOff>
                  </to>
                </anchor>
              </controlPr>
            </control>
          </mc:Choice>
        </mc:AlternateContent>
        <mc:AlternateContent xmlns:mc="http://schemas.openxmlformats.org/markup-compatibility/2006">
          <mc:Choice Requires="x14">
            <control shapeId="4097" r:id="rId4" name="Button 3">
              <controlPr defaultSize="0" autoPict="0" macro="Module1.SetLOB_Rider">
                <anchor moveWithCells="1" sizeWithCells="1">
                  <from>
                    <xdr:col>13</xdr:col>
                    <xdr:colOff>514350</xdr:colOff>
                    <xdr:row>6</xdr:row>
                    <xdr:rowOff>76200</xdr:rowOff>
                  </from>
                  <to>
                    <xdr:col>15</xdr:col>
                    <xdr:colOff>342900</xdr:colOff>
                    <xdr:row>8</xdr:row>
                    <xdr:rowOff>9525</xdr:rowOff>
                  </to>
                </anchor>
              </controlPr>
            </control>
          </mc:Choice>
        </mc:AlternateContent>
        <mc:AlternateContent xmlns:mc="http://schemas.openxmlformats.org/markup-compatibility/2006">
          <mc:Choice Requires="x14">
            <control shapeId="1001" r:id="rId5" name="Button -23">
              <controlPr defaultSize="0" autoFill="0" autoPict="0" macro="Module1.SetLOB_Consumer" altText="Consumer">
                <anchor moveWithCells="1">
                  <from>
                    <xdr:col>11</xdr:col>
                    <xdr:colOff>180975</xdr:colOff>
                    <xdr:row>6</xdr:row>
                    <xdr:rowOff>76200</xdr:rowOff>
                  </from>
                  <to>
                    <xdr:col>13</xdr:col>
                    <xdr:colOff>180975</xdr:colOff>
                    <xdr:row>8</xdr:row>
                    <xdr:rowOff>9525</xdr:rowOff>
                  </to>
                </anchor>
              </controlPr>
            </control>
          </mc:Choice>
        </mc:AlternateContent>
        <mc:AlternateContent xmlns:mc="http://schemas.openxmlformats.org/markup-compatibility/2006">
          <mc:Choice Requires="x14">
            <control shapeId="1002" r:id="rId6" name="Button -22">
              <controlPr defaultSize="0" autoFill="0" autoPict="0" macro="Module1.SetLOB_Rider" altText="Rider">
                <anchor moveWithCells="1">
                  <from>
                    <xdr:col>13</xdr:col>
                    <xdr:colOff>514350</xdr:colOff>
                    <xdr:row>6</xdr:row>
                    <xdr:rowOff>76200</xdr:rowOff>
                  </from>
                  <to>
                    <xdr:col>15</xdr:col>
                    <xdr:colOff>342900</xdr:colOff>
                    <xdr:row>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9"/>
  <sheetViews>
    <sheetView tabSelected="1" zoomScaleNormal="100" workbookViewId="0">
      <selection activeCell="A7" sqref="A7"/>
    </sheetView>
  </sheetViews>
  <sheetFormatPr defaultColWidth="8.7109375" defaultRowHeight="15" x14ac:dyDescent="0.25"/>
  <cols>
    <col min="1" max="1" width="100" style="21" customWidth="1"/>
  </cols>
  <sheetData>
    <row r="1" spans="1:1" ht="15" customHeight="1" x14ac:dyDescent="0.25">
      <c r="A1" s="55"/>
    </row>
    <row r="12" spans="1:1" ht="15" customHeight="1" x14ac:dyDescent="0.25">
      <c r="A12" s="46" t="s">
        <v>2936</v>
      </c>
    </row>
    <row r="13" spans="1:1" ht="15" customHeight="1" x14ac:dyDescent="0.25">
      <c r="A13" s="56" t="s">
        <v>2937</v>
      </c>
    </row>
    <row r="14" spans="1:1" ht="15" customHeight="1" x14ac:dyDescent="0.25">
      <c r="A14" s="56" t="s">
        <v>2938</v>
      </c>
    </row>
    <row r="15" spans="1:1" ht="15" customHeight="1" x14ac:dyDescent="0.25">
      <c r="A15" s="56" t="s">
        <v>2939</v>
      </c>
    </row>
    <row r="16" spans="1:1" ht="15" customHeight="1" x14ac:dyDescent="0.25">
      <c r="A16" s="56"/>
    </row>
    <row r="17" spans="1:1" ht="15" customHeight="1" x14ac:dyDescent="0.25">
      <c r="A17" s="56" t="s">
        <v>2940</v>
      </c>
    </row>
    <row r="18" spans="1:1" ht="15" customHeight="1" x14ac:dyDescent="0.25">
      <c r="A18" s="56" t="s">
        <v>2941</v>
      </c>
    </row>
    <row r="19" spans="1:1" ht="15" customHeight="1" x14ac:dyDescent="0.25">
      <c r="A19" s="56" t="s">
        <v>2939</v>
      </c>
    </row>
  </sheetData>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vt:lpstr>
      <vt:lpstr>Formula Sheet</vt:lpstr>
      <vt:lpstr>Raw</vt:lpstr>
      <vt:lpstr>Pareto</vt:lpstr>
      <vt:lpstr>Pareto Chart</vt:lpstr>
      <vt:lpstr>Run Chart</vt:lpstr>
      <vt:lpstr>Histogram</vt:lpstr>
      <vt:lpstr>Graphical Presentation</vt:lpstr>
      <vt:lpstr>VBA Macro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Tarun Sona</dc:creator>
  <dc:description/>
  <cp:lastModifiedBy>hp</cp:lastModifiedBy>
  <cp:revision>4</cp:revision>
  <dcterms:created xsi:type="dcterms:W3CDTF">2021-06-03T15:08:26Z</dcterms:created>
  <dcterms:modified xsi:type="dcterms:W3CDTF">2026-07-26T14:37:06Z</dcterms:modified>
  <dc:language>en-US</dc:language>
</cp:coreProperties>
</file>